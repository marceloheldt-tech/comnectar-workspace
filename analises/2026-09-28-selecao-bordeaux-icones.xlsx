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ção" sheetId="1" state="visible" r:id="rId1"/>
    <sheet name="Todos os fornecedores" sheetId="2" state="visible" r:id="rId2"/>
  </sheets>
  <definedNames>
    <definedName name="_xlnm._FilterDatabase" localSheetId="1" hidden="1">'Todos os fornecedores'!$A$1:$G$687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5A1A2B"/>
      </patternFill>
    </fill>
    <fill>
      <patternFill patternType="solid">
        <fgColor rgb="00EFE6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62" customWidth="1" min="4" max="4"/>
    <col width="9" customWidth="1" min="5" max="5"/>
    <col width="13" customWidth="1" min="6" max="6"/>
    <col width="13" customWidth="1" min="7" max="7"/>
    <col width="60" customWidth="1" min="8" max="8"/>
  </cols>
  <sheetData>
    <row r="1">
      <c r="A1" s="1" t="inlineStr">
        <is>
          <t>Seleção Bordeaux ícone — linha Pétrus / Rothschild</t>
        </is>
      </c>
    </row>
    <row r="2">
      <c r="A2" s="2" t="inlineStr">
        <is>
          <t>Levantamento em 28/09/2026 · custo com impostos das tabelas dos fornecedores · Tanyno = estoque ao vivo do site, custo = A37 × 1,13</t>
        </is>
      </c>
    </row>
    <row r="3">
      <c r="A3" s="3" t="inlineStr">
        <is>
          <t>Markup sobre o custo (preencher em C3):</t>
        </is>
      </c>
      <c r="C3" s="4" t="n"/>
    </row>
    <row r="5">
      <c r="A5" s="5" t="inlineStr">
        <is>
          <t>Vinho</t>
        </is>
      </c>
      <c r="B5" s="5" t="inlineStr">
        <is>
          <t>Safra</t>
        </is>
      </c>
      <c r="C5" s="5" t="inlineStr">
        <is>
          <t>Fornecedor</t>
        </is>
      </c>
      <c r="D5" s="5" t="inlineStr">
        <is>
          <t>Descrição na tabela</t>
        </is>
      </c>
      <c r="E5" s="5" t="inlineStr">
        <is>
          <t>Estoque</t>
        </is>
      </c>
      <c r="F5" s="5" t="inlineStr">
        <is>
          <t>Custo (R$)</t>
        </is>
      </c>
      <c r="G5" s="5" t="inlineStr">
        <is>
          <t>Venda (R$)</t>
        </is>
      </c>
      <c r="H5" s="5" t="inlineStr">
        <is>
          <t>Observação</t>
        </is>
      </c>
    </row>
    <row r="6">
      <c r="A6" s="6" t="inlineStr">
        <is>
          <t>1. Pétrus &amp; Le Pin — o topo de Pomerol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t="inlineStr">
        <is>
          <t>Pétrus</t>
        </is>
      </c>
      <c r="B7" t="inlineStr">
        <is>
          <t>2013</t>
        </is>
      </c>
      <c r="C7" t="inlineStr">
        <is>
          <t>World Wine</t>
        </is>
      </c>
      <c r="D7" t="inlineStr">
        <is>
          <t>Pétrus</t>
        </is>
      </c>
      <c r="F7" s="8" t="n">
        <v>37031.04</v>
      </c>
      <c r="G7" s="8">
        <f>IF($C$3="","",F7*$C$3)</f>
        <v/>
      </c>
      <c r="H7" t="inlineStr">
        <is>
          <t>Moueix. O mais desejado de Pomerol; safra mais acessível da lista</t>
        </is>
      </c>
    </row>
    <row r="8">
      <c r="A8" t="inlineStr">
        <is>
          <t>Pétrus</t>
        </is>
      </c>
      <c r="B8" t="inlineStr">
        <is>
          <t>2011</t>
        </is>
      </c>
      <c r="C8" t="inlineStr">
        <is>
          <t>World Wine</t>
        </is>
      </c>
      <c r="D8" t="inlineStr">
        <is>
          <t>Pétrus</t>
        </is>
      </c>
      <c r="F8" s="8" t="n">
        <v>39450.24</v>
      </c>
      <c r="G8" s="8">
        <f>IF($C$3="","",F8*$C$3)</f>
        <v/>
      </c>
      <c r="H8" t="inlineStr"/>
    </row>
    <row r="9">
      <c r="A9" t="inlineStr">
        <is>
          <t>Pétrus</t>
        </is>
      </c>
      <c r="B9" t="inlineStr">
        <is>
          <t>1987</t>
        </is>
      </c>
      <c r="C9" t="inlineStr">
        <is>
          <t>Del Maipo</t>
        </is>
      </c>
      <c r="D9" t="inlineStr">
        <is>
          <t>FRANCE POMEROL CHATEAU PETRUS 1987 750ML</t>
        </is>
      </c>
      <c r="E9" t="n">
        <v>10</v>
      </c>
      <c r="F9" s="8" t="n">
        <v>55852.11</v>
      </c>
      <c r="G9" s="8">
        <f>IF($C$3="","",F9*$C$3)</f>
        <v/>
      </c>
      <c r="H9" t="inlineStr">
        <is>
          <t>Safra madura, pronta pra abrir</t>
        </is>
      </c>
    </row>
    <row r="10">
      <c r="A10" t="inlineStr">
        <is>
          <t>Le Pin</t>
        </is>
      </c>
      <c r="B10" t="inlineStr">
        <is>
          <t>1997</t>
        </is>
      </c>
      <c r="C10" t="inlineStr">
        <is>
          <t>World Wine</t>
        </is>
      </c>
      <c r="D10" t="inlineStr">
        <is>
          <t>Le Pin</t>
        </is>
      </c>
      <c r="F10" s="8" t="n">
        <v>28794.24</v>
      </c>
      <c r="G10" s="8">
        <f>IF($C$3="","",F10*$C$3)</f>
        <v/>
      </c>
      <c r="H10" t="inlineStr">
        <is>
          <t>Micro-produção (~600 caixas/ano)</t>
        </is>
      </c>
    </row>
    <row r="11">
      <c r="A11" t="inlineStr">
        <is>
          <t>Le Pin</t>
        </is>
      </c>
      <c r="B11" t="inlineStr">
        <is>
          <t>2020</t>
        </is>
      </c>
      <c r="C11" t="inlineStr">
        <is>
          <t>World Wine</t>
        </is>
      </c>
      <c r="D11" t="inlineStr">
        <is>
          <t>Le Pin</t>
        </is>
      </c>
      <c r="F11" s="8" t="n">
        <v>39392.64</v>
      </c>
      <c r="G11" s="8">
        <f>IF($C$3="","",F11*$C$3)</f>
        <v/>
      </c>
      <c r="H11" t="inlineStr"/>
    </row>
    <row r="12">
      <c r="A12" s="6" t="inlineStr">
        <is>
          <t>2. Rothschild — Premiers Grands Crus de Pauillac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t="inlineStr">
        <is>
          <t>Mouton Rothschild</t>
        </is>
      </c>
      <c r="B13" t="inlineStr">
        <is>
          <t>2019</t>
        </is>
      </c>
      <c r="C13" t="inlineStr">
        <is>
          <t>World Wine</t>
        </is>
      </c>
      <c r="D13" t="inlineStr">
        <is>
          <t>Château Mouton Rothschild</t>
        </is>
      </c>
      <c r="F13" s="8" t="n">
        <v>6906.24</v>
      </c>
      <c r="G13" s="8">
        <f>IF($C$3="","",F13*$C$3)</f>
        <v/>
      </c>
      <c r="H13" t="inlineStr">
        <is>
          <t>Rótulo de artista a cada safra — ótimo presente</t>
        </is>
      </c>
    </row>
    <row r="14">
      <c r="A14" t="inlineStr">
        <is>
          <t>Mouton Rothschild</t>
        </is>
      </c>
      <c r="B14" t="inlineStr">
        <is>
          <t>2006</t>
        </is>
      </c>
      <c r="C14" t="inlineStr">
        <is>
          <t>World Wine</t>
        </is>
      </c>
      <c r="D14" t="inlineStr">
        <is>
          <t>Château Mouton-Rothschild</t>
        </is>
      </c>
      <c r="F14" s="8" t="n">
        <v>6906.24</v>
      </c>
      <c r="G14" s="8">
        <f>IF($C$3="","",F14*$C$3)</f>
        <v/>
      </c>
      <c r="H14" t="inlineStr"/>
    </row>
    <row r="15">
      <c r="A15" t="inlineStr">
        <is>
          <t>Mouton Rothschild</t>
        </is>
      </c>
      <c r="B15" t="inlineStr">
        <is>
          <t>1989</t>
        </is>
      </c>
      <c r="C15" t="inlineStr">
        <is>
          <t>Del Maipo</t>
        </is>
      </c>
      <c r="D15" t="inlineStr">
        <is>
          <t>FRANCE PAUILLAC CHATEAU MOUTON ROTHSCHILD 1989 750ML</t>
        </is>
      </c>
      <c r="E15" t="n">
        <v>7</v>
      </c>
      <c r="F15" s="8" t="n">
        <v>13246.98</v>
      </c>
      <c r="G15" s="8">
        <f>IF($C$3="","",F15*$C$3)</f>
        <v/>
      </c>
      <c r="H15" t="inlineStr">
        <is>
          <t>Safra clássica</t>
        </is>
      </c>
    </row>
    <row r="16">
      <c r="A16" t="inlineStr">
        <is>
          <t>Lafite Rothschild</t>
        </is>
      </c>
      <c r="B16" t="inlineStr">
        <is>
          <t>2004</t>
        </is>
      </c>
      <c r="C16" t="inlineStr">
        <is>
          <t>World Wine</t>
        </is>
      </c>
      <c r="D16" t="inlineStr">
        <is>
          <t>Château Lafite Rothschild</t>
        </is>
      </c>
      <c r="F16" s="8" t="n">
        <v>8030.49</v>
      </c>
      <c r="G16" s="8">
        <f>IF($C$3="","",F16*$C$3)</f>
        <v/>
      </c>
      <c r="H16" t="inlineStr">
        <is>
          <t>Menor custo de entrada em Lafite</t>
        </is>
      </c>
    </row>
    <row r="17">
      <c r="A17" t="inlineStr">
        <is>
          <t>Lafite Rothschild</t>
        </is>
      </c>
      <c r="B17" t="inlineStr">
        <is>
          <t>2006</t>
        </is>
      </c>
      <c r="C17" t="inlineStr">
        <is>
          <t>World Wine</t>
        </is>
      </c>
      <c r="D17" t="inlineStr">
        <is>
          <t>Château Lafite Rothschild</t>
        </is>
      </c>
      <c r="F17" s="8" t="n">
        <v>9210.24</v>
      </c>
      <c r="G17" s="8">
        <f>IF($C$3="","",F17*$C$3)</f>
        <v/>
      </c>
      <c r="H17" t="inlineStr"/>
    </row>
    <row r="18">
      <c r="A18" t="inlineStr">
        <is>
          <t>Lafite Rothschild</t>
        </is>
      </c>
      <c r="B18" t="inlineStr">
        <is>
          <t>2021</t>
        </is>
      </c>
      <c r="C18" t="inlineStr">
        <is>
          <t>Mistral</t>
        </is>
      </c>
      <c r="D18" t="inlineStr">
        <is>
          <t>CHATEAU LAFITE ROTHSCHILD - PAUILLAC AOC 2021 (TTO)</t>
        </is>
      </c>
      <c r="E18" t="n">
        <v>35</v>
      </c>
      <c r="F18" s="8" t="n">
        <v>10761.69</v>
      </c>
      <c r="G18" s="8">
        <f>IF($C$3="","",F18*$C$3)</f>
        <v/>
      </c>
      <c r="H18" t="inlineStr">
        <is>
          <t>Safra recente</t>
        </is>
      </c>
    </row>
    <row r="19">
      <c r="A19" t="inlineStr">
        <is>
          <t>Lafite Rothschild</t>
        </is>
      </c>
      <c r="B19" t="inlineStr">
        <is>
          <t>1985</t>
        </is>
      </c>
      <c r="C19" t="inlineStr">
        <is>
          <t>Del Maipo</t>
        </is>
      </c>
      <c r="D19" t="inlineStr">
        <is>
          <t>FRANCE PAUILLAC CHATEAU LAFITE ROTHSCHILD 1985 750ML</t>
        </is>
      </c>
      <c r="E19" t="n">
        <v>16</v>
      </c>
      <c r="F19" s="8" t="n">
        <v>14525.64</v>
      </c>
      <c r="G19" s="8">
        <f>IF($C$3="","",F19*$C$3)</f>
        <v/>
      </c>
      <c r="H19" t="inlineStr">
        <is>
          <t>Safra madura</t>
        </is>
      </c>
    </row>
    <row r="20">
      <c r="A20" s="6" t="inlineStr">
        <is>
          <t>3. Demais Premiers Grands Crus + Cheval Blanc, Ausone e Yquem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t="inlineStr">
        <is>
          <t>Château Margaux</t>
        </is>
      </c>
      <c r="B21" t="inlineStr">
        <is>
          <t>2007</t>
        </is>
      </c>
      <c r="C21" t="inlineStr">
        <is>
          <t>World Wine</t>
        </is>
      </c>
      <c r="D21" t="inlineStr">
        <is>
          <t>Château Margaux</t>
        </is>
      </c>
      <c r="F21" s="8" t="n">
        <v>6215.04</v>
      </c>
      <c r="G21" s="8">
        <f>IF($C$3="","",F21*$C$3)</f>
        <v/>
      </c>
      <c r="H21" t="inlineStr"/>
    </row>
    <row r="22">
      <c r="A22" t="inlineStr">
        <is>
          <t>Château Latour</t>
        </is>
      </c>
      <c r="B22" t="inlineStr">
        <is>
          <t>2011</t>
        </is>
      </c>
      <c r="C22" t="inlineStr">
        <is>
          <t>World Wine</t>
        </is>
      </c>
      <c r="D22" t="inlineStr">
        <is>
          <t>Château Latour</t>
        </is>
      </c>
      <c r="F22" s="8" t="n">
        <v>7021.44</v>
      </c>
      <c r="G22" s="8">
        <f>IF($C$3="","",F22*$C$3)</f>
        <v/>
      </c>
      <c r="H22" t="inlineStr"/>
    </row>
    <row r="23">
      <c r="A23" t="inlineStr">
        <is>
          <t>Château Haut-Brion</t>
        </is>
      </c>
      <c r="B23" t="inlineStr">
        <is>
          <t>2007</t>
        </is>
      </c>
      <c r="C23" t="inlineStr">
        <is>
          <t>World Wine</t>
        </is>
      </c>
      <c r="D23" t="inlineStr">
        <is>
          <t>Château Haut-Brion</t>
        </is>
      </c>
      <c r="F23" s="8" t="n">
        <v>5523.84</v>
      </c>
      <c r="G23" s="8">
        <f>IF($C$3="","",F23*$C$3)</f>
        <v/>
      </c>
      <c r="H23" t="inlineStr"/>
    </row>
    <row r="24">
      <c r="A24" t="inlineStr">
        <is>
          <t>Château Haut-Brion</t>
        </is>
      </c>
      <c r="B24" t="inlineStr">
        <is>
          <t>2006</t>
        </is>
      </c>
      <c r="C24" t="inlineStr">
        <is>
          <t>Tanyno</t>
        </is>
      </c>
      <c r="D24" t="inlineStr">
        <is>
          <t>CLARENCE DILLON — CHATEAU HAUT BRION</t>
        </is>
      </c>
      <c r="E24" t="n">
        <v>2</v>
      </c>
      <c r="F24" s="8" t="n">
        <v>8346.24</v>
      </c>
      <c r="G24" s="8">
        <f>IF($C$3="","",F24*$C$3)</f>
        <v/>
      </c>
      <c r="H24" t="inlineStr">
        <is>
          <t>Tanyno Signature</t>
        </is>
      </c>
    </row>
    <row r="25">
      <c r="A25" t="inlineStr">
        <is>
          <t>Château Cheval Blanc</t>
        </is>
      </c>
      <c r="B25" t="inlineStr">
        <is>
          <t>2014</t>
        </is>
      </c>
      <c r="C25" t="inlineStr">
        <is>
          <t>World Wine</t>
        </is>
      </c>
      <c r="D25" t="inlineStr">
        <is>
          <t>Château Cheval Blanc</t>
        </is>
      </c>
      <c r="F25" s="8" t="n">
        <v>8634.24</v>
      </c>
      <c r="G25" s="8">
        <f>IF($C$3="","",F25*$C$3)</f>
        <v/>
      </c>
      <c r="H25" t="inlineStr"/>
    </row>
    <row r="26">
      <c r="A26" t="inlineStr">
        <is>
          <t>Château Ausone</t>
        </is>
      </c>
      <c r="B26" t="inlineStr">
        <is>
          <t>2017</t>
        </is>
      </c>
      <c r="C26" t="inlineStr">
        <is>
          <t>World Wine</t>
        </is>
      </c>
      <c r="D26" t="inlineStr">
        <is>
          <t>Château Ausone</t>
        </is>
      </c>
      <c r="F26" s="8" t="n">
        <v>7136.64</v>
      </c>
      <c r="G26" s="8">
        <f>IF($C$3="","",F26*$C$3)</f>
        <v/>
      </c>
      <c r="H26" t="inlineStr"/>
    </row>
    <row r="27">
      <c r="A27" t="inlineStr">
        <is>
          <t>Château d'Yquem</t>
        </is>
      </c>
      <c r="B27" t="inlineStr">
        <is>
          <t>2018</t>
        </is>
      </c>
      <c r="C27" t="inlineStr">
        <is>
          <t>World Wine</t>
        </is>
      </c>
      <c r="D27" t="inlineStr">
        <is>
          <t>Château d'Yquem</t>
        </is>
      </c>
      <c r="F27" s="8" t="n">
        <v>4371.84</v>
      </c>
      <c r="G27" s="8">
        <f>IF($C$3="","",F27*$C$3)</f>
        <v/>
      </c>
      <c r="H27" t="inlineStr">
        <is>
          <t>Sauternes — o doce mais icônico do mundo</t>
        </is>
      </c>
    </row>
    <row r="28">
      <c r="A28" t="inlineStr">
        <is>
          <t>Château d'Yquem 375ml</t>
        </is>
      </c>
      <c r="B28" t="inlineStr">
        <is>
          <t>2016</t>
        </is>
      </c>
      <c r="C28" t="inlineStr">
        <is>
          <t>Tanyno</t>
        </is>
      </c>
      <c r="D28" t="inlineStr">
        <is>
          <t>CHATEAU D YQUEM — CHATEAU D YQUEM HALF BOTTLE</t>
        </is>
      </c>
      <c r="E28" t="n">
        <v>20</v>
      </c>
      <c r="F28" s="8" t="n">
        <v>3055.82</v>
      </c>
      <c r="G28" s="8">
        <f>IF($C$3="","",F28*$C$3)</f>
        <v/>
      </c>
      <c r="H28" t="inlineStr">
        <is>
          <t>Meia garrafa</t>
        </is>
      </c>
    </row>
    <row r="29">
      <c r="A29" s="6" t="inlineStr">
        <is>
          <t>4. Mesma família, preço de entrada (segundos vinhos e 'primos')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t="inlineStr">
        <is>
          <t>Château La Fleur-Pétrus</t>
        </is>
      </c>
      <c r="B30" t="inlineStr">
        <is>
          <t>2013</t>
        </is>
      </c>
      <c r="C30" t="inlineStr">
        <is>
          <t>World Wine</t>
        </is>
      </c>
      <c r="D30" t="inlineStr">
        <is>
          <t>Château La Fleur-Pétrus</t>
        </is>
      </c>
      <c r="F30" s="8" t="n">
        <v>2759.04</v>
      </c>
      <c r="G30" s="8">
        <f>IF($C$3="","",F30*$C$3)</f>
        <v/>
      </c>
      <c r="H30" t="inlineStr">
        <is>
          <t>Mesma família do Pétrus (Moueix), vinhedo vizinho</t>
        </is>
      </c>
    </row>
    <row r="31">
      <c r="A31" t="inlineStr">
        <is>
          <t>Château Trotanoy</t>
        </is>
      </c>
      <c r="B31" t="inlineStr"/>
      <c r="C31" t="inlineStr">
        <is>
          <t>Interfood</t>
        </is>
      </c>
      <c r="D31" t="inlineStr">
        <is>
          <t>V T CHATEAU TROTANOY AOC POMEROL 750 ML</t>
        </is>
      </c>
      <c r="F31" s="8" t="n">
        <v>2673.55</v>
      </c>
      <c r="G31" s="8">
        <f>IF($C$3="","",F31*$C$3)</f>
        <v/>
      </c>
      <c r="H31" t="inlineStr">
        <is>
          <t>Moueix, 'irmão' do Pétrus. Tabela não traz safra</t>
        </is>
      </c>
    </row>
    <row r="32">
      <c r="A32" t="inlineStr">
        <is>
          <t>Château Hosanna</t>
        </is>
      </c>
      <c r="B32" t="inlineStr"/>
      <c r="C32" t="inlineStr">
        <is>
          <t>Interfood</t>
        </is>
      </c>
      <c r="D32" t="inlineStr">
        <is>
          <t>V T CHATEAU HOSANNA AOC POMEROL 750 ML</t>
        </is>
      </c>
      <c r="F32" s="8" t="n">
        <v>1911.64</v>
      </c>
      <c r="G32" s="8">
        <f>IF($C$3="","",F32*$C$3)</f>
        <v/>
      </c>
      <c r="H32" t="inlineStr">
        <is>
          <t>Moueix, Pomerol. Tabela não traz safra</t>
        </is>
      </c>
    </row>
    <row r="33">
      <c r="A33" t="inlineStr">
        <is>
          <t>Carruades de Lafite</t>
        </is>
      </c>
      <c r="B33" t="inlineStr">
        <is>
          <t>2012</t>
        </is>
      </c>
      <c r="C33" t="inlineStr">
        <is>
          <t>Mistral</t>
        </is>
      </c>
      <c r="D33" t="inlineStr">
        <is>
          <t>CARRUADES DE LAFITE 2012 (TTO) (DEUXIEME VIN)</t>
        </is>
      </c>
      <c r="E33" t="n">
        <v>81</v>
      </c>
      <c r="F33" s="8" t="n">
        <v>2451.3</v>
      </c>
      <c r="G33" s="8">
        <f>IF($C$3="","",F33*$C$3)</f>
        <v/>
      </c>
      <c r="H33" t="inlineStr">
        <is>
          <t>Segundo vinho do Lafite</t>
        </is>
      </c>
    </row>
    <row r="34">
      <c r="A34" t="inlineStr">
        <is>
          <t>Le Petit Mouton</t>
        </is>
      </c>
      <c r="B34" t="inlineStr">
        <is>
          <t>2010</t>
        </is>
      </c>
      <c r="C34" t="inlineStr">
        <is>
          <t>World Wine</t>
        </is>
      </c>
      <c r="D34" t="inlineStr">
        <is>
          <t>Le Petit Mouton (2° Ch. Mouton-Rothschild)</t>
        </is>
      </c>
      <c r="F34" s="8" t="n">
        <v>3613.72</v>
      </c>
      <c r="G34" s="8">
        <f>IF($C$3="","",F34*$C$3)</f>
        <v/>
      </c>
      <c r="H34" t="inlineStr">
        <is>
          <t>Segundo vinho do Mouton, safra excepcional</t>
        </is>
      </c>
    </row>
    <row r="35">
      <c r="A35" t="inlineStr">
        <is>
          <t>Les Forts de Latour</t>
        </is>
      </c>
      <c r="B35" t="inlineStr">
        <is>
          <t>2010</t>
        </is>
      </c>
      <c r="C35" t="inlineStr">
        <is>
          <t>World Wine</t>
        </is>
      </c>
      <c r="D35" t="inlineStr">
        <is>
          <t>Les Forts de Latour (2° Ch. Latour)</t>
        </is>
      </c>
      <c r="F35" s="8" t="n">
        <v>2777.21</v>
      </c>
      <c r="G35" s="8">
        <f>IF($C$3="","",F35*$C$3)</f>
        <v/>
      </c>
      <c r="H35" t="inlineStr"/>
    </row>
    <row r="36">
      <c r="A36" t="inlineStr">
        <is>
          <t>Pavillon Rouge du Ch. Margaux</t>
        </is>
      </c>
      <c r="B36" t="inlineStr">
        <is>
          <t>2002</t>
        </is>
      </c>
      <c r="C36" t="inlineStr">
        <is>
          <t>World Wine</t>
        </is>
      </c>
      <c r="D36" t="inlineStr">
        <is>
          <t>Pavillon Rouge (2° Ch. Margaux)</t>
        </is>
      </c>
      <c r="F36" s="8" t="n">
        <v>2732.6</v>
      </c>
      <c r="G36" s="8">
        <f>IF($C$3="","",F36*$C$3)</f>
        <v/>
      </c>
      <c r="H36" t="inlineStr"/>
    </row>
    <row r="37">
      <c r="A37" t="inlineStr">
        <is>
          <t>Le Clarence de Haut-Brion</t>
        </is>
      </c>
      <c r="B37" t="inlineStr">
        <is>
          <t>2010</t>
        </is>
      </c>
      <c r="C37" t="inlineStr">
        <is>
          <t>World Wine</t>
        </is>
      </c>
      <c r="D37" t="inlineStr">
        <is>
          <t>Le Clarence de Haut-Brion (2° Ch. Haut-Brion)</t>
        </is>
      </c>
      <c r="F37" s="8" t="n">
        <v>1784.55</v>
      </c>
      <c r="G37" s="8">
        <f>IF($C$3="","",F37*$C$3)</f>
        <v/>
      </c>
      <c r="H37" t="inlineStr"/>
    </row>
    <row r="38">
      <c r="A38" t="inlineStr">
        <is>
          <t>Duhart-Milon (Lafite)</t>
        </is>
      </c>
      <c r="B38" t="inlineStr">
        <is>
          <t>2019</t>
        </is>
      </c>
      <c r="C38" t="inlineStr">
        <is>
          <t>Mistral</t>
        </is>
      </c>
      <c r="D38" t="inlineStr">
        <is>
          <t>CH. DUHART-MILON 2019 (TTO) (CRU CLASSE (MEDOC/GRAVES)</t>
        </is>
      </c>
      <c r="E38" t="n">
        <v>43</v>
      </c>
      <c r="F38" s="8" t="n">
        <v>1243.19</v>
      </c>
      <c r="G38" s="8">
        <f>IF($C$3="","",F38*$C$3)</f>
        <v/>
      </c>
      <c r="H38" t="inlineStr">
        <is>
          <t>Propriedade dos Rothschild (Lafite)</t>
        </is>
      </c>
    </row>
    <row r="39">
      <c r="A39" t="inlineStr">
        <is>
          <t>Clerc Milon (Mouton)</t>
        </is>
      </c>
      <c r="B39" t="inlineStr">
        <is>
          <t>2019</t>
        </is>
      </c>
      <c r="C39" t="inlineStr">
        <is>
          <t>World Wine</t>
        </is>
      </c>
      <c r="D39" t="inlineStr">
        <is>
          <t>Château Clerc Milon</t>
        </is>
      </c>
      <c r="F39" s="8" t="n">
        <v>1319.04</v>
      </c>
      <c r="G39" s="8">
        <f>IF($C$3="","",F39*$C$3)</f>
        <v/>
      </c>
      <c r="H39" t="inlineStr">
        <is>
          <t>Propriedade dos Rothschild (Mouton)</t>
        </is>
      </c>
    </row>
    <row r="40">
      <c r="A40" t="inlineStr">
        <is>
          <t>Pichon Comtesse de Lalande</t>
        </is>
      </c>
      <c r="B40" t="inlineStr">
        <is>
          <t>2006</t>
        </is>
      </c>
      <c r="C40" t="inlineStr">
        <is>
          <t>Tanyno</t>
        </is>
      </c>
      <c r="D40" t="inlineStr">
        <is>
          <t>COMTESSE DE LALANDE — CHATEAU PICHON LONGUEVILLE COMTESSE DE LALANDE</t>
        </is>
      </c>
      <c r="E40" t="n">
        <v>24</v>
      </c>
      <c r="F40" s="8" t="n">
        <v>2682.37</v>
      </c>
      <c r="G40" s="8">
        <f>IF($C$3="","",F40*$C$3)</f>
        <v/>
      </c>
      <c r="H40" t="inlineStr">
        <is>
          <t>Super second de Pauillac</t>
        </is>
      </c>
    </row>
    <row r="41">
      <c r="A41" t="inlineStr">
        <is>
          <t>Château Palmer</t>
        </is>
      </c>
      <c r="B41" t="inlineStr">
        <is>
          <t>2006</t>
        </is>
      </c>
      <c r="C41" t="inlineStr">
        <is>
          <t>World Wine</t>
        </is>
      </c>
      <c r="D41" t="inlineStr">
        <is>
          <t>Château Palmer</t>
        </is>
      </c>
      <c r="F41" s="8" t="n">
        <v>3738.24</v>
      </c>
      <c r="G41" s="8">
        <f>IF($C$3="","",F41*$C$3)</f>
        <v/>
      </c>
      <c r="H41" t="inlineStr">
        <is>
          <t>Super second de Margaux</t>
        </is>
      </c>
    </row>
    <row r="42">
      <c r="A42" s="6" t="inlineStr">
        <is>
          <t>5. Rothschild fora de Bordeaux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t="inlineStr">
        <is>
          <t>Opus One</t>
        </is>
      </c>
      <c r="B43" t="inlineStr">
        <is>
          <t>2010</t>
        </is>
      </c>
      <c r="C43" t="inlineStr">
        <is>
          <t>Mistral</t>
        </is>
      </c>
      <c r="D43" t="inlineStr">
        <is>
          <t>OPUS ONE 2010 (TTO) (OPUS ONE)</t>
        </is>
      </c>
      <c r="E43" t="n">
        <v>1</v>
      </c>
      <c r="F43" s="8" t="n">
        <v>6206.92</v>
      </c>
      <c r="G43" s="8">
        <f>IF($C$3="","",F43*$C$3)</f>
        <v/>
      </c>
      <c r="H43" t="inlineStr">
        <is>
          <t>Mouton Rothschild + Robert Mondavi (Napa)</t>
        </is>
      </c>
    </row>
    <row r="44">
      <c r="A44" t="inlineStr">
        <is>
          <t>Opus One</t>
        </is>
      </c>
      <c r="B44" t="inlineStr">
        <is>
          <t>2021</t>
        </is>
      </c>
      <c r="C44" t="inlineStr">
        <is>
          <t>Mistral</t>
        </is>
      </c>
      <c r="D44" t="inlineStr">
        <is>
          <t>OPUS ONE NAPA VALLEY 2021 (TTO) (OPUS ONE)</t>
        </is>
      </c>
      <c r="E44" t="n">
        <v>478</v>
      </c>
      <c r="F44" s="8" t="n">
        <v>3857.77</v>
      </c>
      <c r="G44" s="8">
        <f>IF($C$3="","",F44*$C$3)</f>
        <v/>
      </c>
      <c r="H44" t="inlineStr"/>
    </row>
    <row r="45">
      <c r="A45" t="inlineStr">
        <is>
          <t>Almaviva</t>
        </is>
      </c>
      <c r="B45" t="inlineStr">
        <is>
          <t>2021</t>
        </is>
      </c>
      <c r="C45" t="inlineStr">
        <is>
          <t>Boisse</t>
        </is>
      </c>
      <c r="D45" t="inlineStr">
        <is>
          <t>ALMAVIVA 2021 750 ML</t>
        </is>
      </c>
      <c r="F45" s="8" t="n">
        <v>1544.25</v>
      </c>
      <c r="G45" s="8">
        <f>IF($C$3="","",F45*$C$3)</f>
        <v/>
      </c>
      <c r="H45" t="inlineStr">
        <is>
          <t>Mouton Rothschild + Concha y Toro (Chile)</t>
        </is>
      </c>
    </row>
    <row r="46">
      <c r="A46" s="6" t="inlineStr">
        <is>
          <t>6. Peças de coleção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t="inlineStr">
        <is>
          <t>Kit Bordeaux Collection (9 gfs)</t>
        </is>
      </c>
      <c r="B47" t="inlineStr">
        <is>
          <t>2010</t>
        </is>
      </c>
      <c r="C47" t="inlineStr">
        <is>
          <t>World Wine</t>
        </is>
      </c>
      <c r="D47" t="inlineStr">
        <is>
          <t>Kit Bordeaux Collection (1 gf Ch. Lafite Rothschild, 1 gf Ch. Latour, 1 gf Ch. Mouton Rothschild, 1 gf Ch. Margaux, 1 gf Ch. Haut-Brion, 1 gf Ch. La Mission Haut-Brion, 1 gf Ch. Cheval Blanc, 1 gf Pétrus e 1 gf Ch. Y'Quem)</t>
        </is>
      </c>
      <c r="F47" s="8" t="n">
        <v>172224</v>
      </c>
      <c r="G47" s="8">
        <f>IF($C$3="","",F47*$C$3)</f>
        <v/>
      </c>
      <c r="H47" t="inlineStr">
        <is>
          <t>Pétrus, Lafite, Mouton, Latour, Margaux, Haut-Brion, La Mission, Cheval Blanc e Yquem — safra 2010</t>
        </is>
      </c>
    </row>
    <row r="48">
      <c r="A48" t="inlineStr">
        <is>
          <t>Vertical Château d'Yquem (13 safras)</t>
        </is>
      </c>
      <c r="B48" t="inlineStr"/>
      <c r="C48" t="inlineStr">
        <is>
          <t>Tanyno</t>
        </is>
      </c>
      <c r="D48" t="inlineStr">
        <is>
          <t>CHATEAU D YQUEM — VERTICAL CHATEAU D YQUEM (91 | 97 | 98 | 00 | 04 | 05 | 06 | 08 | 10 | 11 | 14 | 15 | 16)</t>
        </is>
      </c>
      <c r="E48" t="n">
        <v>3</v>
      </c>
      <c r="F48" s="8" t="n">
        <v>73517.02</v>
      </c>
      <c r="G48" s="8">
        <f>IF($C$3="","",F48*$C$3)</f>
        <v/>
      </c>
      <c r="H48" t="inlineStr">
        <is>
          <t>Tanyno Signature</t>
        </is>
      </c>
    </row>
    <row r="50">
      <c r="A50" s="2" t="inlineStr">
        <is>
          <t>Estoque em branco = fornecedor não informa na tabela (World Wine, Boisse, Interfood) — confirmar disponibilidade antes de ofertar.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80" customWidth="1" min="3" max="3"/>
    <col width="10" customWidth="1" min="4" max="4"/>
    <col width="10" customWidth="1" min="5" max="5"/>
    <col width="9" customWidth="1" min="6" max="6"/>
    <col width="13" customWidth="1" min="7" max="7"/>
  </cols>
  <sheetData>
    <row r="1">
      <c r="A1" s="5" t="inlineStr">
        <is>
          <t>Grupo</t>
        </is>
      </c>
      <c r="B1" s="5" t="inlineStr">
        <is>
          <t>Fornecedor</t>
        </is>
      </c>
      <c r="C1" s="5" t="inlineStr">
        <is>
          <t>Descrição na tabela</t>
        </is>
      </c>
      <c r="D1" s="5" t="inlineStr">
        <is>
          <t>Safra</t>
        </is>
      </c>
      <c r="E1" s="5" t="inlineStr">
        <is>
          <t>Volume</t>
        </is>
      </c>
      <c r="F1" s="5" t="inlineStr">
        <is>
          <t>Estoque</t>
        </is>
      </c>
      <c r="G1" s="5" t="inlineStr">
        <is>
          <t>Custo (R$)</t>
        </is>
      </c>
    </row>
    <row r="2">
      <c r="A2" t="inlineStr">
        <is>
          <t>Angélus</t>
        </is>
      </c>
      <c r="B2" t="inlineStr">
        <is>
          <t>Boisse</t>
        </is>
      </c>
      <c r="C2" t="inlineStr">
        <is>
          <t>CHATEAU ANGELUS 2015 3000ML</t>
        </is>
      </c>
      <c r="D2" t="inlineStr">
        <is>
          <t>2015</t>
        </is>
      </c>
      <c r="E2" t="inlineStr"/>
      <c r="G2" s="8" t="n">
        <v>26092.5</v>
      </c>
    </row>
    <row r="3">
      <c r="A3" t="inlineStr">
        <is>
          <t>Angélus</t>
        </is>
      </c>
      <c r="B3" t="inlineStr">
        <is>
          <t>Del Maipo</t>
        </is>
      </c>
      <c r="C3" t="inlineStr">
        <is>
          <t>FRANCE SAINT EMILION CHATEAU L ANGELUS 1978 750ML TT</t>
        </is>
      </c>
      <c r="D3" t="inlineStr">
        <is>
          <t>1978</t>
        </is>
      </c>
      <c r="E3" t="inlineStr"/>
      <c r="F3" t="n">
        <v>1</v>
      </c>
      <c r="G3" s="8" t="n">
        <v>10135.3</v>
      </c>
    </row>
    <row r="4">
      <c r="A4" t="inlineStr">
        <is>
          <t>Angélus</t>
        </is>
      </c>
      <c r="B4" t="inlineStr">
        <is>
          <t>Del Maipo</t>
        </is>
      </c>
      <c r="C4" t="inlineStr">
        <is>
          <t>FRANCE SAINT EMILION CHATEAU L'ANGELUS 1982 750ML</t>
        </is>
      </c>
      <c r="D4" t="inlineStr">
        <is>
          <t>1982</t>
        </is>
      </c>
      <c r="E4" t="inlineStr"/>
      <c r="F4" t="n">
        <v>1</v>
      </c>
      <c r="G4" s="8" t="n">
        <v>10024.74</v>
      </c>
    </row>
    <row r="5">
      <c r="A5" t="inlineStr">
        <is>
          <t>Angélus</t>
        </is>
      </c>
      <c r="B5" t="inlineStr">
        <is>
          <t>Del Maipo</t>
        </is>
      </c>
      <c r="C5" t="inlineStr">
        <is>
          <t>FRANCE SAINT EMILION CHATEAU L'ANGELUS 1992 750ML</t>
        </is>
      </c>
      <c r="D5" t="inlineStr">
        <is>
          <t>1992</t>
        </is>
      </c>
      <c r="E5" t="inlineStr"/>
      <c r="F5" t="n">
        <v>6</v>
      </c>
      <c r="G5" s="8" t="n">
        <v>7774.29</v>
      </c>
    </row>
    <row r="6">
      <c r="A6" t="inlineStr">
        <is>
          <t>Angélus</t>
        </is>
      </c>
      <c r="B6" t="inlineStr">
        <is>
          <t>Del Maipo</t>
        </is>
      </c>
      <c r="C6" t="inlineStr">
        <is>
          <t>FRANCE SAINT EMILION CHATEAU L'ANGELUS 1985 750ML</t>
        </is>
      </c>
      <c r="D6" t="inlineStr">
        <is>
          <t>1985</t>
        </is>
      </c>
      <c r="E6" t="inlineStr"/>
      <c r="F6" t="n">
        <v>2</v>
      </c>
      <c r="G6" s="8" t="n">
        <v>7569.7</v>
      </c>
    </row>
    <row r="7">
      <c r="A7" t="inlineStr">
        <is>
          <t>Angélus</t>
        </is>
      </c>
      <c r="B7" t="inlineStr">
        <is>
          <t>Del Maipo</t>
        </is>
      </c>
      <c r="C7" t="inlineStr">
        <is>
          <t>FRANCE SAINT EMILION CHATEAU L'ANGELUS 1986 750ML</t>
        </is>
      </c>
      <c r="D7" t="inlineStr">
        <is>
          <t>1986</t>
        </is>
      </c>
      <c r="E7" t="inlineStr"/>
      <c r="F7" t="n">
        <v>4</v>
      </c>
      <c r="G7" s="8" t="n">
        <v>7365.11</v>
      </c>
    </row>
    <row r="8">
      <c r="A8" t="inlineStr">
        <is>
          <t>Angélus</t>
        </is>
      </c>
      <c r="B8" t="inlineStr">
        <is>
          <t>Del Maipo</t>
        </is>
      </c>
      <c r="C8" t="inlineStr">
        <is>
          <t>CHATEAU ANGELUS - AOC SAINT EMILION GRAND CRU</t>
        </is>
      </c>
      <c r="D8" t="inlineStr">
        <is>
          <t>2017</t>
        </is>
      </c>
      <c r="E8" t="inlineStr">
        <is>
          <t>750ml</t>
        </is>
      </c>
      <c r="G8" s="8" t="n">
        <v>7179.54</v>
      </c>
    </row>
    <row r="9">
      <c r="A9" t="inlineStr">
        <is>
          <t>Angélus</t>
        </is>
      </c>
      <c r="B9" t="inlineStr">
        <is>
          <t>Del Maipo</t>
        </is>
      </c>
      <c r="C9" t="inlineStr">
        <is>
          <t>FRANCE SAINT EMILION CHATEAU L'ANGELUS 1962 750ML</t>
        </is>
      </c>
      <c r="D9" t="inlineStr">
        <is>
          <t>1962</t>
        </is>
      </c>
      <c r="E9" t="inlineStr"/>
      <c r="F9" t="n">
        <v>1</v>
      </c>
      <c r="G9" s="8" t="n">
        <v>7058.23</v>
      </c>
    </row>
    <row r="10">
      <c r="A10" t="inlineStr">
        <is>
          <t>Angélus</t>
        </is>
      </c>
      <c r="B10" t="inlineStr">
        <is>
          <t>Del Maipo</t>
        </is>
      </c>
      <c r="C10" t="inlineStr">
        <is>
          <t>FRANCE SAINT EMILION CHATEAU L'ANGELUS 1979 750ML</t>
        </is>
      </c>
      <c r="D10" t="inlineStr">
        <is>
          <t>1979</t>
        </is>
      </c>
      <c r="E10" t="inlineStr"/>
      <c r="F10" t="n">
        <v>3</v>
      </c>
      <c r="G10" s="8" t="n">
        <v>6853.65</v>
      </c>
    </row>
    <row r="11">
      <c r="A11" t="inlineStr">
        <is>
          <t>Angélus</t>
        </is>
      </c>
      <c r="B11" t="inlineStr">
        <is>
          <t>World Wine</t>
        </is>
      </c>
      <c r="C11" t="inlineStr">
        <is>
          <t>Château Angélus</t>
        </is>
      </c>
      <c r="D11" t="inlineStr">
        <is>
          <t>2016</t>
        </is>
      </c>
      <c r="E11" t="inlineStr">
        <is>
          <t>750</t>
        </is>
      </c>
      <c r="G11" s="8" t="n">
        <v>5466.24</v>
      </c>
    </row>
    <row r="12">
      <c r="A12" t="inlineStr">
        <is>
          <t>Angélus</t>
        </is>
      </c>
      <c r="B12" t="inlineStr">
        <is>
          <t>Boisse</t>
        </is>
      </c>
      <c r="C12" t="inlineStr">
        <is>
          <t>CHATEAU ANGELUS 2013</t>
        </is>
      </c>
      <c r="D12" t="inlineStr">
        <is>
          <t>2013</t>
        </is>
      </c>
      <c r="E12" t="inlineStr"/>
      <c r="G12" s="8" t="n">
        <v>4260</v>
      </c>
    </row>
    <row r="13">
      <c r="A13" t="inlineStr">
        <is>
          <t>Angélus</t>
        </is>
      </c>
      <c r="B13" t="inlineStr">
        <is>
          <t>Del Maipo</t>
        </is>
      </c>
      <c r="C13" t="inlineStr">
        <is>
          <t>CARILLON DE ANGELUS - SECOND VIN - AOC SAINT EMILION GRAND CRU</t>
        </is>
      </c>
      <c r="D13" t="inlineStr">
        <is>
          <t>2016</t>
        </is>
      </c>
      <c r="E13" t="inlineStr">
        <is>
          <t>750ml</t>
        </is>
      </c>
      <c r="G13" s="8" t="n">
        <v>1862.58</v>
      </c>
    </row>
    <row r="14">
      <c r="A14" t="inlineStr">
        <is>
          <t>Angélus</t>
        </is>
      </c>
      <c r="B14" t="inlineStr">
        <is>
          <t>Del Maipo</t>
        </is>
      </c>
      <c r="C14" t="inlineStr">
        <is>
          <t>CARILLON DE ANGELUS - SECOND VIN - AOC SAINT EMILION GRAND CRU</t>
        </is>
      </c>
      <c r="D14" t="inlineStr">
        <is>
          <t>2019</t>
        </is>
      </c>
      <c r="E14" t="inlineStr">
        <is>
          <t>750ml</t>
        </is>
      </c>
      <c r="G14" s="8" t="n">
        <v>1780.53</v>
      </c>
    </row>
    <row r="15">
      <c r="A15" t="inlineStr">
        <is>
          <t>Angélus</t>
        </is>
      </c>
      <c r="B15" t="inlineStr">
        <is>
          <t>Del Maipo</t>
        </is>
      </c>
      <c r="C15" t="inlineStr">
        <is>
          <t>TEMPO D'ANGELUS - AOC SAINT EMILION GRAND CRU</t>
        </is>
      </c>
      <c r="D15" t="inlineStr">
        <is>
          <t>2023</t>
        </is>
      </c>
      <c r="E15" t="inlineStr">
        <is>
          <t>3000ml</t>
        </is>
      </c>
      <c r="G15" s="8" t="n">
        <v>1291.96</v>
      </c>
    </row>
    <row r="16">
      <c r="A16" t="inlineStr">
        <is>
          <t>Angélus</t>
        </is>
      </c>
      <c r="B16" t="inlineStr">
        <is>
          <t>Vila Porto</t>
        </is>
      </c>
      <c r="C16" t="inlineStr">
        <is>
          <t>VINHO FRA ANG N 3 D'ANGELUS SAINT EMILION TTO 750ML</t>
        </is>
      </c>
      <c r="D16" t="inlineStr"/>
      <c r="E16" t="inlineStr"/>
      <c r="G16" s="8" t="n">
        <v>650.4400000000001</v>
      </c>
    </row>
    <row r="17">
      <c r="A17" t="inlineStr">
        <is>
          <t>Angélus</t>
        </is>
      </c>
      <c r="B17" t="inlineStr">
        <is>
          <t>Del Maipo</t>
        </is>
      </c>
      <c r="C17" t="inlineStr">
        <is>
          <t>TEMPO D'ANGELUS - AOC SAINT EMILION GRAND CRU</t>
        </is>
      </c>
      <c r="D17" t="inlineStr">
        <is>
          <t>2023</t>
        </is>
      </c>
      <c r="E17" t="inlineStr">
        <is>
          <t>1500ml</t>
        </is>
      </c>
      <c r="G17" s="8" t="n">
        <v>646.7</v>
      </c>
    </row>
    <row r="18">
      <c r="A18" t="inlineStr">
        <is>
          <t>Angélus</t>
        </is>
      </c>
      <c r="B18" t="inlineStr">
        <is>
          <t>Boisse</t>
        </is>
      </c>
      <c r="C18" t="inlineStr">
        <is>
          <t>TEMPO DE ANGELUS 2021 1,5LT</t>
        </is>
      </c>
      <c r="D18" t="inlineStr">
        <is>
          <t>2021</t>
        </is>
      </c>
      <c r="E18" t="inlineStr"/>
      <c r="G18" s="8" t="n">
        <v>404.7</v>
      </c>
    </row>
    <row r="19">
      <c r="A19" t="inlineStr">
        <is>
          <t>Angélus</t>
        </is>
      </c>
      <c r="B19" t="inlineStr">
        <is>
          <t>Del Maipo</t>
        </is>
      </c>
      <c r="C19" t="inlineStr">
        <is>
          <t>TEMPO D'ANGELUS - AOC SAINT EMILION GRAND CRU</t>
        </is>
      </c>
      <c r="D19" t="inlineStr">
        <is>
          <t>2023</t>
        </is>
      </c>
      <c r="E19" t="inlineStr">
        <is>
          <t>750ml</t>
        </is>
      </c>
      <c r="G19" s="8" t="n">
        <v>322.92</v>
      </c>
    </row>
    <row r="20">
      <c r="A20" t="inlineStr">
        <is>
          <t>Angélus</t>
        </is>
      </c>
      <c r="B20" t="inlineStr">
        <is>
          <t>Vila Porto</t>
        </is>
      </c>
      <c r="C20" t="inlineStr">
        <is>
          <t>VINHO FRA ANG TEMPO D'ANGELUS SAINT EMILION TTO 750ML</t>
        </is>
      </c>
      <c r="D20" t="inlineStr"/>
      <c r="E20" t="inlineStr"/>
      <c r="G20" s="8" t="n">
        <v>273.88</v>
      </c>
    </row>
    <row r="21">
      <c r="A21" t="inlineStr">
        <is>
          <t>Angélus</t>
        </is>
      </c>
      <c r="B21" t="inlineStr">
        <is>
          <t>Boisse</t>
        </is>
      </c>
      <c r="C21" t="inlineStr">
        <is>
          <t>TEMPO DE ANGELUS 2022</t>
        </is>
      </c>
      <c r="D21" t="inlineStr">
        <is>
          <t>2022</t>
        </is>
      </c>
      <c r="E21" t="inlineStr"/>
      <c r="G21" s="8" t="n">
        <v>202.35</v>
      </c>
    </row>
    <row r="22">
      <c r="A22" t="inlineStr">
        <is>
          <t>Ausone</t>
        </is>
      </c>
      <c r="B22" t="inlineStr">
        <is>
          <t>Del Maipo</t>
        </is>
      </c>
      <c r="C22" t="inlineStr">
        <is>
          <t>FRANCE SAINT EMILION CHATEAU AUSONE 1947 750ML</t>
        </is>
      </c>
      <c r="D22" t="inlineStr">
        <is>
          <t>1947</t>
        </is>
      </c>
      <c r="E22" t="inlineStr"/>
      <c r="F22" t="n">
        <v>1</v>
      </c>
      <c r="G22" s="8" t="n">
        <v>21370.17</v>
      </c>
    </row>
    <row r="23">
      <c r="A23" t="inlineStr">
        <is>
          <t>Ausone</t>
        </is>
      </c>
      <c r="B23" t="inlineStr">
        <is>
          <t>Mistral</t>
        </is>
      </c>
      <c r="C23" t="inlineStr">
        <is>
          <t>CHATEAU AUSONE 2014 (TTO) (SCHRODER E SCHYLER)</t>
        </is>
      </c>
      <c r="D23" t="inlineStr">
        <is>
          <t>2014</t>
        </is>
      </c>
      <c r="E23" t="inlineStr">
        <is>
          <t>750ml</t>
        </is>
      </c>
      <c r="F23" t="n">
        <v>6</v>
      </c>
      <c r="G23" s="8" t="n">
        <v>13148.44</v>
      </c>
    </row>
    <row r="24">
      <c r="A24" t="inlineStr">
        <is>
          <t>Ausone</t>
        </is>
      </c>
      <c r="B24" t="inlineStr">
        <is>
          <t>Del Maipo</t>
        </is>
      </c>
      <c r="C24" t="inlineStr">
        <is>
          <t>FRANCE SAINT EMILION CHATEAU AUSONE 1960 750ML</t>
        </is>
      </c>
      <c r="D24" t="inlineStr">
        <is>
          <t>1960</t>
        </is>
      </c>
      <c r="E24" t="inlineStr"/>
      <c r="F24" t="n">
        <v>1</v>
      </c>
      <c r="G24" s="8" t="n">
        <v>10644.22</v>
      </c>
    </row>
    <row r="25">
      <c r="A25" t="inlineStr">
        <is>
          <t>Ausone</t>
        </is>
      </c>
      <c r="B25" t="inlineStr">
        <is>
          <t>Del Maipo</t>
        </is>
      </c>
      <c r="C25" t="inlineStr">
        <is>
          <t>FRANCE SAINT EMILION CHATEAU AUSONE 1986 750ML</t>
        </is>
      </c>
      <c r="D25" t="inlineStr">
        <is>
          <t>1986</t>
        </is>
      </c>
      <c r="E25" t="inlineStr"/>
      <c r="F25" t="n">
        <v>2</v>
      </c>
      <c r="G25" s="8" t="n">
        <v>10065.66</v>
      </c>
    </row>
    <row r="26">
      <c r="A26" t="inlineStr">
        <is>
          <t>Ausone</t>
        </is>
      </c>
      <c r="B26" t="inlineStr">
        <is>
          <t>Del Maipo</t>
        </is>
      </c>
      <c r="C26" t="inlineStr">
        <is>
          <t>FRANCE SAINT EMILION CHATEAU AUSONE 1969 750ML</t>
        </is>
      </c>
      <c r="D26" t="inlineStr">
        <is>
          <t>1969</t>
        </is>
      </c>
      <c r="E26" t="inlineStr"/>
      <c r="F26" t="n">
        <v>9</v>
      </c>
      <c r="G26" s="8" t="n">
        <v>8588.01</v>
      </c>
    </row>
    <row r="27">
      <c r="A27" t="inlineStr">
        <is>
          <t>Ausone</t>
        </is>
      </c>
      <c r="B27" t="inlineStr">
        <is>
          <t>Del Maipo</t>
        </is>
      </c>
      <c r="C27" t="inlineStr">
        <is>
          <t>FRANCE SAINT EMILION CHATEAU AUSONE 1978 750ML TT</t>
        </is>
      </c>
      <c r="D27" t="inlineStr">
        <is>
          <t>1978</t>
        </is>
      </c>
      <c r="E27" t="inlineStr"/>
      <c r="F27" t="n">
        <v>3</v>
      </c>
      <c r="G27" s="8" t="n">
        <v>8159.24</v>
      </c>
    </row>
    <row r="28">
      <c r="A28" t="inlineStr">
        <is>
          <t>Ausone</t>
        </is>
      </c>
      <c r="B28" t="inlineStr">
        <is>
          <t>Del Maipo</t>
        </is>
      </c>
      <c r="C28" t="inlineStr">
        <is>
          <t>FRANCE SAINT EMILION CHATEAU AUSONE 1981 750ML</t>
        </is>
      </c>
      <c r="D28" t="inlineStr">
        <is>
          <t>1981</t>
        </is>
      </c>
      <c r="E28" t="inlineStr"/>
      <c r="F28" t="n">
        <v>3</v>
      </c>
      <c r="G28" s="8" t="n">
        <v>7569.7</v>
      </c>
    </row>
    <row r="29">
      <c r="A29" t="inlineStr">
        <is>
          <t>Ausone</t>
        </is>
      </c>
      <c r="B29" t="inlineStr">
        <is>
          <t>World Wine</t>
        </is>
      </c>
      <c r="C29" t="inlineStr">
        <is>
          <t>Château Ausone</t>
        </is>
      </c>
      <c r="D29" t="inlineStr">
        <is>
          <t>2006</t>
        </is>
      </c>
      <c r="E29" t="inlineStr">
        <is>
          <t>750</t>
        </is>
      </c>
      <c r="G29" s="8" t="n">
        <v>7361.28</v>
      </c>
    </row>
    <row r="30">
      <c r="A30" t="inlineStr">
        <is>
          <t>Ausone</t>
        </is>
      </c>
      <c r="B30" t="inlineStr">
        <is>
          <t>World Wine</t>
        </is>
      </c>
      <c r="C30" t="inlineStr">
        <is>
          <t>Château Ausone</t>
        </is>
      </c>
      <c r="D30" t="inlineStr">
        <is>
          <t>2017</t>
        </is>
      </c>
      <c r="E30" t="inlineStr">
        <is>
          <t>750</t>
        </is>
      </c>
      <c r="G30" s="8" t="n">
        <v>7136.64</v>
      </c>
    </row>
    <row r="31">
      <c r="A31" t="inlineStr">
        <is>
          <t>Ausone</t>
        </is>
      </c>
      <c r="B31" t="inlineStr">
        <is>
          <t>Del Maipo</t>
        </is>
      </c>
      <c r="C31" t="inlineStr">
        <is>
          <t>CHAPELLE D' AUSONE - SECOND VIN - AOC SAINT EMILION GRAND CRU</t>
        </is>
      </c>
      <c r="D31" t="inlineStr">
        <is>
          <t>2013</t>
        </is>
      </c>
      <c r="E31" t="inlineStr">
        <is>
          <t>750ml</t>
        </is>
      </c>
      <c r="G31" s="8" t="n">
        <v>3767.78</v>
      </c>
    </row>
    <row r="32">
      <c r="A32" t="inlineStr">
        <is>
          <t>Ausone</t>
        </is>
      </c>
      <c r="B32" t="inlineStr">
        <is>
          <t>Mistral</t>
        </is>
      </c>
      <c r="C32" t="inlineStr">
        <is>
          <t>CHAPELLE D`AUSONE 2014 (TTO) (SCHRODER E SCHYLER)</t>
        </is>
      </c>
      <c r="D32" t="inlineStr">
        <is>
          <t>2014</t>
        </is>
      </c>
      <c r="E32" t="inlineStr">
        <is>
          <t>750ml</t>
        </is>
      </c>
      <c r="F32" t="n">
        <v>1</v>
      </c>
      <c r="G32" s="8" t="n">
        <v>2626.18</v>
      </c>
    </row>
    <row r="33">
      <c r="A33" t="inlineStr">
        <is>
          <t>Carruades</t>
        </is>
      </c>
      <c r="B33" t="inlineStr">
        <is>
          <t>Mistral</t>
        </is>
      </c>
      <c r="C33" t="inlineStr">
        <is>
          <t>MG CARRUADES DE LAFITE 2009 (TTO) (COM SELO)</t>
        </is>
      </c>
      <c r="D33" t="inlineStr">
        <is>
          <t>2009</t>
        </is>
      </c>
      <c r="E33" t="inlineStr">
        <is>
          <t>1500ml</t>
        </is>
      </c>
      <c r="F33" t="n">
        <v>2</v>
      </c>
      <c r="G33" s="8" t="n">
        <v>8183.98</v>
      </c>
    </row>
    <row r="34">
      <c r="A34" t="inlineStr">
        <is>
          <t>Carruades</t>
        </is>
      </c>
      <c r="B34" t="inlineStr">
        <is>
          <t>Mistral</t>
        </is>
      </c>
      <c r="C34" t="inlineStr">
        <is>
          <t>MG CARRUADES DE LAFITE 2008 (TTO) (COM SELO)</t>
        </is>
      </c>
      <c r="D34" t="inlineStr">
        <is>
          <t>2008</t>
        </is>
      </c>
      <c r="E34" t="inlineStr">
        <is>
          <t>1500ml</t>
        </is>
      </c>
      <c r="F34" t="n">
        <v>3</v>
      </c>
      <c r="G34" s="8" t="n">
        <v>8183.98</v>
      </c>
    </row>
    <row r="35">
      <c r="A35" t="inlineStr">
        <is>
          <t>Carruades</t>
        </is>
      </c>
      <c r="B35" t="inlineStr">
        <is>
          <t>Mistral</t>
        </is>
      </c>
      <c r="C35" t="inlineStr">
        <is>
          <t>MG CARRUADES DE LAFITE 2012 (TTO) (DEUXIEME VIN)</t>
        </is>
      </c>
      <c r="D35" t="inlineStr">
        <is>
          <t>2012</t>
        </is>
      </c>
      <c r="E35" t="inlineStr">
        <is>
          <t>1500ml</t>
        </is>
      </c>
      <c r="F35" t="n">
        <v>1</v>
      </c>
      <c r="G35" s="8" t="n">
        <v>4867.52</v>
      </c>
    </row>
    <row r="36">
      <c r="A36" t="inlineStr">
        <is>
          <t>Carruades</t>
        </is>
      </c>
      <c r="B36" t="inlineStr">
        <is>
          <t>Mistral</t>
        </is>
      </c>
      <c r="C36" t="inlineStr">
        <is>
          <t>CARRUADES DE LAFITE 2022  (TTO)</t>
        </is>
      </c>
      <c r="D36" t="inlineStr">
        <is>
          <t>2022</t>
        </is>
      </c>
      <c r="E36" t="inlineStr">
        <is>
          <t>750ml</t>
        </is>
      </c>
      <c r="F36" t="n">
        <v>42</v>
      </c>
      <c r="G36" s="8" t="n">
        <v>4049.12</v>
      </c>
    </row>
    <row r="37">
      <c r="A37" t="inlineStr">
        <is>
          <t>Carruades</t>
        </is>
      </c>
      <c r="B37" t="inlineStr">
        <is>
          <t>Mistral</t>
        </is>
      </c>
      <c r="C37" t="inlineStr">
        <is>
          <t>CARRUADES DE LAFITE 2009 (TTO) (COM SELO)</t>
        </is>
      </c>
      <c r="D37" t="inlineStr">
        <is>
          <t>2009</t>
        </is>
      </c>
      <c r="E37" t="inlineStr">
        <is>
          <t>750ml</t>
        </is>
      </c>
      <c r="F37" t="n">
        <v>110</v>
      </c>
      <c r="G37" s="8" t="n">
        <v>3893.24</v>
      </c>
    </row>
    <row r="38">
      <c r="A38" t="inlineStr">
        <is>
          <t>Carruades</t>
        </is>
      </c>
      <c r="B38" t="inlineStr">
        <is>
          <t>Mistral</t>
        </is>
      </c>
      <c r="C38" t="inlineStr">
        <is>
          <t>CARRUADES DE LAFITE 2007 (TTO)</t>
        </is>
      </c>
      <c r="D38" t="inlineStr">
        <is>
          <t>2007</t>
        </is>
      </c>
      <c r="E38" t="inlineStr">
        <is>
          <t>750ml</t>
        </is>
      </c>
      <c r="F38" t="n">
        <v>10</v>
      </c>
      <c r="G38" s="8" t="n">
        <v>3893.24</v>
      </c>
    </row>
    <row r="39">
      <c r="A39" t="inlineStr">
        <is>
          <t>Carruades</t>
        </is>
      </c>
      <c r="B39" t="inlineStr">
        <is>
          <t>Mistral</t>
        </is>
      </c>
      <c r="C39" t="inlineStr">
        <is>
          <t>CARRUADES DE LAFITE 2008 (TTO) (COM SELO)</t>
        </is>
      </c>
      <c r="D39" t="inlineStr">
        <is>
          <t>2008</t>
        </is>
      </c>
      <c r="E39" t="inlineStr">
        <is>
          <t>750ml</t>
        </is>
      </c>
      <c r="F39" t="n">
        <v>19</v>
      </c>
      <c r="G39" s="8" t="n">
        <v>3893.24</v>
      </c>
    </row>
    <row r="40">
      <c r="A40" t="inlineStr">
        <is>
          <t>Carruades</t>
        </is>
      </c>
      <c r="B40" t="inlineStr">
        <is>
          <t>Mistral</t>
        </is>
      </c>
      <c r="C40" t="inlineStr">
        <is>
          <t>CARRUADES DE LAFITE PAUILLAC AOC 2023 (TTO)</t>
        </is>
      </c>
      <c r="D40" t="inlineStr">
        <is>
          <t>2023</t>
        </is>
      </c>
      <c r="E40" t="inlineStr">
        <is>
          <t>750ml</t>
        </is>
      </c>
      <c r="F40" t="n">
        <v>30</v>
      </c>
      <c r="G40" s="8" t="n">
        <v>3893.24</v>
      </c>
    </row>
    <row r="41">
      <c r="A41" t="inlineStr">
        <is>
          <t>Carruades</t>
        </is>
      </c>
      <c r="B41" t="inlineStr">
        <is>
          <t>Mistral</t>
        </is>
      </c>
      <c r="C41" t="inlineStr">
        <is>
          <t>CARRUADES DE LAFITE PAUILLAC AOC 2021 (TTO)</t>
        </is>
      </c>
      <c r="D41" t="inlineStr">
        <is>
          <t>2021</t>
        </is>
      </c>
      <c r="E41" t="inlineStr">
        <is>
          <t>750ml</t>
        </is>
      </c>
      <c r="F41" t="n">
        <v>57</v>
      </c>
      <c r="G41" s="8" t="n">
        <v>3386.61</v>
      </c>
    </row>
    <row r="42">
      <c r="A42" t="inlineStr">
        <is>
          <t>Carruades</t>
        </is>
      </c>
      <c r="B42" t="inlineStr">
        <is>
          <t>Mistral</t>
        </is>
      </c>
      <c r="C42" t="inlineStr">
        <is>
          <t>CARRUADES DE LAFITE 2010 (TTO) (DEUXIEME VIN)</t>
        </is>
      </c>
      <c r="D42" t="inlineStr">
        <is>
          <t>2010</t>
        </is>
      </c>
      <c r="E42" t="inlineStr">
        <is>
          <t>750ml</t>
        </is>
      </c>
      <c r="F42" t="n">
        <v>48</v>
      </c>
      <c r="G42" s="8" t="n">
        <v>3115.76</v>
      </c>
    </row>
    <row r="43">
      <c r="A43" t="inlineStr">
        <is>
          <t>Carruades</t>
        </is>
      </c>
      <c r="B43" t="inlineStr">
        <is>
          <t>Mistral</t>
        </is>
      </c>
      <c r="C43" t="inlineStr">
        <is>
          <t>CARRUADES DE LAFITE 2011 (TTO) (DEUXIEME VIN)</t>
        </is>
      </c>
      <c r="D43" t="inlineStr">
        <is>
          <t>2011</t>
        </is>
      </c>
      <c r="E43" t="inlineStr">
        <is>
          <t>750ml</t>
        </is>
      </c>
      <c r="F43" t="n">
        <v>204</v>
      </c>
      <c r="G43" s="8" t="n">
        <v>3115.76</v>
      </c>
    </row>
    <row r="44">
      <c r="A44" t="inlineStr">
        <is>
          <t>Carruades</t>
        </is>
      </c>
      <c r="B44" t="inlineStr">
        <is>
          <t>Mistral</t>
        </is>
      </c>
      <c r="C44" t="inlineStr">
        <is>
          <t>CARRUADES DE LAFITE 2012 (TTO) (DEUXIEME VIN)</t>
        </is>
      </c>
      <c r="D44" t="inlineStr">
        <is>
          <t>2012</t>
        </is>
      </c>
      <c r="E44" t="inlineStr">
        <is>
          <t>750ml</t>
        </is>
      </c>
      <c r="F44" t="n">
        <v>81</v>
      </c>
      <c r="G44" s="8" t="n">
        <v>2451.3</v>
      </c>
    </row>
    <row r="45">
      <c r="A45" t="inlineStr">
        <is>
          <t>Cheval Blanc</t>
        </is>
      </c>
      <c r="B45" t="inlineStr">
        <is>
          <t>Del Maipo</t>
        </is>
      </c>
      <c r="C45" t="inlineStr">
        <is>
          <t>FRANCE SAINT EMILION CHATEAU CHEVAL BLANC 1970 750ML</t>
        </is>
      </c>
      <c r="D45" t="inlineStr">
        <is>
          <t>1970</t>
        </is>
      </c>
      <c r="E45" t="inlineStr"/>
      <c r="F45" t="n">
        <v>1</v>
      </c>
      <c r="G45" s="8" t="n">
        <v>19123.21</v>
      </c>
    </row>
    <row r="46">
      <c r="A46" t="inlineStr">
        <is>
          <t>Cheval Blanc</t>
        </is>
      </c>
      <c r="B46" t="inlineStr">
        <is>
          <t>Del Maipo</t>
        </is>
      </c>
      <c r="C46" t="inlineStr">
        <is>
          <t>FRANCE SAINT EMILION CHATEAU CHEVAL BLANC 1975 750ML</t>
        </is>
      </c>
      <c r="D46" t="inlineStr">
        <is>
          <t>1975</t>
        </is>
      </c>
      <c r="E46" t="inlineStr"/>
      <c r="F46" t="n">
        <v>2</v>
      </c>
      <c r="G46" s="8" t="n">
        <v>16377.13</v>
      </c>
    </row>
    <row r="47">
      <c r="A47" t="inlineStr">
        <is>
          <t>Cheval Blanc</t>
        </is>
      </c>
      <c r="B47" t="inlineStr">
        <is>
          <t>Mistral</t>
        </is>
      </c>
      <c r="C47" t="inlineStr">
        <is>
          <t>CHATEAU CHEVAL BLANC AOC 19</t>
        </is>
      </c>
      <c r="D47" t="inlineStr">
        <is>
          <t>2019</t>
        </is>
      </c>
      <c r="E47" t="inlineStr">
        <is>
          <t>750ml</t>
        </is>
      </c>
      <c r="F47" t="n">
        <v>10</v>
      </c>
      <c r="G47" s="8" t="n">
        <v>14862.69</v>
      </c>
    </row>
    <row r="48">
      <c r="A48" t="inlineStr">
        <is>
          <t>Cheval Blanc</t>
        </is>
      </c>
      <c r="B48" t="inlineStr">
        <is>
          <t>Del Maipo</t>
        </is>
      </c>
      <c r="C48" t="inlineStr">
        <is>
          <t>FRANCE SAINT EMILION CHATEAU CHEVAL BLANC 1966 750ML</t>
        </is>
      </c>
      <c r="D48" t="inlineStr">
        <is>
          <t>1966</t>
        </is>
      </c>
      <c r="E48" t="inlineStr"/>
      <c r="F48" t="n">
        <v>1</v>
      </c>
      <c r="G48" s="8" t="n">
        <v>14834.98</v>
      </c>
    </row>
    <row r="49">
      <c r="A49" t="inlineStr">
        <is>
          <t>Cheval Blanc</t>
        </is>
      </c>
      <c r="B49" t="inlineStr">
        <is>
          <t>Del Maipo</t>
        </is>
      </c>
      <c r="C49" t="inlineStr">
        <is>
          <t>FRANCE SAINT EMILION CHATEAU CHEVAL BLANC 2003 750ML</t>
        </is>
      </c>
      <c r="D49" t="inlineStr">
        <is>
          <t>2003</t>
        </is>
      </c>
      <c r="E49" t="inlineStr"/>
      <c r="F49" t="n">
        <v>2</v>
      </c>
      <c r="G49" s="8" t="n">
        <v>14116.47</v>
      </c>
    </row>
    <row r="50">
      <c r="A50" t="inlineStr">
        <is>
          <t>Cheval Blanc</t>
        </is>
      </c>
      <c r="B50" t="inlineStr">
        <is>
          <t>Del Maipo</t>
        </is>
      </c>
      <c r="C50" t="inlineStr">
        <is>
          <t>FRANCE SAINT EMILION CHATEAU CHEVAL BLANC 1985 750ML</t>
        </is>
      </c>
      <c r="D50" t="inlineStr">
        <is>
          <t>1985</t>
        </is>
      </c>
      <c r="E50" t="inlineStr"/>
      <c r="F50" t="n">
        <v>1</v>
      </c>
      <c r="G50" s="8" t="n">
        <v>13675.99</v>
      </c>
    </row>
    <row r="51">
      <c r="A51" t="inlineStr">
        <is>
          <t>Cheval Blanc</t>
        </is>
      </c>
      <c r="B51" t="inlineStr">
        <is>
          <t>Del Maipo</t>
        </is>
      </c>
      <c r="C51" t="inlineStr">
        <is>
          <t>CHATEAU CHEVAL BLANC - AOC SAINT EMILION GRAND CRU</t>
        </is>
      </c>
      <c r="D51" t="inlineStr">
        <is>
          <t>2017</t>
        </is>
      </c>
      <c r="E51" t="inlineStr">
        <is>
          <t>750ml</t>
        </is>
      </c>
      <c r="G51" s="8" t="n">
        <v>13359.32</v>
      </c>
    </row>
    <row r="52">
      <c r="A52" t="inlineStr">
        <is>
          <t>Cheval Blanc</t>
        </is>
      </c>
      <c r="B52" t="inlineStr">
        <is>
          <t>Del Maipo</t>
        </is>
      </c>
      <c r="C52" t="inlineStr">
        <is>
          <t>FRANCE SAINT EMILION CHATEAU CHEVAL BLANC 1986 750ML</t>
        </is>
      </c>
      <c r="D52" t="inlineStr">
        <is>
          <t>1986</t>
        </is>
      </c>
      <c r="E52" t="inlineStr"/>
      <c r="F52" t="n">
        <v>5</v>
      </c>
      <c r="G52" s="8" t="n">
        <v>13195.83</v>
      </c>
    </row>
    <row r="53">
      <c r="A53" t="inlineStr">
        <is>
          <t>Cheval Blanc</t>
        </is>
      </c>
      <c r="B53" t="inlineStr">
        <is>
          <t>Del Maipo</t>
        </is>
      </c>
      <c r="C53" t="inlineStr">
        <is>
          <t>FRANCE SAINT EMILION CHATEAU CHEVAL BLANC 1983 750ML</t>
        </is>
      </c>
      <c r="D53" t="inlineStr">
        <is>
          <t>1983</t>
        </is>
      </c>
      <c r="E53" t="inlineStr"/>
      <c r="F53" t="n">
        <v>1</v>
      </c>
      <c r="G53" s="8" t="n">
        <v>13093.54</v>
      </c>
    </row>
    <row r="54">
      <c r="A54" t="inlineStr">
        <is>
          <t>Cheval Blanc</t>
        </is>
      </c>
      <c r="B54" t="inlineStr">
        <is>
          <t>Del Maipo</t>
        </is>
      </c>
      <c r="C54" t="inlineStr">
        <is>
          <t>FRANCE SAINT EMILION CHATEAU CHEVAL BLANC 1976 750ML</t>
        </is>
      </c>
      <c r="D54" t="inlineStr">
        <is>
          <t>1976</t>
        </is>
      </c>
      <c r="E54" t="inlineStr"/>
      <c r="F54" t="n">
        <v>1</v>
      </c>
      <c r="G54" s="8" t="n">
        <v>12786.66</v>
      </c>
    </row>
    <row r="55">
      <c r="A55" t="inlineStr">
        <is>
          <t>Cheval Blanc</t>
        </is>
      </c>
      <c r="B55" t="inlineStr">
        <is>
          <t>Del Maipo</t>
        </is>
      </c>
      <c r="C55" t="inlineStr">
        <is>
          <t>FRANCE SAINT EMILION CHATEAU CHEVAL BLANC 1981 750ML</t>
        </is>
      </c>
      <c r="D55" t="inlineStr">
        <is>
          <t>1981</t>
        </is>
      </c>
      <c r="E55" t="inlineStr"/>
      <c r="F55" t="n">
        <v>3</v>
      </c>
      <c r="G55" s="8" t="n">
        <v>11763.72</v>
      </c>
    </row>
    <row r="56">
      <c r="A56" t="inlineStr">
        <is>
          <t>Cheval Blanc</t>
        </is>
      </c>
      <c r="B56" t="inlineStr">
        <is>
          <t>World Wine</t>
        </is>
      </c>
      <c r="C56" t="inlineStr">
        <is>
          <t>Château Cheval Blanc</t>
        </is>
      </c>
      <c r="D56" t="inlineStr">
        <is>
          <t>2015</t>
        </is>
      </c>
      <c r="E56" t="inlineStr">
        <is>
          <t>750</t>
        </is>
      </c>
      <c r="G56" s="8" t="n">
        <v>10938.24</v>
      </c>
    </row>
    <row r="57">
      <c r="A57" t="inlineStr">
        <is>
          <t>Cheval Blanc</t>
        </is>
      </c>
      <c r="B57" t="inlineStr">
        <is>
          <t>World Wine</t>
        </is>
      </c>
      <c r="C57" t="inlineStr">
        <is>
          <t>Château Cheval Blanc</t>
        </is>
      </c>
      <c r="D57" t="inlineStr">
        <is>
          <t>2016</t>
        </is>
      </c>
      <c r="E57" t="inlineStr">
        <is>
          <t>750</t>
        </is>
      </c>
      <c r="G57" s="8" t="n">
        <v>10938.24</v>
      </c>
    </row>
    <row r="58">
      <c r="A58" t="inlineStr">
        <is>
          <t>Cheval Blanc</t>
        </is>
      </c>
      <c r="B58" t="inlineStr">
        <is>
          <t>World Wine</t>
        </is>
      </c>
      <c r="C58" t="inlineStr">
        <is>
          <t>Château Cheval Blanc</t>
        </is>
      </c>
      <c r="D58" t="inlineStr">
        <is>
          <t>2018</t>
        </is>
      </c>
      <c r="E58" t="inlineStr">
        <is>
          <t>750</t>
        </is>
      </c>
      <c r="G58" s="8" t="n">
        <v>10938.24</v>
      </c>
    </row>
    <row r="59">
      <c r="A59" t="inlineStr">
        <is>
          <t>Cheval Blanc</t>
        </is>
      </c>
      <c r="B59" t="inlineStr">
        <is>
          <t>World Wine</t>
        </is>
      </c>
      <c r="C59" t="inlineStr">
        <is>
          <t>Château Cheval Blanc</t>
        </is>
      </c>
      <c r="D59" t="inlineStr">
        <is>
          <t>2019</t>
        </is>
      </c>
      <c r="E59" t="inlineStr">
        <is>
          <t>750</t>
        </is>
      </c>
      <c r="G59" s="8" t="n">
        <v>9786.24</v>
      </c>
    </row>
    <row r="60">
      <c r="A60" t="inlineStr">
        <is>
          <t>Cheval Blanc</t>
        </is>
      </c>
      <c r="B60" t="inlineStr">
        <is>
          <t>World Wine</t>
        </is>
      </c>
      <c r="C60" t="inlineStr">
        <is>
          <t>Château Cheval Blanc</t>
        </is>
      </c>
      <c r="D60" t="inlineStr">
        <is>
          <t>2020</t>
        </is>
      </c>
      <c r="E60" t="inlineStr">
        <is>
          <t>750</t>
        </is>
      </c>
      <c r="G60" s="8" t="n">
        <v>9786.24</v>
      </c>
    </row>
    <row r="61">
      <c r="A61" t="inlineStr">
        <is>
          <t>Cheval Blanc</t>
        </is>
      </c>
      <c r="B61" t="inlineStr">
        <is>
          <t>World Wine</t>
        </is>
      </c>
      <c r="C61" t="inlineStr">
        <is>
          <t>Château Cheval Blanc</t>
        </is>
      </c>
      <c r="D61" t="inlineStr">
        <is>
          <t>2006</t>
        </is>
      </c>
      <c r="E61" t="inlineStr">
        <is>
          <t>750</t>
        </is>
      </c>
      <c r="G61" s="8" t="n">
        <v>8634.24</v>
      </c>
    </row>
    <row r="62">
      <c r="A62" t="inlineStr">
        <is>
          <t>Cheval Blanc</t>
        </is>
      </c>
      <c r="B62" t="inlineStr">
        <is>
          <t>World Wine</t>
        </is>
      </c>
      <c r="C62" t="inlineStr">
        <is>
          <t>Château Cheval Blanc</t>
        </is>
      </c>
      <c r="D62" t="inlineStr">
        <is>
          <t>2014</t>
        </is>
      </c>
      <c r="E62" t="inlineStr">
        <is>
          <t>750</t>
        </is>
      </c>
      <c r="G62" s="8" t="n">
        <v>8634.24</v>
      </c>
    </row>
    <row r="63">
      <c r="A63" t="inlineStr">
        <is>
          <t>Haut-Brion</t>
        </is>
      </c>
      <c r="B63" t="inlineStr">
        <is>
          <t>Del Maipo</t>
        </is>
      </c>
      <c r="C63" t="inlineStr">
        <is>
          <t>FRANCE GRAVES CHATEAU HAUT BRION  1976 4500L</t>
        </is>
      </c>
      <c r="D63" t="inlineStr">
        <is>
          <t>1976</t>
        </is>
      </c>
      <c r="E63" t="inlineStr"/>
      <c r="F63" t="n">
        <v>1</v>
      </c>
      <c r="G63" s="8" t="n">
        <v>83446.74000000001</v>
      </c>
    </row>
    <row r="64">
      <c r="A64" t="inlineStr">
        <is>
          <t>Haut-Brion</t>
        </is>
      </c>
      <c r="B64" t="inlineStr">
        <is>
          <t>Boisse</t>
        </is>
      </c>
      <c r="C64" t="inlineStr">
        <is>
          <t>CH HAUT BRION 2021 1500 ML CB 01</t>
        </is>
      </c>
      <c r="D64" t="inlineStr">
        <is>
          <t>2021</t>
        </is>
      </c>
      <c r="E64" t="inlineStr"/>
      <c r="G64" s="8" t="n">
        <v>17018.7</v>
      </c>
    </row>
    <row r="65">
      <c r="A65" t="inlineStr">
        <is>
          <t>Haut-Brion</t>
        </is>
      </c>
      <c r="B65" t="inlineStr">
        <is>
          <t>Del Maipo</t>
        </is>
      </c>
      <c r="C65" t="inlineStr">
        <is>
          <t>FRANCE GRAVES CHATEAU HAUT BRION  1985 750ML</t>
        </is>
      </c>
      <c r="D65" t="inlineStr">
        <is>
          <t>1985</t>
        </is>
      </c>
      <c r="E65" t="inlineStr"/>
      <c r="F65" t="n">
        <v>8</v>
      </c>
      <c r="G65" s="8" t="n">
        <v>15646.26</v>
      </c>
    </row>
    <row r="66">
      <c r="A66" t="inlineStr">
        <is>
          <t>Haut-Brion</t>
        </is>
      </c>
      <c r="B66" t="inlineStr">
        <is>
          <t>World Wine</t>
        </is>
      </c>
      <c r="C66" t="inlineStr">
        <is>
          <t>Château Haut-Brion Blanc</t>
        </is>
      </c>
      <c r="D66" t="inlineStr">
        <is>
          <t>2010</t>
        </is>
      </c>
      <c r="E66" t="inlineStr">
        <is>
          <t>750</t>
        </is>
      </c>
      <c r="G66" s="8" t="n">
        <v>13818.24</v>
      </c>
    </row>
    <row r="67">
      <c r="A67" t="inlineStr">
        <is>
          <t>Haut-Brion</t>
        </is>
      </c>
      <c r="B67" t="inlineStr">
        <is>
          <t>World Wine</t>
        </is>
      </c>
      <c r="C67" t="inlineStr">
        <is>
          <t>Château Haut-Brion Blanc</t>
        </is>
      </c>
      <c r="D67" t="inlineStr">
        <is>
          <t>2020</t>
        </is>
      </c>
      <c r="E67" t="inlineStr">
        <is>
          <t>750</t>
        </is>
      </c>
      <c r="G67" s="8" t="n">
        <v>13818.24</v>
      </c>
    </row>
    <row r="68">
      <c r="A68" t="inlineStr">
        <is>
          <t>Haut-Brion</t>
        </is>
      </c>
      <c r="B68" t="inlineStr">
        <is>
          <t>Del Maipo</t>
        </is>
      </c>
      <c r="C68" t="inlineStr">
        <is>
          <t>FRANCE GRAVES CHATEAU HAUT BRION 2011 750ML</t>
        </is>
      </c>
      <c r="D68" t="inlineStr">
        <is>
          <t>2011</t>
        </is>
      </c>
      <c r="E68" t="inlineStr"/>
      <c r="F68" t="n">
        <v>3</v>
      </c>
      <c r="G68" s="8" t="n">
        <v>13318.58</v>
      </c>
    </row>
    <row r="69">
      <c r="A69" t="inlineStr">
        <is>
          <t>Haut-Brion</t>
        </is>
      </c>
      <c r="B69" t="inlineStr">
        <is>
          <t>Del Maipo</t>
        </is>
      </c>
      <c r="C69" t="inlineStr">
        <is>
          <t>FRANCE GRAVES CHATEAU HAUT BRION 1999 750ML</t>
        </is>
      </c>
      <c r="D69" t="inlineStr">
        <is>
          <t>1999</t>
        </is>
      </c>
      <c r="E69" t="inlineStr"/>
      <c r="F69" t="n">
        <v>1</v>
      </c>
      <c r="G69" s="8" t="n">
        <v>12874.63</v>
      </c>
    </row>
    <row r="70">
      <c r="A70" t="inlineStr">
        <is>
          <t>Haut-Brion</t>
        </is>
      </c>
      <c r="B70" t="inlineStr">
        <is>
          <t>Del Maipo</t>
        </is>
      </c>
      <c r="C70" t="inlineStr">
        <is>
          <t>FRANCE GRAVES CHATEAU HAUT BRION 1994 750ML</t>
        </is>
      </c>
      <c r="D70" t="inlineStr">
        <is>
          <t>1994</t>
        </is>
      </c>
      <c r="E70" t="inlineStr"/>
      <c r="F70" t="n">
        <v>2</v>
      </c>
      <c r="G70" s="8" t="n">
        <v>12459.32</v>
      </c>
    </row>
    <row r="71">
      <c r="A71" t="inlineStr">
        <is>
          <t>Haut-Brion</t>
        </is>
      </c>
      <c r="B71" t="inlineStr">
        <is>
          <t>Del Maipo</t>
        </is>
      </c>
      <c r="C71" t="inlineStr">
        <is>
          <t>FRANCE GRAVES CHATEAU HAUT BRION 1987 750ML</t>
        </is>
      </c>
      <c r="D71" t="inlineStr">
        <is>
          <t>1987</t>
        </is>
      </c>
      <c r="E71" t="inlineStr"/>
      <c r="F71" t="n">
        <v>4</v>
      </c>
      <c r="G71" s="8" t="n">
        <v>11850.67</v>
      </c>
    </row>
    <row r="72">
      <c r="A72" t="inlineStr">
        <is>
          <t>Haut-Brion</t>
        </is>
      </c>
      <c r="B72" t="inlineStr">
        <is>
          <t>Del Maipo</t>
        </is>
      </c>
      <c r="C72" t="inlineStr">
        <is>
          <t>FRANCE GRAVES CHATEAU HAUT BRION 1988 750ML TT</t>
        </is>
      </c>
      <c r="D72" t="inlineStr">
        <is>
          <t>1988</t>
        </is>
      </c>
      <c r="E72" t="inlineStr"/>
      <c r="F72" t="n">
        <v>1</v>
      </c>
      <c r="G72" s="8" t="n">
        <v>11601.42</v>
      </c>
    </row>
    <row r="73">
      <c r="A73" t="inlineStr">
        <is>
          <t>Haut-Brion</t>
        </is>
      </c>
      <c r="B73" t="inlineStr">
        <is>
          <t>Del Maipo</t>
        </is>
      </c>
      <c r="C73" t="inlineStr">
        <is>
          <t>CHATEAU HAUT BRION - AOC PESSAC LEOGNAN PREMIER GRAND CRU CLASSE</t>
        </is>
      </c>
      <c r="D73" t="inlineStr">
        <is>
          <t>2017</t>
        </is>
      </c>
      <c r="E73" t="inlineStr">
        <is>
          <t>750ml</t>
        </is>
      </c>
      <c r="G73" s="8" t="n">
        <v>11184.54</v>
      </c>
    </row>
    <row r="74">
      <c r="A74" t="inlineStr">
        <is>
          <t>Haut-Brion</t>
        </is>
      </c>
      <c r="B74" t="inlineStr">
        <is>
          <t>Del Maipo</t>
        </is>
      </c>
      <c r="C74" t="inlineStr">
        <is>
          <t>FRANCE GRAVES CHATEAU HAUT BRION 1981 750ML</t>
        </is>
      </c>
      <c r="D74" t="inlineStr">
        <is>
          <t>1981</t>
        </is>
      </c>
      <c r="E74" t="inlineStr"/>
      <c r="F74" t="n">
        <v>3</v>
      </c>
      <c r="G74" s="8" t="n">
        <v>11098.82</v>
      </c>
    </row>
    <row r="75">
      <c r="A75" t="inlineStr">
        <is>
          <t>Haut-Brion</t>
        </is>
      </c>
      <c r="B75" t="inlineStr">
        <is>
          <t>Del Maipo</t>
        </is>
      </c>
      <c r="C75" t="inlineStr">
        <is>
          <t>FRANCE GRAVES CHATEAU HAUT BRION 1973 750ML TT</t>
        </is>
      </c>
      <c r="D75" t="inlineStr">
        <is>
          <t>1973</t>
        </is>
      </c>
      <c r="E75" t="inlineStr"/>
      <c r="F75" t="n">
        <v>2</v>
      </c>
      <c r="G75" s="8" t="n">
        <v>10836.49</v>
      </c>
    </row>
    <row r="76">
      <c r="A76" t="inlineStr">
        <is>
          <t>Haut-Brion</t>
        </is>
      </c>
      <c r="B76" t="inlineStr">
        <is>
          <t>World Wine</t>
        </is>
      </c>
      <c r="C76" t="inlineStr">
        <is>
          <t>Château Haut-Brion</t>
        </is>
      </c>
      <c r="D76" t="inlineStr">
        <is>
          <t>2010</t>
        </is>
      </c>
      <c r="E76" t="inlineStr">
        <is>
          <t>750</t>
        </is>
      </c>
      <c r="G76" s="8" t="n">
        <v>10362.24</v>
      </c>
    </row>
    <row r="77">
      <c r="A77" t="inlineStr">
        <is>
          <t>Haut-Brion</t>
        </is>
      </c>
      <c r="B77" t="inlineStr">
        <is>
          <t>Del Maipo</t>
        </is>
      </c>
      <c r="C77" t="inlineStr">
        <is>
          <t>FRANCE GRAVES CHATEAU HAUT BRION 1974 750ML</t>
        </is>
      </c>
      <c r="D77" t="inlineStr">
        <is>
          <t>1974</t>
        </is>
      </c>
      <c r="E77" t="inlineStr"/>
      <c r="F77" t="n">
        <v>1</v>
      </c>
      <c r="G77" s="8" t="n">
        <v>10331.62</v>
      </c>
    </row>
    <row r="78">
      <c r="A78" t="inlineStr">
        <is>
          <t>Haut-Brion</t>
        </is>
      </c>
      <c r="B78" t="inlineStr">
        <is>
          <t>Del Maipo</t>
        </is>
      </c>
      <c r="C78" t="inlineStr">
        <is>
          <t>CHATEAU HAUT BRION - AOC PESSAC LEOGNAN PREMIER GRAND CRU CLASSE</t>
        </is>
      </c>
      <c r="D78" t="inlineStr">
        <is>
          <t>2021</t>
        </is>
      </c>
      <c r="E78" t="inlineStr">
        <is>
          <t>750ml</t>
        </is>
      </c>
      <c r="G78" s="8" t="n">
        <v>10324.2</v>
      </c>
    </row>
    <row r="79">
      <c r="A79" t="inlineStr">
        <is>
          <t>Haut-Brion</t>
        </is>
      </c>
      <c r="B79" t="inlineStr">
        <is>
          <t>Mistral</t>
        </is>
      </c>
      <c r="C79" t="inlineStr">
        <is>
          <t>CH. HAUT-BRION 2021 (TTO) (PREMIER CRU CLASSE)</t>
        </is>
      </c>
      <c r="D79" t="inlineStr">
        <is>
          <t>2021</t>
        </is>
      </c>
      <c r="E79" t="inlineStr">
        <is>
          <t>750ml</t>
        </is>
      </c>
      <c r="F79" t="n">
        <v>3</v>
      </c>
      <c r="G79" s="8" t="n">
        <v>9767.92</v>
      </c>
    </row>
    <row r="80">
      <c r="A80" t="inlineStr">
        <is>
          <t>Haut-Brion</t>
        </is>
      </c>
      <c r="B80" t="inlineStr">
        <is>
          <t>World Wine</t>
        </is>
      </c>
      <c r="C80" t="inlineStr">
        <is>
          <t>Château La Mission Haut-Brion Blanc</t>
        </is>
      </c>
      <c r="D80" t="inlineStr">
        <is>
          <t>2011</t>
        </is>
      </c>
      <c r="E80" t="inlineStr">
        <is>
          <t>750</t>
        </is>
      </c>
      <c r="G80" s="8" t="n">
        <v>9502.75</v>
      </c>
    </row>
    <row r="81">
      <c r="A81" t="inlineStr">
        <is>
          <t>Haut-Brion</t>
        </is>
      </c>
      <c r="B81" t="inlineStr">
        <is>
          <t>World Wine</t>
        </is>
      </c>
      <c r="C81" t="inlineStr">
        <is>
          <t>Château Haut-Brion</t>
        </is>
      </c>
      <c r="D81" t="inlineStr">
        <is>
          <t>2020</t>
        </is>
      </c>
      <c r="E81" t="inlineStr">
        <is>
          <t>750</t>
        </is>
      </c>
      <c r="G81" s="8" t="n">
        <v>9210.24</v>
      </c>
    </row>
    <row r="82">
      <c r="A82" t="inlineStr">
        <is>
          <t>Haut-Brion</t>
        </is>
      </c>
      <c r="B82" t="inlineStr">
        <is>
          <t>Boisse</t>
        </is>
      </c>
      <c r="C82" t="inlineStr">
        <is>
          <t>CHATEAU HAUT BRION 2019 750 ML</t>
        </is>
      </c>
      <c r="D82" t="inlineStr">
        <is>
          <t>2019</t>
        </is>
      </c>
      <c r="E82" t="inlineStr"/>
      <c r="G82" s="8" t="n">
        <v>8520</v>
      </c>
    </row>
    <row r="83">
      <c r="A83" t="inlineStr">
        <is>
          <t>Haut-Brion</t>
        </is>
      </c>
      <c r="B83" t="inlineStr">
        <is>
          <t>World Wine</t>
        </is>
      </c>
      <c r="C83" t="inlineStr">
        <is>
          <t>Château La Mission Haut-Brion</t>
        </is>
      </c>
      <c r="D83" t="inlineStr">
        <is>
          <t>2010</t>
        </is>
      </c>
      <c r="E83" t="inlineStr">
        <is>
          <t>750</t>
        </is>
      </c>
      <c r="G83" s="8" t="n">
        <v>8346.24</v>
      </c>
    </row>
    <row r="84">
      <c r="A84" t="inlineStr">
        <is>
          <t>Haut-Brion</t>
        </is>
      </c>
      <c r="B84" t="inlineStr">
        <is>
          <t>Tanyno</t>
        </is>
      </c>
      <c r="C84" t="inlineStr">
        <is>
          <t>CLARENCE DILLON — CHATEAU HAUT BRION</t>
        </is>
      </c>
      <c r="D84" t="inlineStr">
        <is>
          <t>2006</t>
        </is>
      </c>
      <c r="E84" t="inlineStr"/>
      <c r="F84" t="n">
        <v>2</v>
      </c>
      <c r="G84" s="8" t="n">
        <v>8346.24</v>
      </c>
    </row>
    <row r="85">
      <c r="A85" t="inlineStr">
        <is>
          <t>Haut-Brion</t>
        </is>
      </c>
      <c r="B85" t="inlineStr">
        <is>
          <t>World Wine</t>
        </is>
      </c>
      <c r="C85" t="inlineStr">
        <is>
          <t>Château La Mission Haut-Brion Blanc</t>
        </is>
      </c>
      <c r="D85" t="inlineStr">
        <is>
          <t>2010</t>
        </is>
      </c>
      <c r="E85" t="inlineStr">
        <is>
          <t>750</t>
        </is>
      </c>
      <c r="G85" s="8" t="n">
        <v>8030.49</v>
      </c>
    </row>
    <row r="86">
      <c r="A86" t="inlineStr">
        <is>
          <t>Haut-Brion</t>
        </is>
      </c>
      <c r="B86" t="inlineStr">
        <is>
          <t>Boisse</t>
        </is>
      </c>
      <c r="C86" t="inlineStr">
        <is>
          <t>CH HAUT BRION 2011 CB 06 750 ML</t>
        </is>
      </c>
      <c r="D86" t="inlineStr">
        <is>
          <t>2011</t>
        </is>
      </c>
      <c r="E86" t="inlineStr"/>
      <c r="G86" s="8" t="n">
        <v>7934.25</v>
      </c>
    </row>
    <row r="87">
      <c r="A87" t="inlineStr">
        <is>
          <t>Haut-Brion</t>
        </is>
      </c>
      <c r="B87" t="inlineStr">
        <is>
          <t>World Wine</t>
        </is>
      </c>
      <c r="C87" t="inlineStr">
        <is>
          <t>Château Haut-Brion</t>
        </is>
      </c>
      <c r="D87" t="inlineStr">
        <is>
          <t>2011</t>
        </is>
      </c>
      <c r="E87" t="inlineStr">
        <is>
          <t>750</t>
        </is>
      </c>
      <c r="G87" s="8" t="n">
        <v>7482.24</v>
      </c>
    </row>
    <row r="88">
      <c r="A88" t="inlineStr">
        <is>
          <t>Haut-Brion</t>
        </is>
      </c>
      <c r="B88" t="inlineStr">
        <is>
          <t>World Wine</t>
        </is>
      </c>
      <c r="C88" t="inlineStr">
        <is>
          <t>Château Haut-Brion</t>
        </is>
      </c>
      <c r="D88" t="inlineStr">
        <is>
          <t>2019</t>
        </is>
      </c>
      <c r="E88" t="inlineStr">
        <is>
          <t>750</t>
        </is>
      </c>
      <c r="G88" s="8" t="n">
        <v>7482.24</v>
      </c>
    </row>
    <row r="89">
      <c r="A89" t="inlineStr">
        <is>
          <t>Haut-Brion</t>
        </is>
      </c>
      <c r="B89" t="inlineStr">
        <is>
          <t>World Wine</t>
        </is>
      </c>
      <c r="C89" t="inlineStr">
        <is>
          <t>Château La Mission Haut-Brion Blanc</t>
        </is>
      </c>
      <c r="D89" t="inlineStr">
        <is>
          <t>2017</t>
        </is>
      </c>
      <c r="E89" t="inlineStr">
        <is>
          <t>750</t>
        </is>
      </c>
      <c r="G89" s="8" t="n">
        <v>7482.24</v>
      </c>
    </row>
    <row r="90">
      <c r="A90" t="inlineStr">
        <is>
          <t>Haut-Brion</t>
        </is>
      </c>
      <c r="B90" t="inlineStr">
        <is>
          <t>Mistral</t>
        </is>
      </c>
      <c r="C90" t="inlineStr">
        <is>
          <t>Chateau Haut Brion - Pessac Leognan AOC 2019 (TTO) (CRU CLASSE (MEDOC/GRAVES)</t>
        </is>
      </c>
      <c r="D90" t="inlineStr">
        <is>
          <t>2019</t>
        </is>
      </c>
      <c r="E90" t="inlineStr">
        <is>
          <t>750ml</t>
        </is>
      </c>
      <c r="F90" t="n">
        <v>1</v>
      </c>
      <c r="G90" s="8" t="n">
        <v>7303.79</v>
      </c>
    </row>
    <row r="91">
      <c r="A91" t="inlineStr">
        <is>
          <t>Haut-Brion</t>
        </is>
      </c>
      <c r="B91" t="inlineStr">
        <is>
          <t>Del Maipo</t>
        </is>
      </c>
      <c r="C91" t="inlineStr">
        <is>
          <t>FRANCE GRAVES CHATEAU LA MISSION HAUT BRION 1964 750ML</t>
        </is>
      </c>
      <c r="D91" t="inlineStr">
        <is>
          <t>1964</t>
        </is>
      </c>
      <c r="E91" t="inlineStr"/>
      <c r="F91" t="n">
        <v>3</v>
      </c>
      <c r="G91" s="8" t="n">
        <v>7058.23</v>
      </c>
    </row>
    <row r="92">
      <c r="A92" t="inlineStr">
        <is>
          <t>Haut-Brion</t>
        </is>
      </c>
      <c r="B92" t="inlineStr">
        <is>
          <t>World Wine</t>
        </is>
      </c>
      <c r="C92" t="inlineStr">
        <is>
          <t>Château Haut-Brion</t>
        </is>
      </c>
      <c r="D92" t="inlineStr">
        <is>
          <t>2006</t>
        </is>
      </c>
      <c r="E92" t="inlineStr">
        <is>
          <t>750</t>
        </is>
      </c>
      <c r="G92" s="8" t="n">
        <v>5955.94</v>
      </c>
    </row>
    <row r="93">
      <c r="A93" t="inlineStr">
        <is>
          <t>Haut-Brion</t>
        </is>
      </c>
      <c r="B93" t="inlineStr">
        <is>
          <t>Del Maipo</t>
        </is>
      </c>
      <c r="C93" t="inlineStr">
        <is>
          <t>FRANCE GRAVES CHATEAU LA MISSION HAUT BRION 1980 750ML</t>
        </is>
      </c>
      <c r="D93" t="inlineStr">
        <is>
          <t>1980</t>
        </is>
      </c>
      <c r="E93" t="inlineStr"/>
      <c r="F93" t="n">
        <v>1</v>
      </c>
      <c r="G93" s="8" t="n">
        <v>5830.72</v>
      </c>
    </row>
    <row r="94">
      <c r="A94" t="inlineStr">
        <is>
          <t>Haut-Brion</t>
        </is>
      </c>
      <c r="B94" t="inlineStr">
        <is>
          <t>Del Maipo</t>
        </is>
      </c>
      <c r="C94" t="inlineStr">
        <is>
          <t>FRANCE GRAVES CHATEAU LA MISSION HAUT BRION 2007 750ML</t>
        </is>
      </c>
      <c r="D94" t="inlineStr">
        <is>
          <t>2007</t>
        </is>
      </c>
      <c r="E94" t="inlineStr"/>
      <c r="F94" t="n">
        <v>2</v>
      </c>
      <c r="G94" s="8" t="n">
        <v>5771.39</v>
      </c>
    </row>
    <row r="95">
      <c r="A95" t="inlineStr">
        <is>
          <t>Haut-Brion</t>
        </is>
      </c>
      <c r="B95" t="inlineStr">
        <is>
          <t>World Wine</t>
        </is>
      </c>
      <c r="C95" t="inlineStr">
        <is>
          <t>Château Haut-Brion</t>
        </is>
      </c>
      <c r="D95" t="inlineStr">
        <is>
          <t>2007</t>
        </is>
      </c>
      <c r="E95" t="inlineStr">
        <is>
          <t>750</t>
        </is>
      </c>
      <c r="G95" s="8" t="n">
        <v>5523.84</v>
      </c>
    </row>
    <row r="96">
      <c r="A96" t="inlineStr">
        <is>
          <t>Haut-Brion</t>
        </is>
      </c>
      <c r="B96" t="inlineStr">
        <is>
          <t>Del Maipo</t>
        </is>
      </c>
      <c r="C96" t="inlineStr">
        <is>
          <t>CHATEAU LA MISSION HAUT BRION - PESSAC LEOGNAN</t>
        </is>
      </c>
      <c r="D96" t="inlineStr">
        <is>
          <t>2014</t>
        </is>
      </c>
      <c r="E96" t="inlineStr">
        <is>
          <t>750ml</t>
        </is>
      </c>
      <c r="G96" s="8" t="n">
        <v>4451.31</v>
      </c>
    </row>
    <row r="97">
      <c r="A97" t="inlineStr">
        <is>
          <t>Haut-Brion</t>
        </is>
      </c>
      <c r="B97" t="inlineStr">
        <is>
          <t>Mistral</t>
        </is>
      </c>
      <c r="C97" t="inlineStr">
        <is>
          <t>MG BAHANS HAUT BRION 2006 (TTO)</t>
        </is>
      </c>
      <c r="D97" t="inlineStr">
        <is>
          <t>2006</t>
        </is>
      </c>
      <c r="E97" t="inlineStr">
        <is>
          <t>1500ml</t>
        </is>
      </c>
      <c r="F97" t="n">
        <v>2</v>
      </c>
      <c r="G97" s="8" t="n">
        <v>3895.99</v>
      </c>
    </row>
    <row r="98">
      <c r="A98" t="inlineStr">
        <is>
          <t>Haut-Brion</t>
        </is>
      </c>
      <c r="B98" t="inlineStr">
        <is>
          <t>Mistral</t>
        </is>
      </c>
      <c r="C98" t="inlineStr">
        <is>
          <t>MG BAHANS HAUT BRION 2004 (TTO)</t>
        </is>
      </c>
      <c r="D98" t="inlineStr">
        <is>
          <t>2004</t>
        </is>
      </c>
      <c r="E98" t="inlineStr">
        <is>
          <t>1500ml</t>
        </is>
      </c>
      <c r="F98" t="n">
        <v>2</v>
      </c>
      <c r="G98" s="8" t="n">
        <v>3893.24</v>
      </c>
    </row>
    <row r="99">
      <c r="A99" t="inlineStr">
        <is>
          <t>Haut-Brion</t>
        </is>
      </c>
      <c r="B99" t="inlineStr">
        <is>
          <t>World Wine</t>
        </is>
      </c>
      <c r="C99" t="inlineStr">
        <is>
          <t>Château La Mission Haut-Brion</t>
        </is>
      </c>
      <c r="D99" t="inlineStr">
        <is>
          <t>2011</t>
        </is>
      </c>
      <c r="E99" t="inlineStr">
        <is>
          <t>750</t>
        </is>
      </c>
      <c r="G99" s="8" t="n">
        <v>3613.72</v>
      </c>
    </row>
    <row r="100">
      <c r="A100" t="inlineStr">
        <is>
          <t>Haut-Brion</t>
        </is>
      </c>
      <c r="B100" t="inlineStr">
        <is>
          <t>Del Maipo</t>
        </is>
      </c>
      <c r="C100" t="inlineStr">
        <is>
          <t>LE CLARENCE DE HAUT BRION - AOC PESSAC LEOGNAN</t>
        </is>
      </c>
      <c r="D100" t="inlineStr">
        <is>
          <t>2017</t>
        </is>
      </c>
      <c r="E100" t="inlineStr">
        <is>
          <t>750ml</t>
        </is>
      </c>
      <c r="G100" s="8" t="n">
        <v>2843.1</v>
      </c>
    </row>
    <row r="101">
      <c r="A101" t="inlineStr">
        <is>
          <t>Haut-Brion</t>
        </is>
      </c>
      <c r="B101" t="inlineStr">
        <is>
          <t>Tanyno</t>
        </is>
      </c>
      <c r="C101" t="inlineStr">
        <is>
          <t>LES CARMES HT-BRION — CHATEAU LES CARMES HAUT-BRION</t>
        </is>
      </c>
      <c r="D101" t="inlineStr">
        <is>
          <t>2016</t>
        </is>
      </c>
      <c r="E101" t="inlineStr"/>
      <c r="F101" t="n">
        <v>2</v>
      </c>
      <c r="G101" s="8" t="n">
        <v>2754.83</v>
      </c>
    </row>
    <row r="102">
      <c r="A102" t="inlineStr">
        <is>
          <t>Haut-Brion</t>
        </is>
      </c>
      <c r="B102" t="inlineStr">
        <is>
          <t>World Wine</t>
        </is>
      </c>
      <c r="C102" t="inlineStr">
        <is>
          <t>La Clarté de Haut-Brion</t>
        </is>
      </c>
      <c r="D102" t="inlineStr">
        <is>
          <t>2011</t>
        </is>
      </c>
      <c r="E102" t="inlineStr">
        <is>
          <t>750</t>
        </is>
      </c>
      <c r="G102" s="8" t="n">
        <v>2413.44</v>
      </c>
    </row>
    <row r="103">
      <c r="A103" t="inlineStr">
        <is>
          <t>Haut-Brion</t>
        </is>
      </c>
      <c r="B103" t="inlineStr">
        <is>
          <t>World Wine</t>
        </is>
      </c>
      <c r="C103" t="inlineStr">
        <is>
          <t>Le Clarence de Haut-Brion (2° Ch. Haut-Brion)</t>
        </is>
      </c>
      <c r="D103" t="inlineStr">
        <is>
          <t>2020</t>
        </is>
      </c>
      <c r="E103" t="inlineStr">
        <is>
          <t>750</t>
        </is>
      </c>
      <c r="G103" s="8" t="n">
        <v>2355.84</v>
      </c>
    </row>
    <row r="104">
      <c r="A104" t="inlineStr">
        <is>
          <t>Haut-Brion</t>
        </is>
      </c>
      <c r="B104" t="inlineStr">
        <is>
          <t>Boisse</t>
        </is>
      </c>
      <c r="C104" t="inlineStr">
        <is>
          <t>CLARENCE DE HAUT BRION 2019</t>
        </is>
      </c>
      <c r="D104" t="inlineStr">
        <is>
          <t>2019</t>
        </is>
      </c>
      <c r="E104" t="inlineStr"/>
      <c r="G104" s="8" t="n">
        <v>1970.25</v>
      </c>
    </row>
    <row r="105">
      <c r="A105" t="inlineStr">
        <is>
          <t>Haut-Brion</t>
        </is>
      </c>
      <c r="B105" t="inlineStr">
        <is>
          <t>Mistral</t>
        </is>
      </c>
      <c r="C105" t="inlineStr">
        <is>
          <t>BAHANS HAUT BRION 2006 (TTO)</t>
        </is>
      </c>
      <c r="D105" t="inlineStr">
        <is>
          <t>2006</t>
        </is>
      </c>
      <c r="E105" t="inlineStr">
        <is>
          <t>750ml</t>
        </is>
      </c>
      <c r="F105" t="n">
        <v>5</v>
      </c>
      <c r="G105" s="8" t="n">
        <v>1944.67</v>
      </c>
    </row>
    <row r="106">
      <c r="A106" t="inlineStr">
        <is>
          <t>Haut-Brion</t>
        </is>
      </c>
      <c r="B106" t="inlineStr">
        <is>
          <t>World Wine</t>
        </is>
      </c>
      <c r="C106" t="inlineStr">
        <is>
          <t>Le Clarence de Haut-Brion (2° Ch. Haut-Brion)</t>
        </is>
      </c>
      <c r="D106" t="inlineStr">
        <is>
          <t>2018</t>
        </is>
      </c>
      <c r="E106" t="inlineStr">
        <is>
          <t>750</t>
        </is>
      </c>
      <c r="G106" s="8" t="n">
        <v>1895.04</v>
      </c>
    </row>
    <row r="107">
      <c r="A107" t="inlineStr">
        <is>
          <t>Haut-Brion</t>
        </is>
      </c>
      <c r="B107" t="inlineStr">
        <is>
          <t>World Wine</t>
        </is>
      </c>
      <c r="C107" t="inlineStr">
        <is>
          <t>Bahans Haut-Brion (2° Ch. Haut-Brion)</t>
        </is>
      </c>
      <c r="D107" t="inlineStr">
        <is>
          <t>2006</t>
        </is>
      </c>
      <c r="E107" t="inlineStr">
        <is>
          <t>750</t>
        </is>
      </c>
      <c r="G107" s="8" t="n">
        <v>1895.04</v>
      </c>
    </row>
    <row r="108">
      <c r="A108" t="inlineStr">
        <is>
          <t>Haut-Brion</t>
        </is>
      </c>
      <c r="B108" t="inlineStr">
        <is>
          <t>World Wine</t>
        </is>
      </c>
      <c r="C108" t="inlineStr">
        <is>
          <t>La Chapelle de La Mission Haut-Brion (2° Ch. La Mission Haut-Brion)</t>
        </is>
      </c>
      <c r="D108" t="inlineStr">
        <is>
          <t>2010</t>
        </is>
      </c>
      <c r="E108" t="inlineStr">
        <is>
          <t>750</t>
        </is>
      </c>
      <c r="G108" s="8" t="n">
        <v>1860.4</v>
      </c>
    </row>
    <row r="109">
      <c r="A109" t="inlineStr">
        <is>
          <t>Haut-Brion</t>
        </is>
      </c>
      <c r="B109" t="inlineStr">
        <is>
          <t>Del Maipo</t>
        </is>
      </c>
      <c r="C109" t="inlineStr">
        <is>
          <t>LA CHAPELLE DE LA MISSION HAUT BRION - AOC PESSAC LEOGNAN</t>
        </is>
      </c>
      <c r="D109" t="inlineStr">
        <is>
          <t>2016</t>
        </is>
      </c>
      <c r="E109" t="inlineStr">
        <is>
          <t>750ml</t>
        </is>
      </c>
      <c r="G109" s="8" t="n">
        <v>1856.59</v>
      </c>
    </row>
    <row r="110">
      <c r="A110" t="inlineStr">
        <is>
          <t>Haut-Brion</t>
        </is>
      </c>
      <c r="B110" t="inlineStr">
        <is>
          <t>World Wine</t>
        </is>
      </c>
      <c r="C110" t="inlineStr">
        <is>
          <t>Le Clarence de Haut-Brion (2° Ch. Haut-Brion)</t>
        </is>
      </c>
      <c r="D110" t="inlineStr">
        <is>
          <t>2010</t>
        </is>
      </c>
      <c r="E110" t="inlineStr">
        <is>
          <t>750</t>
        </is>
      </c>
      <c r="G110" s="8" t="n">
        <v>1784.55</v>
      </c>
    </row>
    <row r="111">
      <c r="A111" t="inlineStr">
        <is>
          <t>Haut-Brion</t>
        </is>
      </c>
      <c r="B111" t="inlineStr">
        <is>
          <t>Del Maipo</t>
        </is>
      </c>
      <c r="C111" t="inlineStr">
        <is>
          <t>LA CHAPELLE DE LA MISSION HAUT BRION - AOC PESSAC LEOGNAN</t>
        </is>
      </c>
      <c r="D111" t="inlineStr">
        <is>
          <t>2018</t>
        </is>
      </c>
      <c r="E111" t="inlineStr">
        <is>
          <t>750ml</t>
        </is>
      </c>
      <c r="G111" s="8" t="n">
        <v>1723.09</v>
      </c>
    </row>
    <row r="112">
      <c r="A112" t="inlineStr">
        <is>
          <t>Haut-Brion</t>
        </is>
      </c>
      <c r="B112" t="inlineStr">
        <is>
          <t>Del Maipo</t>
        </is>
      </c>
      <c r="C112" t="inlineStr">
        <is>
          <t>CLARTE DE CHATEAU HAUT BRION - AOC PESSAC LEOGNAN</t>
        </is>
      </c>
      <c r="D112" t="inlineStr">
        <is>
          <t>2019</t>
        </is>
      </c>
      <c r="E112" t="inlineStr">
        <is>
          <t>750ml</t>
        </is>
      </c>
      <c r="G112" s="8" t="n">
        <v>1550.78</v>
      </c>
    </row>
    <row r="113">
      <c r="A113" t="inlineStr">
        <is>
          <t>Haut-Brion</t>
        </is>
      </c>
      <c r="B113" t="inlineStr">
        <is>
          <t>World Wine</t>
        </is>
      </c>
      <c r="C113" t="inlineStr">
        <is>
          <t>La Clarté de Haut-Brion</t>
        </is>
      </c>
      <c r="D113" t="inlineStr">
        <is>
          <t>2020</t>
        </is>
      </c>
      <c r="E113" t="inlineStr">
        <is>
          <t>750</t>
        </is>
      </c>
      <c r="G113" s="8" t="n">
        <v>1549.44</v>
      </c>
    </row>
    <row r="114">
      <c r="A114" t="inlineStr">
        <is>
          <t>Haut-Brion</t>
        </is>
      </c>
      <c r="B114" t="inlineStr">
        <is>
          <t>World Wine</t>
        </is>
      </c>
      <c r="C114" t="inlineStr">
        <is>
          <t>La Clarté de Haut-Brion</t>
        </is>
      </c>
      <c r="D114" t="inlineStr">
        <is>
          <t>2018</t>
        </is>
      </c>
      <c r="E114" t="inlineStr">
        <is>
          <t>750</t>
        </is>
      </c>
      <c r="G114" s="8" t="n">
        <v>1376.64</v>
      </c>
    </row>
    <row r="115">
      <c r="A115" t="inlineStr">
        <is>
          <t>Haut-Brion</t>
        </is>
      </c>
      <c r="B115" t="inlineStr">
        <is>
          <t>Tanyno</t>
        </is>
      </c>
      <c r="C115" t="inlineStr">
        <is>
          <t>LA MISSION HT BRION — LA CHAPELLE DE LA MISSION HAUT-BRION</t>
        </is>
      </c>
      <c r="D115" t="inlineStr">
        <is>
          <t>2011</t>
        </is>
      </c>
      <c r="E115" t="inlineStr"/>
      <c r="F115" t="n">
        <v>24</v>
      </c>
      <c r="G115" s="8" t="n">
        <v>1282.24</v>
      </c>
    </row>
    <row r="116">
      <c r="A116" t="inlineStr">
        <is>
          <t>Haut-Brion</t>
        </is>
      </c>
      <c r="B116" t="inlineStr">
        <is>
          <t>World Wine</t>
        </is>
      </c>
      <c r="C116" t="inlineStr">
        <is>
          <t>La Chapelle de La Mission Haut-Brion (2° Ch. La Mission Haut-Brion)</t>
        </is>
      </c>
      <c r="D116" t="inlineStr">
        <is>
          <t>2011</t>
        </is>
      </c>
      <c r="E116" t="inlineStr">
        <is>
          <t>750</t>
        </is>
      </c>
      <c r="G116" s="8" t="n">
        <v>1204.58</v>
      </c>
    </row>
    <row r="117">
      <c r="A117" t="inlineStr">
        <is>
          <t>Haut-Brion</t>
        </is>
      </c>
      <c r="B117" t="inlineStr">
        <is>
          <t>World Wine</t>
        </is>
      </c>
      <c r="C117" t="inlineStr">
        <is>
          <t>La Clarté de Haut-Brion</t>
        </is>
      </c>
      <c r="D117" t="inlineStr">
        <is>
          <t>2010</t>
        </is>
      </c>
      <c r="E117" t="inlineStr">
        <is>
          <t>750</t>
        </is>
      </c>
      <c r="G117" s="8" t="n">
        <v>977.04</v>
      </c>
    </row>
    <row r="118">
      <c r="A118" t="inlineStr">
        <is>
          <t>Haut-Brion</t>
        </is>
      </c>
      <c r="B118" t="inlineStr">
        <is>
          <t>Boisse</t>
        </is>
      </c>
      <c r="C118" t="inlineStr">
        <is>
          <t>CHAPELLE MISSION HAUT BRION 2019</t>
        </is>
      </c>
      <c r="D118" t="inlineStr">
        <is>
          <t>2019</t>
        </is>
      </c>
      <c r="E118" t="inlineStr"/>
      <c r="G118" s="8" t="n">
        <v>947.85</v>
      </c>
    </row>
    <row r="119">
      <c r="A119" t="inlineStr">
        <is>
          <t>Haut-Brion</t>
        </is>
      </c>
      <c r="B119" t="inlineStr">
        <is>
          <t>Del Maipo</t>
        </is>
      </c>
      <c r="C119" t="inlineStr">
        <is>
          <t>CHATEAU LARRIVET HAUT BRION PESSAC LEOGNAN</t>
        </is>
      </c>
      <c r="D119" t="inlineStr">
        <is>
          <t>2020</t>
        </is>
      </c>
      <c r="E119" t="inlineStr">
        <is>
          <t>750ml</t>
        </is>
      </c>
      <c r="G119" s="8" t="n">
        <v>716.96</v>
      </c>
    </row>
    <row r="120">
      <c r="A120" t="inlineStr">
        <is>
          <t>Haut-Brion</t>
        </is>
      </c>
      <c r="B120" t="inlineStr">
        <is>
          <t>Del Maipo</t>
        </is>
      </c>
      <c r="C120" t="inlineStr">
        <is>
          <t>CHATEAU LARRIVET HAUT BRION PESSAC LEOGNAN</t>
        </is>
      </c>
      <c r="D120" t="inlineStr">
        <is>
          <t>2013</t>
        </is>
      </c>
      <c r="E120" t="inlineStr">
        <is>
          <t>750ml</t>
        </is>
      </c>
      <c r="G120" s="8" t="n">
        <v>602.0700000000001</v>
      </c>
    </row>
    <row r="121">
      <c r="A121" t="inlineStr">
        <is>
          <t>Haut-Brion</t>
        </is>
      </c>
      <c r="B121" t="inlineStr">
        <is>
          <t>World Wine</t>
        </is>
      </c>
      <c r="C121" t="inlineStr">
        <is>
          <t>Château Larrivet Haut-Brion</t>
        </is>
      </c>
      <c r="D121" t="inlineStr">
        <is>
          <t>2018</t>
        </is>
      </c>
      <c r="E121" t="inlineStr">
        <is>
          <t>750</t>
        </is>
      </c>
      <c r="G121" s="8" t="n">
        <v>517.8200000000001</v>
      </c>
    </row>
    <row r="122">
      <c r="A122" t="inlineStr">
        <is>
          <t>Haut-Brion</t>
        </is>
      </c>
      <c r="B122" t="inlineStr">
        <is>
          <t>Tanyno</t>
        </is>
      </c>
      <c r="C122" t="inlineStr">
        <is>
          <t>LES CARMES HT-BRION — C DES CARMES HAUT-BRION</t>
        </is>
      </c>
      <c r="D122" t="inlineStr">
        <is>
          <t>2022</t>
        </is>
      </c>
      <c r="E122" t="inlineStr"/>
      <c r="F122" t="n">
        <v>59</v>
      </c>
      <c r="G122" s="8" t="n">
        <v>431.76</v>
      </c>
    </row>
    <row r="123">
      <c r="A123" t="inlineStr">
        <is>
          <t>Lafite Rothschild</t>
        </is>
      </c>
      <c r="B123" t="inlineStr">
        <is>
          <t>World Wine</t>
        </is>
      </c>
      <c r="C123" t="inlineStr">
        <is>
          <t>Château Lafite Rothschild Vertical 'Decade Edition' 2 x 1990, 2 x 2000, 2 x 2010</t>
        </is>
      </c>
      <c r="D123" t="inlineStr">
        <is>
          <t>1990</t>
        </is>
      </c>
      <c r="E123" t="inlineStr">
        <is>
          <t>750</t>
        </is>
      </c>
      <c r="G123" s="8" t="n">
        <v>160704</v>
      </c>
    </row>
    <row r="124">
      <c r="A124" t="inlineStr">
        <is>
          <t>Lafite Rothschild</t>
        </is>
      </c>
      <c r="B124" t="inlineStr">
        <is>
          <t>Del Maipo</t>
        </is>
      </c>
      <c r="C124" t="inlineStr">
        <is>
          <t>FRANCE PAUILLAC CHATEAU LAFITE ROTHSCHILD 1954 1500ML</t>
        </is>
      </c>
      <c r="D124" t="inlineStr">
        <is>
          <t>1954</t>
        </is>
      </c>
      <c r="E124" t="inlineStr"/>
      <c r="F124" t="n">
        <v>2</v>
      </c>
      <c r="G124" s="8" t="n">
        <v>40508.13</v>
      </c>
    </row>
    <row r="125">
      <c r="A125" t="inlineStr">
        <is>
          <t>Lafite Rothschild</t>
        </is>
      </c>
      <c r="B125" t="inlineStr">
        <is>
          <t>Del Maipo</t>
        </is>
      </c>
      <c r="C125" t="inlineStr">
        <is>
          <t>FRANCE PAUILLAC CHATEAU LAFITE ROTHSCHILD 1944 750ML</t>
        </is>
      </c>
      <c r="D125" t="inlineStr">
        <is>
          <t>1944</t>
        </is>
      </c>
      <c r="E125" t="inlineStr"/>
      <c r="F125" t="n">
        <v>1</v>
      </c>
      <c r="G125" s="8" t="n">
        <v>38246.42</v>
      </c>
    </row>
    <row r="126">
      <c r="A126" t="inlineStr">
        <is>
          <t>Lafite Rothschild</t>
        </is>
      </c>
      <c r="B126" t="inlineStr">
        <is>
          <t>Del Maipo</t>
        </is>
      </c>
      <c r="C126" t="inlineStr">
        <is>
          <t>FRANCE PAUILLAC CHATEAU LAFITE ROTHSCHILD 1977 1500ML</t>
        </is>
      </c>
      <c r="D126" t="inlineStr">
        <is>
          <t>1977</t>
        </is>
      </c>
      <c r="E126" t="inlineStr"/>
      <c r="F126" t="n">
        <v>1</v>
      </c>
      <c r="G126" s="8" t="n">
        <v>35696.66</v>
      </c>
    </row>
    <row r="127">
      <c r="A127" t="inlineStr">
        <is>
          <t>Lafite Rothschild</t>
        </is>
      </c>
      <c r="B127" t="inlineStr">
        <is>
          <t>Del Maipo</t>
        </is>
      </c>
      <c r="C127" t="inlineStr">
        <is>
          <t>FRANCE PAUILLAC CHATEAU LAFITE ROTHSCHILD 1962 750ML</t>
        </is>
      </c>
      <c r="D127" t="inlineStr">
        <is>
          <t>1962</t>
        </is>
      </c>
      <c r="E127" t="inlineStr"/>
      <c r="F127" t="n">
        <v>1</v>
      </c>
      <c r="G127" s="8" t="n">
        <v>19123.21</v>
      </c>
    </row>
    <row r="128">
      <c r="A128" t="inlineStr">
        <is>
          <t>Lafite Rothschild</t>
        </is>
      </c>
      <c r="B128" t="inlineStr">
        <is>
          <t>Del Maipo</t>
        </is>
      </c>
      <c r="C128" t="inlineStr">
        <is>
          <t>FRANCE PAUILLAC CHATEAU LAFITE ROTHSCHILD 1992 750ML</t>
        </is>
      </c>
      <c r="D128" t="inlineStr">
        <is>
          <t>1992</t>
        </is>
      </c>
      <c r="E128" t="inlineStr"/>
      <c r="F128" t="n">
        <v>5</v>
      </c>
      <c r="G128" s="8" t="n">
        <v>17901.32</v>
      </c>
    </row>
    <row r="129">
      <c r="A129" t="inlineStr">
        <is>
          <t>Lafite Rothschild</t>
        </is>
      </c>
      <c r="B129" t="inlineStr">
        <is>
          <t>Del Maipo</t>
        </is>
      </c>
      <c r="C129" t="inlineStr">
        <is>
          <t>FRANCE PAUILLAC CHATEAU LAFITE ROTHSCHILD 1980 750ML</t>
        </is>
      </c>
      <c r="D129" t="inlineStr">
        <is>
          <t>1980</t>
        </is>
      </c>
      <c r="E129" t="inlineStr"/>
      <c r="F129" t="n">
        <v>2</v>
      </c>
      <c r="G129" s="8" t="n">
        <v>17500.64</v>
      </c>
    </row>
    <row r="130">
      <c r="A130" t="inlineStr">
        <is>
          <t>Lafite Rothschild</t>
        </is>
      </c>
      <c r="B130" t="inlineStr">
        <is>
          <t>Del Maipo</t>
        </is>
      </c>
      <c r="C130" t="inlineStr">
        <is>
          <t>FRANCE PAUILLAC CHATEAU LAFITE ROTHSCHILD 1964 750ML</t>
        </is>
      </c>
      <c r="D130" t="inlineStr">
        <is>
          <t>1964</t>
        </is>
      </c>
      <c r="E130" t="inlineStr"/>
      <c r="F130" t="n">
        <v>3</v>
      </c>
      <c r="G130" s="8" t="n">
        <v>15993.96</v>
      </c>
    </row>
    <row r="131">
      <c r="A131" t="inlineStr">
        <is>
          <t>Lafite Rothschild</t>
        </is>
      </c>
      <c r="B131" t="inlineStr">
        <is>
          <t>Del Maipo</t>
        </is>
      </c>
      <c r="C131" t="inlineStr">
        <is>
          <t>FRANCE PAUILLAC CHATEAU LAFITE ROTHSCHILD 1963 750ML</t>
        </is>
      </c>
      <c r="D131" t="inlineStr">
        <is>
          <t>1963</t>
        </is>
      </c>
      <c r="E131" t="inlineStr"/>
      <c r="F131" t="n">
        <v>1</v>
      </c>
      <c r="G131" s="8" t="n">
        <v>15241.69</v>
      </c>
    </row>
    <row r="132">
      <c r="A132" t="inlineStr">
        <is>
          <t>Lafite Rothschild</t>
        </is>
      </c>
      <c r="B132" t="inlineStr">
        <is>
          <t>Del Maipo</t>
        </is>
      </c>
      <c r="C132" t="inlineStr">
        <is>
          <t>FRANCE PAUILLAC CHATEAU LAFITE ROTHSCHILD 1976 750ML</t>
        </is>
      </c>
      <c r="D132" t="inlineStr">
        <is>
          <t>1976</t>
        </is>
      </c>
      <c r="E132" t="inlineStr"/>
      <c r="F132" t="n">
        <v>1</v>
      </c>
      <c r="G132" s="8" t="n">
        <v>15139.4</v>
      </c>
    </row>
    <row r="133">
      <c r="A133" t="inlineStr">
        <is>
          <t>Lafite Rothschild</t>
        </is>
      </c>
      <c r="B133" t="inlineStr">
        <is>
          <t>Del Maipo</t>
        </is>
      </c>
      <c r="C133" t="inlineStr">
        <is>
          <t>FRANCE PAUILLAC CHATEAU LAFITE ROTHSCHILD 1970 750ML</t>
        </is>
      </c>
      <c r="D133" t="inlineStr">
        <is>
          <t>1970</t>
        </is>
      </c>
      <c r="E133" t="inlineStr"/>
      <c r="F133" t="n">
        <v>5</v>
      </c>
      <c r="G133" s="8" t="n">
        <v>15037.11</v>
      </c>
    </row>
    <row r="134">
      <c r="A134" t="inlineStr">
        <is>
          <t>Lafite Rothschild</t>
        </is>
      </c>
      <c r="B134" t="inlineStr">
        <is>
          <t>Del Maipo</t>
        </is>
      </c>
      <c r="C134" t="inlineStr">
        <is>
          <t>FRANCE PAUILLAC CHATEAU LAFITE ROTHSCHILD 1975 750ML</t>
        </is>
      </c>
      <c r="D134" t="inlineStr">
        <is>
          <t>1975</t>
        </is>
      </c>
      <c r="E134" t="inlineStr"/>
      <c r="F134" t="n">
        <v>3</v>
      </c>
      <c r="G134" s="8" t="n">
        <v>14950.87</v>
      </c>
    </row>
    <row r="135">
      <c r="A135" t="inlineStr">
        <is>
          <t>Lafite Rothschild</t>
        </is>
      </c>
      <c r="B135" t="inlineStr">
        <is>
          <t>Del Maipo</t>
        </is>
      </c>
      <c r="C135" t="inlineStr">
        <is>
          <t>FRANCE PAUILLAC CHATEAU LAFITE ROTHSCHILD 1985 750ML</t>
        </is>
      </c>
      <c r="D135" t="inlineStr">
        <is>
          <t>1985</t>
        </is>
      </c>
      <c r="E135" t="inlineStr"/>
      <c r="F135" t="n">
        <v>16</v>
      </c>
      <c r="G135" s="8" t="n">
        <v>14525.64</v>
      </c>
    </row>
    <row r="136">
      <c r="A136" t="inlineStr">
        <is>
          <t>Lafite Rothschild</t>
        </is>
      </c>
      <c r="B136" t="inlineStr">
        <is>
          <t>Del Maipo</t>
        </is>
      </c>
      <c r="C136" t="inlineStr">
        <is>
          <t>FRANCE PAUILLAC CHATEAU LAFITE ROTHSCHILD 1973 750ML</t>
        </is>
      </c>
      <c r="D136" t="inlineStr">
        <is>
          <t>1973</t>
        </is>
      </c>
      <c r="E136" t="inlineStr"/>
      <c r="F136" t="n">
        <v>1</v>
      </c>
      <c r="G136" s="8" t="n">
        <v>14371.38</v>
      </c>
    </row>
    <row r="137">
      <c r="A137" t="inlineStr">
        <is>
          <t>Lafite Rothschild</t>
        </is>
      </c>
      <c r="B137" t="inlineStr">
        <is>
          <t>Del Maipo</t>
        </is>
      </c>
      <c r="C137" t="inlineStr">
        <is>
          <t>FRANCE PAUILLAC CHATEAU LAFITE ROTHSCHILD 1983 750ML</t>
        </is>
      </c>
      <c r="D137" t="inlineStr">
        <is>
          <t>1983</t>
        </is>
      </c>
      <c r="E137" t="inlineStr"/>
      <c r="F137" t="n">
        <v>3</v>
      </c>
      <c r="G137" s="8" t="n">
        <v>13911.88</v>
      </c>
    </row>
    <row r="138">
      <c r="A138" t="inlineStr">
        <is>
          <t>Lafite Rothschild</t>
        </is>
      </c>
      <c r="B138" t="inlineStr">
        <is>
          <t>Del Maipo</t>
        </is>
      </c>
      <c r="C138" t="inlineStr">
        <is>
          <t>FRANCE PAUILLAC CHATEAU LAFITE ROTHSCHILD 1974 750ML</t>
        </is>
      </c>
      <c r="D138" t="inlineStr">
        <is>
          <t>1974</t>
        </is>
      </c>
      <c r="E138" t="inlineStr"/>
      <c r="F138" t="n">
        <v>1</v>
      </c>
      <c r="G138" s="8" t="n">
        <v>12888.95</v>
      </c>
    </row>
    <row r="139">
      <c r="A139" t="inlineStr">
        <is>
          <t>Lafite Rothschild</t>
        </is>
      </c>
      <c r="B139" t="inlineStr">
        <is>
          <t>Mistral</t>
        </is>
      </c>
      <c r="C139" t="inlineStr">
        <is>
          <t>CHATEAU LAFITE ROTHSCHILD - PAUILLAC AOC 2022 (TTO)</t>
        </is>
      </c>
      <c r="D139" t="inlineStr">
        <is>
          <t>2022</t>
        </is>
      </c>
      <c r="E139" t="inlineStr">
        <is>
          <t>750ml</t>
        </is>
      </c>
      <c r="F139" t="n">
        <v>40</v>
      </c>
      <c r="G139" s="8" t="n">
        <v>12380.71</v>
      </c>
    </row>
    <row r="140">
      <c r="A140" t="inlineStr">
        <is>
          <t>Lafite Rothschild</t>
        </is>
      </c>
      <c r="B140" t="inlineStr">
        <is>
          <t>Mistral</t>
        </is>
      </c>
      <c r="C140" t="inlineStr">
        <is>
          <t>CHATEAU LAFITE ROTHSCHILD - PAUILLAC AOC 2021 (TTO)</t>
        </is>
      </c>
      <c r="D140" t="inlineStr">
        <is>
          <t>2021</t>
        </is>
      </c>
      <c r="E140" t="inlineStr">
        <is>
          <t>750ml</t>
        </is>
      </c>
      <c r="F140" t="n">
        <v>35</v>
      </c>
      <c r="G140" s="8" t="n">
        <v>10761.69</v>
      </c>
    </row>
    <row r="141">
      <c r="A141" t="inlineStr">
        <is>
          <t>Lafite Rothschild</t>
        </is>
      </c>
      <c r="B141" t="inlineStr">
        <is>
          <t>World Wine</t>
        </is>
      </c>
      <c r="C141" t="inlineStr">
        <is>
          <t>Château Lafite Rothschild</t>
        </is>
      </c>
      <c r="D141" t="inlineStr">
        <is>
          <t>2006</t>
        </is>
      </c>
      <c r="E141" t="inlineStr">
        <is>
          <t>750</t>
        </is>
      </c>
      <c r="G141" s="8" t="n">
        <v>9210.24</v>
      </c>
    </row>
    <row r="142">
      <c r="A142" t="inlineStr">
        <is>
          <t>Lafite Rothschild</t>
        </is>
      </c>
      <c r="B142" t="inlineStr">
        <is>
          <t>World Wine</t>
        </is>
      </c>
      <c r="C142" t="inlineStr">
        <is>
          <t>Château Lafite Rothschild</t>
        </is>
      </c>
      <c r="D142" t="inlineStr">
        <is>
          <t>2004</t>
        </is>
      </c>
      <c r="E142" t="inlineStr">
        <is>
          <t>750</t>
        </is>
      </c>
      <c r="G142" s="8" t="n">
        <v>8030.49</v>
      </c>
    </row>
    <row r="143">
      <c r="A143" t="inlineStr">
        <is>
          <t>Lafite Rothschild</t>
        </is>
      </c>
      <c r="B143" t="inlineStr">
        <is>
          <t>Del Maipo</t>
        </is>
      </c>
      <c r="C143" t="inlineStr">
        <is>
          <t>FRANCE SAUTERNES CHATEAU RIEUSSEC BY LAFITE ROTHSCHILD 1947 750ML</t>
        </is>
      </c>
      <c r="D143" t="inlineStr">
        <is>
          <t>1947</t>
        </is>
      </c>
      <c r="E143" t="inlineStr"/>
      <c r="F143" t="n">
        <v>1</v>
      </c>
      <c r="G143" s="8" t="n">
        <v>7996.98</v>
      </c>
    </row>
    <row r="144">
      <c r="A144" t="inlineStr">
        <is>
          <t>Lafite Rothschild</t>
        </is>
      </c>
      <c r="B144" t="inlineStr">
        <is>
          <t>Del Maipo</t>
        </is>
      </c>
      <c r="C144" t="inlineStr">
        <is>
          <t>FRANCE PAUILLAC CHATEAU LAFITE ROTHSCHILD NV 750ML</t>
        </is>
      </c>
      <c r="D144" t="inlineStr">
        <is>
          <t>1</t>
        </is>
      </c>
      <c r="E144" t="inlineStr"/>
      <c r="F144" t="n">
        <v>1</v>
      </c>
      <c r="G144" s="8" t="n">
        <v>7978.87</v>
      </c>
    </row>
    <row r="145">
      <c r="A145" t="inlineStr">
        <is>
          <t>Lafite Rothschild</t>
        </is>
      </c>
      <c r="B145" t="inlineStr">
        <is>
          <t>World Wine</t>
        </is>
      </c>
      <c r="C145" t="inlineStr">
        <is>
          <t>Carruades de Lafite (2° Ch. Lafite Rothschild)</t>
        </is>
      </c>
      <c r="D145" t="inlineStr">
        <is>
          <t>2010</t>
        </is>
      </c>
      <c r="E145" t="inlineStr">
        <is>
          <t>750</t>
        </is>
      </c>
      <c r="G145" s="8" t="n">
        <v>4550.61</v>
      </c>
    </row>
    <row r="146">
      <c r="A146" t="inlineStr">
        <is>
          <t>Lafite Rothschild</t>
        </is>
      </c>
      <c r="B146" t="inlineStr">
        <is>
          <t>World Wine</t>
        </is>
      </c>
      <c r="C146" t="inlineStr">
        <is>
          <t>Carruades de Lafite (2° Ch. Lafite Rothschild)</t>
        </is>
      </c>
      <c r="D146" t="inlineStr">
        <is>
          <t>2002</t>
        </is>
      </c>
      <c r="E146" t="inlineStr">
        <is>
          <t>750</t>
        </is>
      </c>
      <c r="G146" s="8" t="n">
        <v>4026.24</v>
      </c>
    </row>
    <row r="147">
      <c r="A147" t="inlineStr">
        <is>
          <t>Lafite Rothschild</t>
        </is>
      </c>
      <c r="B147" t="inlineStr">
        <is>
          <t>World Wine</t>
        </is>
      </c>
      <c r="C147" t="inlineStr">
        <is>
          <t>Carruades de Lafite (2° Ch. Lafite Rothschild)</t>
        </is>
      </c>
      <c r="D147" t="inlineStr">
        <is>
          <t>2004</t>
        </is>
      </c>
      <c r="E147" t="inlineStr">
        <is>
          <t>750</t>
        </is>
      </c>
      <c r="G147" s="8" t="n">
        <v>3565.44</v>
      </c>
    </row>
    <row r="148">
      <c r="A148" t="inlineStr">
        <is>
          <t>Lafite Rothschild</t>
        </is>
      </c>
      <c r="B148" t="inlineStr">
        <is>
          <t>Del Maipo</t>
        </is>
      </c>
      <c r="C148" t="inlineStr">
        <is>
          <t>FRANCE SAUTERNES CHATEAU RIEUSSEC BY LAFITE ROTHSCHILD 1994 750ML BR</t>
        </is>
      </c>
      <c r="D148" t="inlineStr">
        <is>
          <t>1994</t>
        </is>
      </c>
      <c r="E148" t="inlineStr"/>
      <c r="F148" t="n">
        <v>1</v>
      </c>
      <c r="G148" s="8" t="n">
        <v>3303.1</v>
      </c>
    </row>
    <row r="149">
      <c r="A149" t="inlineStr">
        <is>
          <t>Lafite Rothschild</t>
        </is>
      </c>
      <c r="B149" t="inlineStr">
        <is>
          <t>Mistral</t>
        </is>
      </c>
      <c r="C149" t="inlineStr">
        <is>
          <t>ANSEILLAN - PAUILLAC AOC 2020</t>
        </is>
      </c>
      <c r="D149" t="inlineStr">
        <is>
          <t>2020</t>
        </is>
      </c>
      <c r="E149" t="inlineStr">
        <is>
          <t>750ml</t>
        </is>
      </c>
      <c r="F149" t="n">
        <v>590</v>
      </c>
      <c r="G149" s="8" t="n">
        <v>804.42</v>
      </c>
    </row>
    <row r="150">
      <c r="A150" t="inlineStr">
        <is>
          <t>Lafite Rothschild</t>
        </is>
      </c>
      <c r="B150" t="inlineStr">
        <is>
          <t>Mistral</t>
        </is>
      </c>
      <c r="C150" t="inlineStr">
        <is>
          <t>ANSEILLAN - PAUILLAC AOC 2019</t>
        </is>
      </c>
      <c r="D150" t="inlineStr">
        <is>
          <t>2019</t>
        </is>
      </c>
      <c r="E150" t="inlineStr">
        <is>
          <t>750ml</t>
        </is>
      </c>
      <c r="F150" t="n">
        <v>337</v>
      </c>
      <c r="G150" s="8" t="n">
        <v>804.42</v>
      </c>
    </row>
    <row r="151">
      <c r="A151" t="inlineStr">
        <is>
          <t>Lafite Rothschild</t>
        </is>
      </c>
      <c r="B151" t="inlineStr">
        <is>
          <t>Mistral</t>
        </is>
      </c>
      <c r="C151" t="inlineStr">
        <is>
          <t>ANSEILLAN - PAUILLAC AOC 2021</t>
        </is>
      </c>
      <c r="D151" t="inlineStr">
        <is>
          <t>2021</t>
        </is>
      </c>
      <c r="E151" t="inlineStr">
        <is>
          <t>750ml</t>
        </is>
      </c>
      <c r="F151" t="n">
        <v>598</v>
      </c>
      <c r="G151" s="8" t="n">
        <v>804.42</v>
      </c>
    </row>
    <row r="152">
      <c r="A152" t="inlineStr">
        <is>
          <t>Lafite Rothschild</t>
        </is>
      </c>
      <c r="B152" t="inlineStr">
        <is>
          <t>Mistral</t>
        </is>
      </c>
      <c r="C152" t="inlineStr">
        <is>
          <t>1,5L AMANCAYA 2022 (TTO) (BODEGAS CARO (CATENA E CH. LAFITE-ROTHSCHILD)</t>
        </is>
      </c>
      <c r="D152" t="inlineStr">
        <is>
          <t>2022</t>
        </is>
      </c>
      <c r="E152" t="inlineStr">
        <is>
          <t>1500ml</t>
        </is>
      </c>
      <c r="F152" t="n">
        <v>57</v>
      </c>
      <c r="G152" s="8" t="n">
        <v>332.47</v>
      </c>
    </row>
    <row r="153">
      <c r="A153" t="inlineStr">
        <is>
          <t>Lafite Rothschild</t>
        </is>
      </c>
      <c r="B153" t="inlineStr">
        <is>
          <t>Mistral</t>
        </is>
      </c>
      <c r="C153" t="inlineStr">
        <is>
          <t>AMANCAYA 2021 (TTO) (BODEGAS CARO (CATENA E CH. LAFITE-ROTHSCHILD)</t>
        </is>
      </c>
      <c r="D153" t="inlineStr">
        <is>
          <t>2021</t>
        </is>
      </c>
      <c r="E153" t="inlineStr">
        <is>
          <t>750ml</t>
        </is>
      </c>
      <c r="F153" t="n">
        <v>1</v>
      </c>
      <c r="G153" s="8" t="n">
        <v>159.93</v>
      </c>
    </row>
    <row r="154">
      <c r="A154" t="inlineStr">
        <is>
          <t>Lafite Rothschild</t>
        </is>
      </c>
      <c r="B154" t="inlineStr">
        <is>
          <t>Mistral</t>
        </is>
      </c>
      <c r="C154" t="inlineStr">
        <is>
          <t>AMANCAYA 2022 (TTO) (BODEGAS CARO (CATENA E CH. LAFITE-ROTHSCHILD)</t>
        </is>
      </c>
      <c r="D154" t="inlineStr">
        <is>
          <t>2022</t>
        </is>
      </c>
      <c r="E154" t="inlineStr">
        <is>
          <t>750ml</t>
        </is>
      </c>
      <c r="F154" t="n">
        <v>11225</v>
      </c>
      <c r="G154" s="8" t="n">
        <v>159.93</v>
      </c>
    </row>
    <row r="155">
      <c r="A155" t="inlineStr">
        <is>
          <t>Lafite Rothschild</t>
        </is>
      </c>
      <c r="B155" t="inlineStr">
        <is>
          <t>Mistral</t>
        </is>
      </c>
      <c r="C155" t="inlineStr">
        <is>
          <t>PETIT CARO 2022 (TTO) (BODEGAS CARO (CATENA E CH. LAFITE-ROTHSCHILD))</t>
        </is>
      </c>
      <c r="D155" t="inlineStr">
        <is>
          <t>2022</t>
        </is>
      </c>
      <c r="E155" t="inlineStr">
        <is>
          <t>750ml</t>
        </is>
      </c>
      <c r="F155" t="n">
        <v>7274</v>
      </c>
      <c r="G155" s="8" t="n">
        <v>143.8</v>
      </c>
    </row>
    <row r="156">
      <c r="A156" t="inlineStr">
        <is>
          <t>Lafite Rothschild</t>
        </is>
      </c>
      <c r="B156" t="inlineStr">
        <is>
          <t>Mistral</t>
        </is>
      </c>
      <c r="C156" t="inlineStr">
        <is>
          <t>ARUMA 2022 (TTO) (BODEGAS CARO (CATENA E CH. LAFITE-ROTHSCHILD))</t>
        </is>
      </c>
      <c r="D156" t="inlineStr">
        <is>
          <t>2022</t>
        </is>
      </c>
      <c r="E156" t="inlineStr">
        <is>
          <t>750ml</t>
        </is>
      </c>
      <c r="F156" t="n">
        <v>2269</v>
      </c>
      <c r="G156" s="8" t="n">
        <v>115.6</v>
      </c>
    </row>
    <row r="157">
      <c r="A157" t="inlineStr">
        <is>
          <t>Lafite Rothschild</t>
        </is>
      </c>
      <c r="B157" t="inlineStr">
        <is>
          <t>Mistral</t>
        </is>
      </c>
      <c r="C157" t="inlineStr">
        <is>
          <t>ARUMA 2024 (TTO) (BODEGAS CARO (CATENA E CH. LAFITE-ROTHSCHILD))</t>
        </is>
      </c>
      <c r="D157" t="inlineStr">
        <is>
          <t>2024</t>
        </is>
      </c>
      <c r="E157" t="inlineStr">
        <is>
          <t>750ml</t>
        </is>
      </c>
      <c r="F157" t="n">
        <v>4197</v>
      </c>
      <c r="G157" s="8" t="n">
        <v>115.6</v>
      </c>
    </row>
    <row r="158">
      <c r="A158" t="inlineStr">
        <is>
          <t>Lafite Rothschild</t>
        </is>
      </c>
      <c r="B158" t="inlineStr">
        <is>
          <t>Mistral</t>
        </is>
      </c>
      <c r="C158" t="inlineStr">
        <is>
          <t>ARUMA 2023 (TTO) (BODEGAS CARO (CATENA E CH. LAFITE-ROTHSCHILD))</t>
        </is>
      </c>
      <c r="D158" t="inlineStr">
        <is>
          <t>2023</t>
        </is>
      </c>
      <c r="E158" t="inlineStr">
        <is>
          <t>750ml</t>
        </is>
      </c>
      <c r="F158" t="n">
        <v>4801</v>
      </c>
      <c r="G158" s="8" t="n">
        <v>115.6</v>
      </c>
    </row>
    <row r="159">
      <c r="A159" t="inlineStr">
        <is>
          <t>Lafleur/Pomerol ícone</t>
        </is>
      </c>
      <c r="B159" t="inlineStr">
        <is>
          <t>Del Maipo</t>
        </is>
      </c>
      <c r="C159" t="inlineStr">
        <is>
          <t>CHATEAU LA CONSEILLANTE POMEROL</t>
        </is>
      </c>
      <c r="D159" t="inlineStr">
        <is>
          <t>2011</t>
        </is>
      </c>
      <c r="E159" t="inlineStr">
        <is>
          <t>750ml</t>
        </is>
      </c>
      <c r="G159" s="8" t="n">
        <v>4014.96</v>
      </c>
    </row>
    <row r="160">
      <c r="A160" t="inlineStr">
        <is>
          <t>Lafleur/Pomerol ícone</t>
        </is>
      </c>
      <c r="B160" t="inlineStr">
        <is>
          <t>Del Maipo</t>
        </is>
      </c>
      <c r="C160" t="inlineStr">
        <is>
          <t>FRANCE POMEROL CHATEAU LA CONSEILLANTE 2002 750ML</t>
        </is>
      </c>
      <c r="D160" t="inlineStr">
        <is>
          <t>2002</t>
        </is>
      </c>
      <c r="E160" t="inlineStr"/>
      <c r="F160" t="n">
        <v>1</v>
      </c>
      <c r="G160" s="8" t="n">
        <v>3477.97</v>
      </c>
    </row>
    <row r="161">
      <c r="A161" t="inlineStr">
        <is>
          <t>Lafleur/Pomerol ícone</t>
        </is>
      </c>
      <c r="B161" t="inlineStr">
        <is>
          <t>World Wine</t>
        </is>
      </c>
      <c r="C161" t="inlineStr">
        <is>
          <t>Château La Conseillante</t>
        </is>
      </c>
      <c r="D161" t="inlineStr">
        <is>
          <t>2020</t>
        </is>
      </c>
      <c r="E161" t="inlineStr">
        <is>
          <t>750</t>
        </is>
      </c>
      <c r="G161" s="8" t="n">
        <v>3392.64</v>
      </c>
    </row>
    <row r="162">
      <c r="A162" t="inlineStr">
        <is>
          <t>Lafleur/Pomerol ícone</t>
        </is>
      </c>
      <c r="B162" t="inlineStr">
        <is>
          <t>World Wine</t>
        </is>
      </c>
      <c r="C162" t="inlineStr">
        <is>
          <t>Château La Conseillante</t>
        </is>
      </c>
      <c r="D162" t="inlineStr">
        <is>
          <t>2019</t>
        </is>
      </c>
      <c r="E162" t="inlineStr">
        <is>
          <t>750</t>
        </is>
      </c>
      <c r="G162" s="8" t="n">
        <v>3219.84</v>
      </c>
    </row>
    <row r="163">
      <c r="A163" t="inlineStr">
        <is>
          <t>Lafleur/Pomerol ícone</t>
        </is>
      </c>
      <c r="B163" t="inlineStr">
        <is>
          <t>Interfood</t>
        </is>
      </c>
      <c r="C163" t="inlineStr">
        <is>
          <t>V T CHATEAU TROTANOY AOC POMEROL 750 ML</t>
        </is>
      </c>
      <c r="D163" t="inlineStr"/>
      <c r="E163" t="inlineStr"/>
      <c r="G163" s="8" t="n">
        <v>2673.55</v>
      </c>
    </row>
    <row r="164">
      <c r="A164" t="inlineStr">
        <is>
          <t>Lafleur/Pomerol ícone</t>
        </is>
      </c>
      <c r="B164" t="inlineStr">
        <is>
          <t>Interfood</t>
        </is>
      </c>
      <c r="C164" t="inlineStr">
        <is>
          <t>V T CHATEAU HOSANNA AOC POMEROL 750 ML</t>
        </is>
      </c>
      <c r="D164" t="inlineStr"/>
      <c r="E164" t="inlineStr"/>
      <c r="G164" s="8" t="n">
        <v>1911.64</v>
      </c>
    </row>
    <row r="165">
      <c r="A165" t="inlineStr">
        <is>
          <t>Lafleur/Pomerol ícone</t>
        </is>
      </c>
      <c r="B165" t="inlineStr">
        <is>
          <t>World Wine</t>
        </is>
      </c>
      <c r="C165" t="inlineStr">
        <is>
          <t>Vieux Château Certan</t>
        </is>
      </c>
      <c r="D165" t="inlineStr">
        <is>
          <t>2011</t>
        </is>
      </c>
      <c r="E165" t="inlineStr">
        <is>
          <t>750</t>
        </is>
      </c>
      <c r="G165" s="8" t="n">
        <v>1837.44</v>
      </c>
    </row>
    <row r="166">
      <c r="A166" t="inlineStr">
        <is>
          <t>Lafleur/Pomerol ícone</t>
        </is>
      </c>
      <c r="B166" t="inlineStr">
        <is>
          <t>Del Maipo</t>
        </is>
      </c>
      <c r="C166" t="inlineStr">
        <is>
          <t>DUO DE CONSEILLANTE POMEROL</t>
        </is>
      </c>
      <c r="D166" t="inlineStr">
        <is>
          <t>2021</t>
        </is>
      </c>
      <c r="E166" t="inlineStr">
        <is>
          <t>750ml</t>
        </is>
      </c>
      <c r="G166" s="8" t="n">
        <v>1032.42</v>
      </c>
    </row>
    <row r="167">
      <c r="A167" t="inlineStr">
        <is>
          <t>Lafleur/Pomerol ícone</t>
        </is>
      </c>
      <c r="B167" t="inlineStr">
        <is>
          <t>Interfood</t>
        </is>
      </c>
      <c r="C167" t="inlineStr">
        <is>
          <t>V T ESPERANCE DE TROTANOY AOC POMEROL 750 ML</t>
        </is>
      </c>
      <c r="D167" t="inlineStr"/>
      <c r="E167" t="inlineStr"/>
      <c r="G167" s="8" t="n">
        <v>865.74</v>
      </c>
    </row>
    <row r="168">
      <c r="A168" t="inlineStr">
        <is>
          <t>Lafleur/Pomerol ícone</t>
        </is>
      </c>
      <c r="B168" t="inlineStr">
        <is>
          <t>Tanyno</t>
        </is>
      </c>
      <c r="C168" t="inlineStr">
        <is>
          <t>L'EGLISE CLINET — LA PETITE EGLISE</t>
        </is>
      </c>
      <c r="D168" t="inlineStr">
        <is>
          <t>2020</t>
        </is>
      </c>
      <c r="E168" t="inlineStr"/>
      <c r="F168" t="n">
        <v>28</v>
      </c>
      <c r="G168" s="8" t="n">
        <v>754.86</v>
      </c>
    </row>
    <row r="169">
      <c r="A169" t="inlineStr">
        <is>
          <t>Latour</t>
        </is>
      </c>
      <c r="B169" t="inlineStr">
        <is>
          <t>Del Maipo</t>
        </is>
      </c>
      <c r="C169" t="inlineStr">
        <is>
          <t>FRANCE PAUILLAC CHATEAU LATOUR 1937 750ML</t>
        </is>
      </c>
      <c r="D169" t="inlineStr">
        <is>
          <t>1937</t>
        </is>
      </c>
      <c r="E169" t="inlineStr"/>
      <c r="F169" t="n">
        <v>1</v>
      </c>
      <c r="G169" s="8" t="n">
        <v>28395.07</v>
      </c>
    </row>
    <row r="170">
      <c r="A170" t="inlineStr">
        <is>
          <t>Latour</t>
        </is>
      </c>
      <c r="B170" t="inlineStr">
        <is>
          <t>Del Maipo</t>
        </is>
      </c>
      <c r="C170" t="inlineStr">
        <is>
          <t>FRANCE PAUILLAC CHATEAU LATOUR 1953 750ML</t>
        </is>
      </c>
      <c r="D170" t="inlineStr">
        <is>
          <t>1953</t>
        </is>
      </c>
      <c r="E170" t="inlineStr"/>
      <c r="F170" t="n">
        <v>1</v>
      </c>
      <c r="G170" s="8" t="n">
        <v>16805.25</v>
      </c>
    </row>
    <row r="171">
      <c r="A171" t="inlineStr">
        <is>
          <t>Latour</t>
        </is>
      </c>
      <c r="B171" t="inlineStr">
        <is>
          <t>Del Maipo</t>
        </is>
      </c>
      <c r="C171" t="inlineStr">
        <is>
          <t>FRANCE PAUILLAC CHATEAU LATOUR 1985 750ML</t>
        </is>
      </c>
      <c r="D171" t="inlineStr">
        <is>
          <t>1985</t>
        </is>
      </c>
      <c r="E171" t="inlineStr"/>
      <c r="F171" t="n">
        <v>1</v>
      </c>
      <c r="G171" s="8" t="n">
        <v>15037.11</v>
      </c>
    </row>
    <row r="172">
      <c r="A172" t="inlineStr">
        <is>
          <t>Latour</t>
        </is>
      </c>
      <c r="B172" t="inlineStr">
        <is>
          <t>Del Maipo</t>
        </is>
      </c>
      <c r="C172" t="inlineStr">
        <is>
          <t>FRANCE PAUILLAC CHATEAU LATOUR 1964 750M</t>
        </is>
      </c>
      <c r="D172" t="inlineStr">
        <is>
          <t>1964</t>
        </is>
      </c>
      <c r="E172" t="inlineStr"/>
      <c r="F172" t="n">
        <v>2</v>
      </c>
      <c r="G172" s="8" t="n">
        <v>13744.93</v>
      </c>
    </row>
    <row r="173">
      <c r="A173" t="inlineStr">
        <is>
          <t>Latour</t>
        </is>
      </c>
      <c r="B173" t="inlineStr">
        <is>
          <t>Del Maipo</t>
        </is>
      </c>
      <c r="C173" t="inlineStr">
        <is>
          <t>FRANCE PAUILLAC CHATEAU LATOUR 1986 750ML</t>
        </is>
      </c>
      <c r="D173" t="inlineStr">
        <is>
          <t>1986</t>
        </is>
      </c>
      <c r="E173" t="inlineStr"/>
      <c r="F173" t="n">
        <v>1</v>
      </c>
      <c r="G173" s="8" t="n">
        <v>13502.71</v>
      </c>
    </row>
    <row r="174">
      <c r="A174" t="inlineStr">
        <is>
          <t>Latour</t>
        </is>
      </c>
      <c r="B174" t="inlineStr">
        <is>
          <t>Del Maipo</t>
        </is>
      </c>
      <c r="C174" t="inlineStr">
        <is>
          <t>FRANCE PAUILLAC CHATEAU LATOUR 1988 750ML</t>
        </is>
      </c>
      <c r="D174" t="inlineStr">
        <is>
          <t>1988</t>
        </is>
      </c>
      <c r="E174" t="inlineStr"/>
      <c r="F174" t="n">
        <v>6</v>
      </c>
      <c r="G174" s="8" t="n">
        <v>13318.58</v>
      </c>
    </row>
    <row r="175">
      <c r="A175" t="inlineStr">
        <is>
          <t>Latour</t>
        </is>
      </c>
      <c r="B175" t="inlineStr">
        <is>
          <t>Del Maipo</t>
        </is>
      </c>
      <c r="C175" t="inlineStr">
        <is>
          <t>FRANCE PAUILLAC CHATEAU LATOUR 1997 750ML</t>
        </is>
      </c>
      <c r="D175" t="inlineStr">
        <is>
          <t>1997</t>
        </is>
      </c>
      <c r="E175" t="inlineStr"/>
      <c r="F175" t="n">
        <v>1</v>
      </c>
      <c r="G175" s="8" t="n">
        <v>12888.95</v>
      </c>
    </row>
    <row r="176">
      <c r="A176" t="inlineStr">
        <is>
          <t>Latour</t>
        </is>
      </c>
      <c r="B176" t="inlineStr">
        <is>
          <t>Del Maipo</t>
        </is>
      </c>
      <c r="C176" t="inlineStr">
        <is>
          <t>FRANCE PAUILLAC CHATEAU LATOUR 1983 750ML TT</t>
        </is>
      </c>
      <c r="D176" t="inlineStr">
        <is>
          <t>1983</t>
        </is>
      </c>
      <c r="E176" t="inlineStr"/>
      <c r="F176" t="n">
        <v>1</v>
      </c>
      <c r="G176" s="8" t="n">
        <v>11728.9</v>
      </c>
    </row>
    <row r="177">
      <c r="A177" t="inlineStr">
        <is>
          <t>Latour</t>
        </is>
      </c>
      <c r="B177" t="inlineStr">
        <is>
          <t>Mistral</t>
        </is>
      </c>
      <c r="C177" t="inlineStr">
        <is>
          <t>Château Latour 2017</t>
        </is>
      </c>
      <c r="D177" t="inlineStr">
        <is>
          <t>2017</t>
        </is>
      </c>
      <c r="E177" t="inlineStr">
        <is>
          <t>750ml</t>
        </is>
      </c>
      <c r="F177" t="n">
        <v>1</v>
      </c>
      <c r="G177" s="8" t="n">
        <v>11394.73</v>
      </c>
    </row>
    <row r="178">
      <c r="A178" t="inlineStr">
        <is>
          <t>Latour</t>
        </is>
      </c>
      <c r="B178" t="inlineStr">
        <is>
          <t>Del Maipo</t>
        </is>
      </c>
      <c r="C178" t="inlineStr">
        <is>
          <t>FRANCE PAUILLAC CHATEAU LATOUR 1941 750ML</t>
        </is>
      </c>
      <c r="D178" t="inlineStr">
        <is>
          <t>1941</t>
        </is>
      </c>
      <c r="E178" t="inlineStr"/>
      <c r="F178" t="n">
        <v>2</v>
      </c>
      <c r="G178" s="8" t="n">
        <v>10740.79</v>
      </c>
    </row>
    <row r="179">
      <c r="A179" t="inlineStr">
        <is>
          <t>Latour</t>
        </is>
      </c>
      <c r="B179" t="inlineStr">
        <is>
          <t>Del Maipo</t>
        </is>
      </c>
      <c r="C179" t="inlineStr">
        <is>
          <t>FRANCE PAUILLAC CHATEAU LATOUR 1984 750ML</t>
        </is>
      </c>
      <c r="D179" t="inlineStr">
        <is>
          <t>1984</t>
        </is>
      </c>
      <c r="E179" t="inlineStr"/>
      <c r="F179" t="n">
        <v>7</v>
      </c>
      <c r="G179" s="8" t="n">
        <v>10740.79</v>
      </c>
    </row>
    <row r="180">
      <c r="A180" t="inlineStr">
        <is>
          <t>Latour</t>
        </is>
      </c>
      <c r="B180" t="inlineStr">
        <is>
          <t>Del Maipo</t>
        </is>
      </c>
      <c r="C180" t="inlineStr">
        <is>
          <t>FRANCE PAUILLAC CHATEAU LATOUR 1948 750ML</t>
        </is>
      </c>
      <c r="D180" t="inlineStr">
        <is>
          <t>1948</t>
        </is>
      </c>
      <c r="E180" t="inlineStr"/>
      <c r="F180" t="n">
        <v>1</v>
      </c>
      <c r="G180" s="8" t="n">
        <v>10127.03</v>
      </c>
    </row>
    <row r="181">
      <c r="A181" t="inlineStr">
        <is>
          <t>Latour</t>
        </is>
      </c>
      <c r="B181" t="inlineStr">
        <is>
          <t>Del Maipo</t>
        </is>
      </c>
      <c r="C181" t="inlineStr">
        <is>
          <t>FRANCE PAUILLAC CHATEAU LATOUR 1973 750ML</t>
        </is>
      </c>
      <c r="D181" t="inlineStr">
        <is>
          <t>1973</t>
        </is>
      </c>
      <c r="E181" t="inlineStr"/>
      <c r="F181" t="n">
        <v>2</v>
      </c>
      <c r="G181" s="8" t="n">
        <v>10024.74</v>
      </c>
    </row>
    <row r="182">
      <c r="A182" t="inlineStr">
        <is>
          <t>Latour</t>
        </is>
      </c>
      <c r="B182" t="inlineStr">
        <is>
          <t>World Wine</t>
        </is>
      </c>
      <c r="C182" t="inlineStr">
        <is>
          <t>Château Latour</t>
        </is>
      </c>
      <c r="D182" t="inlineStr">
        <is>
          <t>2008</t>
        </is>
      </c>
      <c r="E182" t="inlineStr">
        <is>
          <t>750</t>
        </is>
      </c>
      <c r="G182" s="8" t="n">
        <v>9368.9</v>
      </c>
    </row>
    <row r="183">
      <c r="A183" t="inlineStr">
        <is>
          <t>Latour</t>
        </is>
      </c>
      <c r="B183" t="inlineStr">
        <is>
          <t>World Wine</t>
        </is>
      </c>
      <c r="C183" t="inlineStr">
        <is>
          <t>Château Latour</t>
        </is>
      </c>
      <c r="D183" t="inlineStr">
        <is>
          <t>2013</t>
        </is>
      </c>
      <c r="E183" t="inlineStr">
        <is>
          <t>750</t>
        </is>
      </c>
      <c r="G183" s="8" t="n">
        <v>8346.24</v>
      </c>
    </row>
    <row r="184">
      <c r="A184" t="inlineStr">
        <is>
          <t>Latour</t>
        </is>
      </c>
      <c r="B184" t="inlineStr">
        <is>
          <t>World Wine</t>
        </is>
      </c>
      <c r="C184" t="inlineStr">
        <is>
          <t>Château Latour</t>
        </is>
      </c>
      <c r="D184" t="inlineStr">
        <is>
          <t>2012</t>
        </is>
      </c>
      <c r="E184" t="inlineStr">
        <is>
          <t>750</t>
        </is>
      </c>
      <c r="G184" s="8" t="n">
        <v>8058.24</v>
      </c>
    </row>
    <row r="185">
      <c r="A185" t="inlineStr">
        <is>
          <t>Latour</t>
        </is>
      </c>
      <c r="B185" t="inlineStr">
        <is>
          <t>World Wine</t>
        </is>
      </c>
      <c r="C185" t="inlineStr">
        <is>
          <t>Château Latour</t>
        </is>
      </c>
      <c r="D185" t="inlineStr">
        <is>
          <t>2011</t>
        </is>
      </c>
      <c r="E185" t="inlineStr">
        <is>
          <t>750</t>
        </is>
      </c>
      <c r="G185" s="8" t="n">
        <v>7021.44</v>
      </c>
    </row>
    <row r="186">
      <c r="A186" t="inlineStr">
        <is>
          <t>Latour</t>
        </is>
      </c>
      <c r="B186" t="inlineStr">
        <is>
          <t>World Wine</t>
        </is>
      </c>
      <c r="C186" t="inlineStr">
        <is>
          <t>Les Forts de Latour (2° Ch. Latour)</t>
        </is>
      </c>
      <c r="D186" t="inlineStr">
        <is>
          <t>2016</t>
        </is>
      </c>
      <c r="E186" t="inlineStr">
        <is>
          <t>750</t>
        </is>
      </c>
      <c r="G186" s="8" t="n">
        <v>3680.64</v>
      </c>
    </row>
    <row r="187">
      <c r="A187" t="inlineStr">
        <is>
          <t>Latour</t>
        </is>
      </c>
      <c r="B187" t="inlineStr">
        <is>
          <t>World Wine</t>
        </is>
      </c>
      <c r="C187" t="inlineStr">
        <is>
          <t>Les Forts de Latour (2° Ch. Latour)</t>
        </is>
      </c>
      <c r="D187" t="inlineStr">
        <is>
          <t>2017</t>
        </is>
      </c>
      <c r="E187" t="inlineStr">
        <is>
          <t>750</t>
        </is>
      </c>
      <c r="G187" s="8" t="n">
        <v>3392.64</v>
      </c>
    </row>
    <row r="188">
      <c r="A188" t="inlineStr">
        <is>
          <t>Latour</t>
        </is>
      </c>
      <c r="B188" t="inlineStr">
        <is>
          <t>World Wine</t>
        </is>
      </c>
      <c r="C188" t="inlineStr">
        <is>
          <t>Les Forts de Latour (2° Ch. Latour)</t>
        </is>
      </c>
      <c r="D188" t="inlineStr">
        <is>
          <t>2015</t>
        </is>
      </c>
      <c r="E188" t="inlineStr">
        <is>
          <t>750</t>
        </is>
      </c>
      <c r="G188" s="8" t="n">
        <v>3277.44</v>
      </c>
    </row>
    <row r="189">
      <c r="A189" t="inlineStr">
        <is>
          <t>Latour</t>
        </is>
      </c>
      <c r="B189" t="inlineStr">
        <is>
          <t>World Wine</t>
        </is>
      </c>
      <c r="C189" t="inlineStr">
        <is>
          <t>Les Forts de Latour (2° Ch. Latour)</t>
        </is>
      </c>
      <c r="D189" t="inlineStr">
        <is>
          <t>2006</t>
        </is>
      </c>
      <c r="E189" t="inlineStr">
        <is>
          <t>750</t>
        </is>
      </c>
      <c r="G189" s="8" t="n">
        <v>2989.44</v>
      </c>
    </row>
    <row r="190">
      <c r="A190" t="inlineStr">
        <is>
          <t>Latour</t>
        </is>
      </c>
      <c r="B190" t="inlineStr">
        <is>
          <t>World Wine</t>
        </is>
      </c>
      <c r="C190" t="inlineStr">
        <is>
          <t>Les Forts de Latour (2° Ch. Latour)</t>
        </is>
      </c>
      <c r="D190" t="inlineStr">
        <is>
          <t>2014</t>
        </is>
      </c>
      <c r="E190" t="inlineStr">
        <is>
          <t>750</t>
        </is>
      </c>
      <c r="G190" s="8" t="n">
        <v>2874.24</v>
      </c>
    </row>
    <row r="191">
      <c r="A191" t="inlineStr">
        <is>
          <t>Latour</t>
        </is>
      </c>
      <c r="B191" t="inlineStr">
        <is>
          <t>World Wine</t>
        </is>
      </c>
      <c r="C191" t="inlineStr">
        <is>
          <t>Les Forts de Latour (2° Ch. Latour)</t>
        </is>
      </c>
      <c r="D191" t="inlineStr">
        <is>
          <t>2011</t>
        </is>
      </c>
      <c r="E191" t="inlineStr">
        <is>
          <t>750</t>
        </is>
      </c>
      <c r="G191" s="8" t="n">
        <v>2816.64</v>
      </c>
    </row>
    <row r="192">
      <c r="A192" t="inlineStr">
        <is>
          <t>Latour</t>
        </is>
      </c>
      <c r="B192" t="inlineStr">
        <is>
          <t>World Wine</t>
        </is>
      </c>
      <c r="C192" t="inlineStr">
        <is>
          <t>Les Forts de Latour (2° Ch. Latour)</t>
        </is>
      </c>
      <c r="D192" t="inlineStr">
        <is>
          <t>2010</t>
        </is>
      </c>
      <c r="E192" t="inlineStr">
        <is>
          <t>750</t>
        </is>
      </c>
      <c r="G192" s="8" t="n">
        <v>2777.21</v>
      </c>
    </row>
    <row r="193">
      <c r="A193" t="inlineStr">
        <is>
          <t>Latour</t>
        </is>
      </c>
      <c r="B193" t="inlineStr">
        <is>
          <t>Interfood</t>
        </is>
      </c>
      <c r="C193" t="inlineStr">
        <is>
          <t>V T CHATEAU LATOUR AOC A POMEROL 750 ML</t>
        </is>
      </c>
      <c r="D193" t="inlineStr"/>
      <c r="E193" t="inlineStr"/>
      <c r="G193" s="8" t="n">
        <v>883.0599999999999</v>
      </c>
    </row>
    <row r="194">
      <c r="A194" t="inlineStr">
        <is>
          <t>Latour</t>
        </is>
      </c>
      <c r="B194" t="inlineStr">
        <is>
          <t>World Wine</t>
        </is>
      </c>
      <c r="C194" t="inlineStr">
        <is>
          <t>Château Latour-Martillac</t>
        </is>
      </c>
      <c r="D194" t="inlineStr">
        <is>
          <t>2010</t>
        </is>
      </c>
      <c r="E194" t="inlineStr">
        <is>
          <t>750</t>
        </is>
      </c>
      <c r="G194" s="8" t="n">
        <v>743.04</v>
      </c>
    </row>
    <row r="195">
      <c r="A195" t="inlineStr">
        <is>
          <t>Latour</t>
        </is>
      </c>
      <c r="B195" t="inlineStr">
        <is>
          <t>World Wine</t>
        </is>
      </c>
      <c r="C195" t="inlineStr">
        <is>
          <t>Château Latour-Martillac</t>
        </is>
      </c>
      <c r="D195" t="inlineStr">
        <is>
          <t>2019</t>
        </is>
      </c>
      <c r="E195" t="inlineStr">
        <is>
          <t>750</t>
        </is>
      </c>
      <c r="G195" s="8" t="n">
        <v>685.4400000000001</v>
      </c>
    </row>
    <row r="196">
      <c r="A196" t="inlineStr">
        <is>
          <t>Latour</t>
        </is>
      </c>
      <c r="B196" t="inlineStr">
        <is>
          <t>World Wine</t>
        </is>
      </c>
      <c r="C196" t="inlineStr">
        <is>
          <t>Château Latour-Martillac</t>
        </is>
      </c>
      <c r="D196" t="inlineStr">
        <is>
          <t>2009</t>
        </is>
      </c>
      <c r="E196" t="inlineStr">
        <is>
          <t>750</t>
        </is>
      </c>
      <c r="G196" s="8" t="n">
        <v>627.84</v>
      </c>
    </row>
    <row r="197">
      <c r="A197" t="inlineStr">
        <is>
          <t>Latour</t>
        </is>
      </c>
      <c r="B197" t="inlineStr">
        <is>
          <t>World Wine</t>
        </is>
      </c>
      <c r="C197" t="inlineStr">
        <is>
          <t>Château Latour-Martillac Blanc</t>
        </is>
      </c>
      <c r="D197" t="inlineStr">
        <is>
          <t>2018</t>
        </is>
      </c>
      <c r="E197" t="inlineStr">
        <is>
          <t>750</t>
        </is>
      </c>
      <c r="G197" s="8" t="n">
        <v>535.04</v>
      </c>
    </row>
    <row r="198">
      <c r="A198" t="inlineStr">
        <is>
          <t>Latour</t>
        </is>
      </c>
      <c r="B198" t="inlineStr">
        <is>
          <t>World Wine</t>
        </is>
      </c>
      <c r="C198" t="inlineStr">
        <is>
          <t>Château Latour-Martillac</t>
        </is>
      </c>
      <c r="D198" t="inlineStr">
        <is>
          <t>2016</t>
        </is>
      </c>
      <c r="E198" t="inlineStr">
        <is>
          <t>750</t>
        </is>
      </c>
      <c r="G198" s="8" t="n">
        <v>517.8200000000001</v>
      </c>
    </row>
    <row r="199">
      <c r="A199" t="inlineStr">
        <is>
          <t>Latour</t>
        </is>
      </c>
      <c r="B199" t="inlineStr">
        <is>
          <t>World Wine</t>
        </is>
      </c>
      <c r="C199" t="inlineStr">
        <is>
          <t>Château Latour-Martillac Blanc</t>
        </is>
      </c>
      <c r="D199" t="inlineStr">
        <is>
          <t>2019</t>
        </is>
      </c>
      <c r="E199" t="inlineStr">
        <is>
          <t>750</t>
        </is>
      </c>
      <c r="G199" s="8" t="n">
        <v>477.44</v>
      </c>
    </row>
    <row r="200">
      <c r="A200" t="inlineStr">
        <is>
          <t>Latour</t>
        </is>
      </c>
      <c r="B200" t="inlineStr">
        <is>
          <t>World Wine</t>
        </is>
      </c>
      <c r="C200" t="inlineStr">
        <is>
          <t>Château Latour-Martillac</t>
        </is>
      </c>
      <c r="D200" t="inlineStr">
        <is>
          <t>2012</t>
        </is>
      </c>
      <c r="E200" t="inlineStr">
        <is>
          <t>750</t>
        </is>
      </c>
      <c r="G200" s="8" t="n">
        <v>445.02</v>
      </c>
    </row>
    <row r="201">
      <c r="A201" t="inlineStr">
        <is>
          <t>Latour</t>
        </is>
      </c>
      <c r="B201" t="inlineStr">
        <is>
          <t>Tanyno</t>
        </is>
      </c>
      <c r="C201" t="inlineStr">
        <is>
          <t>CH. LATOUR-MARTILLAC — CHÂTEAU LATOUR-MARTILLAC</t>
        </is>
      </c>
      <c r="D201" t="inlineStr">
        <is>
          <t>2023</t>
        </is>
      </c>
      <c r="E201" t="inlineStr"/>
      <c r="F201" t="n">
        <v>273</v>
      </c>
      <c r="G201" s="8" t="n">
        <v>437.04</v>
      </c>
    </row>
    <row r="202">
      <c r="A202" t="inlineStr">
        <is>
          <t>Latour</t>
        </is>
      </c>
      <c r="B202" t="inlineStr">
        <is>
          <t>World Wine</t>
        </is>
      </c>
      <c r="C202" t="inlineStr">
        <is>
          <t>Château Latour-Martillac</t>
        </is>
      </c>
      <c r="D202" t="inlineStr">
        <is>
          <t>2008</t>
        </is>
      </c>
      <c r="E202" t="inlineStr">
        <is>
          <t>750</t>
        </is>
      </c>
      <c r="G202" s="8" t="n">
        <v>384.79</v>
      </c>
    </row>
    <row r="203">
      <c r="A203" t="inlineStr">
        <is>
          <t>Latour</t>
        </is>
      </c>
      <c r="B203" t="inlineStr">
        <is>
          <t>Tanyno</t>
        </is>
      </c>
      <c r="C203" t="inlineStr">
        <is>
          <t>CH. LATOUR-MARTILLAC — CHÂTEAU LATOUR-MARTILLAC</t>
        </is>
      </c>
      <c r="D203" t="inlineStr">
        <is>
          <t>2019</t>
        </is>
      </c>
      <c r="E203" t="inlineStr"/>
      <c r="F203" t="n">
        <v>97</v>
      </c>
      <c r="G203" s="8" t="n">
        <v>384.21</v>
      </c>
    </row>
    <row r="204">
      <c r="A204" t="inlineStr">
        <is>
          <t>Le Pin</t>
        </is>
      </c>
      <c r="B204" t="inlineStr">
        <is>
          <t>World Wine</t>
        </is>
      </c>
      <c r="C204" t="inlineStr">
        <is>
          <t>Le Pin</t>
        </is>
      </c>
      <c r="D204" t="inlineStr">
        <is>
          <t>2020</t>
        </is>
      </c>
      <c r="E204" t="inlineStr">
        <is>
          <t>750</t>
        </is>
      </c>
      <c r="G204" s="8" t="n">
        <v>39392.64</v>
      </c>
    </row>
    <row r="205">
      <c r="A205" t="inlineStr">
        <is>
          <t>Le Pin</t>
        </is>
      </c>
      <c r="B205" t="inlineStr">
        <is>
          <t>World Wine</t>
        </is>
      </c>
      <c r="C205" t="inlineStr">
        <is>
          <t>Le Pin</t>
        </is>
      </c>
      <c r="D205" t="inlineStr">
        <is>
          <t>1997</t>
        </is>
      </c>
      <c r="E205" t="inlineStr">
        <is>
          <t>750</t>
        </is>
      </c>
      <c r="G205" s="8" t="n">
        <v>28794.24</v>
      </c>
    </row>
    <row r="206">
      <c r="A206" t="inlineStr">
        <is>
          <t>Margaux (1er)</t>
        </is>
      </c>
      <c r="B206" t="inlineStr">
        <is>
          <t>Del Maipo</t>
        </is>
      </c>
      <c r="C206" t="inlineStr">
        <is>
          <t>FRANCE MARGAUX CHATEAU MARGAUX 1959 750 ML</t>
        </is>
      </c>
      <c r="D206" t="inlineStr">
        <is>
          <t>1959</t>
        </is>
      </c>
      <c r="E206" t="inlineStr"/>
      <c r="F206" t="n">
        <v>2</v>
      </c>
      <c r="G206" s="8" t="n">
        <v>44041.34</v>
      </c>
    </row>
    <row r="207">
      <c r="A207" t="inlineStr">
        <is>
          <t>Margaux (1er)</t>
        </is>
      </c>
      <c r="B207" t="inlineStr">
        <is>
          <t>Del Maipo</t>
        </is>
      </c>
      <c r="C207" t="inlineStr">
        <is>
          <t>FRANCE MARGAUX CHATEAU MARGAUX 1969 1,5LT</t>
        </is>
      </c>
      <c r="D207" t="inlineStr">
        <is>
          <t>1969</t>
        </is>
      </c>
      <c r="E207" t="inlineStr"/>
      <c r="F207" t="n">
        <v>2</v>
      </c>
      <c r="G207" s="8" t="n">
        <v>25497.62</v>
      </c>
    </row>
    <row r="208">
      <c r="A208" t="inlineStr">
        <is>
          <t>Margaux (1er)</t>
        </is>
      </c>
      <c r="B208" t="inlineStr">
        <is>
          <t>Del Maipo</t>
        </is>
      </c>
      <c r="C208" t="inlineStr">
        <is>
          <t>FRANCE MARGAUX CHATEAU MARGAUX 1976 1,5L</t>
        </is>
      </c>
      <c r="D208" t="inlineStr">
        <is>
          <t>1976</t>
        </is>
      </c>
      <c r="E208" t="inlineStr"/>
      <c r="F208" t="n">
        <v>1</v>
      </c>
      <c r="G208" s="8" t="n">
        <v>17384.74</v>
      </c>
    </row>
    <row r="209">
      <c r="A209" t="inlineStr">
        <is>
          <t>Margaux (1er)</t>
        </is>
      </c>
      <c r="B209" t="inlineStr">
        <is>
          <t>Del Maipo</t>
        </is>
      </c>
      <c r="C209" t="inlineStr">
        <is>
          <t>FRANCE MARGAUX CHATEAU MARGAUX 1964 750ML</t>
        </is>
      </c>
      <c r="D209" t="inlineStr">
        <is>
          <t>1964</t>
        </is>
      </c>
      <c r="E209" t="inlineStr"/>
      <c r="F209" t="n">
        <v>1</v>
      </c>
      <c r="G209" s="8" t="n">
        <v>14014.18</v>
      </c>
    </row>
    <row r="210">
      <c r="A210" t="inlineStr">
        <is>
          <t>Margaux (1er)</t>
        </is>
      </c>
      <c r="B210" t="inlineStr">
        <is>
          <t>World Wine</t>
        </is>
      </c>
      <c r="C210" t="inlineStr">
        <is>
          <t>Château Margaux</t>
        </is>
      </c>
      <c r="D210" t="inlineStr">
        <is>
          <t>2009</t>
        </is>
      </c>
      <c r="E210" t="inlineStr">
        <is>
          <t>750</t>
        </is>
      </c>
      <c r="G210" s="8" t="n">
        <v>12090.24</v>
      </c>
    </row>
    <row r="211">
      <c r="A211" t="inlineStr">
        <is>
          <t>Margaux (1er)</t>
        </is>
      </c>
      <c r="B211" t="inlineStr">
        <is>
          <t>Del Maipo</t>
        </is>
      </c>
      <c r="C211" t="inlineStr">
        <is>
          <t>FRANCE MARGAUX CHATEAU MARGAUX 1967 750ML</t>
        </is>
      </c>
      <c r="D211" t="inlineStr">
        <is>
          <t>1967</t>
        </is>
      </c>
      <c r="E211" t="inlineStr"/>
      <c r="F211" t="n">
        <v>1</v>
      </c>
      <c r="G211" s="8" t="n">
        <v>11456.84</v>
      </c>
    </row>
    <row r="212">
      <c r="A212" t="inlineStr">
        <is>
          <t>Margaux (1er)</t>
        </is>
      </c>
      <c r="B212" t="inlineStr">
        <is>
          <t>Del Maipo</t>
        </is>
      </c>
      <c r="C212" t="inlineStr">
        <is>
          <t>CHATEAU MARGAUX PREMIER GRAND CRU CLASSE - AOC MARGAUX</t>
        </is>
      </c>
      <c r="D212" t="inlineStr">
        <is>
          <t>2013</t>
        </is>
      </c>
      <c r="E212" t="inlineStr">
        <is>
          <t>750ml</t>
        </is>
      </c>
      <c r="G212" s="8" t="n">
        <v>11200.08</v>
      </c>
    </row>
    <row r="213">
      <c r="A213" t="inlineStr">
        <is>
          <t>Margaux (1er)</t>
        </is>
      </c>
      <c r="B213" t="inlineStr">
        <is>
          <t>Del Maipo</t>
        </is>
      </c>
      <c r="C213" t="inlineStr">
        <is>
          <t>FRANCE MARGAUX CHATEAU MARGAUX 1981 750ML</t>
        </is>
      </c>
      <c r="D213" t="inlineStr">
        <is>
          <t>1981</t>
        </is>
      </c>
      <c r="E213" t="inlineStr"/>
      <c r="F213" t="n">
        <v>6</v>
      </c>
      <c r="G213" s="8" t="n">
        <v>11149.96</v>
      </c>
    </row>
    <row r="214">
      <c r="A214" t="inlineStr">
        <is>
          <t>Margaux (1er)</t>
        </is>
      </c>
      <c r="B214" t="inlineStr">
        <is>
          <t>Del Maipo</t>
        </is>
      </c>
      <c r="C214" t="inlineStr">
        <is>
          <t>FRANCE MARGAUX CHATEAU MARGAUX 1978 750ML</t>
        </is>
      </c>
      <c r="D214" t="inlineStr">
        <is>
          <t>1978</t>
        </is>
      </c>
      <c r="E214" t="inlineStr"/>
      <c r="F214" t="n">
        <v>1</v>
      </c>
      <c r="G214" s="8" t="n">
        <v>10740.79</v>
      </c>
    </row>
    <row r="215">
      <c r="A215" t="inlineStr">
        <is>
          <t>Margaux (1er)</t>
        </is>
      </c>
      <c r="B215" t="inlineStr">
        <is>
          <t>World Wine</t>
        </is>
      </c>
      <c r="C215" t="inlineStr">
        <is>
          <t>Château Margaux</t>
        </is>
      </c>
      <c r="D215" t="inlineStr">
        <is>
          <t>2010</t>
        </is>
      </c>
      <c r="E215" t="inlineStr">
        <is>
          <t>750</t>
        </is>
      </c>
      <c r="G215" s="8" t="n">
        <v>10650.24</v>
      </c>
    </row>
    <row r="216">
      <c r="A216" t="inlineStr">
        <is>
          <t>Margaux (1er)</t>
        </is>
      </c>
      <c r="B216" t="inlineStr">
        <is>
          <t>World Wine</t>
        </is>
      </c>
      <c r="C216" t="inlineStr">
        <is>
          <t>Château Margaux</t>
        </is>
      </c>
      <c r="D216" t="inlineStr">
        <is>
          <t>2016</t>
        </is>
      </c>
      <c r="E216" t="inlineStr">
        <is>
          <t>750</t>
        </is>
      </c>
      <c r="G216" s="8" t="n">
        <v>10650.24</v>
      </c>
    </row>
    <row r="217">
      <c r="A217" t="inlineStr">
        <is>
          <t>Margaux (1er)</t>
        </is>
      </c>
      <c r="B217" t="inlineStr">
        <is>
          <t>World Wine</t>
        </is>
      </c>
      <c r="C217" t="inlineStr">
        <is>
          <t>Château Margaux</t>
        </is>
      </c>
      <c r="D217" t="inlineStr">
        <is>
          <t>2018</t>
        </is>
      </c>
      <c r="E217" t="inlineStr">
        <is>
          <t>750</t>
        </is>
      </c>
      <c r="G217" s="8" t="n">
        <v>10650.24</v>
      </c>
    </row>
    <row r="218">
      <c r="A218" t="inlineStr">
        <is>
          <t>Margaux (1er)</t>
        </is>
      </c>
      <c r="B218" t="inlineStr">
        <is>
          <t>World Wine</t>
        </is>
      </c>
      <c r="C218" t="inlineStr">
        <is>
          <t>Château Margaux</t>
        </is>
      </c>
      <c r="D218" t="inlineStr">
        <is>
          <t>2019</t>
        </is>
      </c>
      <c r="E218" t="inlineStr">
        <is>
          <t>750</t>
        </is>
      </c>
      <c r="G218" s="8" t="n">
        <v>10650.24</v>
      </c>
    </row>
    <row r="219">
      <c r="A219" t="inlineStr">
        <is>
          <t>Margaux (1er)</t>
        </is>
      </c>
      <c r="B219" t="inlineStr">
        <is>
          <t>Del Maipo</t>
        </is>
      </c>
      <c r="C219" t="inlineStr">
        <is>
          <t>FRANCE MARGAUX CHATEAU MARGAUX 1966 750ML</t>
        </is>
      </c>
      <c r="D219" t="inlineStr">
        <is>
          <t>1966</t>
        </is>
      </c>
      <c r="E219" t="inlineStr"/>
      <c r="F219" t="n">
        <v>2</v>
      </c>
      <c r="G219" s="8" t="n">
        <v>10546.74</v>
      </c>
    </row>
    <row r="220">
      <c r="A220" t="inlineStr">
        <is>
          <t>Margaux (1er)</t>
        </is>
      </c>
      <c r="B220" t="inlineStr">
        <is>
          <t>Del Maipo</t>
        </is>
      </c>
      <c r="C220" t="inlineStr">
        <is>
          <t>CHATEAU MARGAUX PREMIER GRAND CRU CLASSE - AOC MARGAUX</t>
        </is>
      </c>
      <c r="D220" t="inlineStr">
        <is>
          <t>2021</t>
        </is>
      </c>
      <c r="E220" t="inlineStr">
        <is>
          <t>750ml</t>
        </is>
      </c>
      <c r="G220" s="8" t="n">
        <v>10324.2</v>
      </c>
    </row>
    <row r="221">
      <c r="A221" t="inlineStr">
        <is>
          <t>Margaux (1er)</t>
        </is>
      </c>
      <c r="B221" t="inlineStr">
        <is>
          <t>World Wine</t>
        </is>
      </c>
      <c r="C221" t="inlineStr">
        <is>
          <t>Château Margaux</t>
        </is>
      </c>
      <c r="D221" t="inlineStr">
        <is>
          <t>2020</t>
        </is>
      </c>
      <c r="E221" t="inlineStr">
        <is>
          <t>750</t>
        </is>
      </c>
      <c r="G221" s="8" t="n">
        <v>9786.24</v>
      </c>
    </row>
    <row r="222">
      <c r="A222" t="inlineStr">
        <is>
          <t>Margaux (1er)</t>
        </is>
      </c>
      <c r="B222" t="inlineStr">
        <is>
          <t>Del Maipo</t>
        </is>
      </c>
      <c r="C222" t="inlineStr">
        <is>
          <t>FRANCE MARGAUX CHATEAU MARGAUX 1979 750ML</t>
        </is>
      </c>
      <c r="D222" t="inlineStr">
        <is>
          <t>1979</t>
        </is>
      </c>
      <c r="E222" t="inlineStr"/>
      <c r="F222" t="n">
        <v>11</v>
      </c>
      <c r="G222" s="8" t="n">
        <v>9410.98</v>
      </c>
    </row>
    <row r="223">
      <c r="A223" t="inlineStr">
        <is>
          <t>Margaux (1er)</t>
        </is>
      </c>
      <c r="B223" t="inlineStr">
        <is>
          <t>Del Maipo</t>
        </is>
      </c>
      <c r="C223" t="inlineStr">
        <is>
          <t>FRANCE MARGAUX CHATEAU MARGAUX 1976 750ML TT</t>
        </is>
      </c>
      <c r="D223" t="inlineStr">
        <is>
          <t>1976</t>
        </is>
      </c>
      <c r="E223" t="inlineStr"/>
      <c r="F223" t="n">
        <v>1</v>
      </c>
      <c r="G223" s="8" t="n">
        <v>9051.65</v>
      </c>
    </row>
    <row r="224">
      <c r="A224" t="inlineStr">
        <is>
          <t>Margaux (1er)</t>
        </is>
      </c>
      <c r="B224" t="inlineStr">
        <is>
          <t>World Wine</t>
        </is>
      </c>
      <c r="C224" t="inlineStr">
        <is>
          <t>Château Margaux</t>
        </is>
      </c>
      <c r="D224" t="inlineStr">
        <is>
          <t>2017</t>
        </is>
      </c>
      <c r="E224" t="inlineStr">
        <is>
          <t>750</t>
        </is>
      </c>
      <c r="G224" s="8" t="n">
        <v>8634.24</v>
      </c>
    </row>
    <row r="225">
      <c r="A225" t="inlineStr">
        <is>
          <t>Margaux (1er)</t>
        </is>
      </c>
      <c r="B225" t="inlineStr">
        <is>
          <t>Del Maipo</t>
        </is>
      </c>
      <c r="C225" t="inlineStr">
        <is>
          <t>FRANCE MARGAUX CHATEAU MARGAUX 1976 750ML</t>
        </is>
      </c>
      <c r="D225" t="inlineStr">
        <is>
          <t>1976</t>
        </is>
      </c>
      <c r="E225" t="inlineStr"/>
      <c r="F225" t="n">
        <v>3</v>
      </c>
      <c r="G225" s="8" t="n">
        <v>8229.49</v>
      </c>
    </row>
    <row r="226">
      <c r="A226" t="inlineStr">
        <is>
          <t>Margaux (1er)</t>
        </is>
      </c>
      <c r="B226" t="inlineStr">
        <is>
          <t>Boisse</t>
        </is>
      </c>
      <c r="C226" t="inlineStr">
        <is>
          <t>CH MARGAUX 2014 CB 06</t>
        </is>
      </c>
      <c r="D226" t="inlineStr">
        <is>
          <t>2014</t>
        </is>
      </c>
      <c r="E226" t="inlineStr"/>
      <c r="G226" s="8" t="n">
        <v>7987.5</v>
      </c>
    </row>
    <row r="227">
      <c r="A227" t="inlineStr">
        <is>
          <t>Margaux (1er)</t>
        </is>
      </c>
      <c r="B227" t="inlineStr">
        <is>
          <t>Del Maipo</t>
        </is>
      </c>
      <c r="C227" t="inlineStr">
        <is>
          <t>FRANCE MARGAUX CHATEAU MARGAUX 1970 750ML</t>
        </is>
      </c>
      <c r="D227" t="inlineStr">
        <is>
          <t>1970</t>
        </is>
      </c>
      <c r="E227" t="inlineStr"/>
      <c r="F227" t="n">
        <v>2</v>
      </c>
      <c r="G227" s="8" t="n">
        <v>7518.55</v>
      </c>
    </row>
    <row r="228">
      <c r="A228" t="inlineStr">
        <is>
          <t>Margaux (1er)</t>
        </is>
      </c>
      <c r="B228" t="inlineStr">
        <is>
          <t>Del Maipo</t>
        </is>
      </c>
      <c r="C228" t="inlineStr">
        <is>
          <t>FRANCE MARGAUX CHATEAU MARGAUX 1975 750ML</t>
        </is>
      </c>
      <c r="D228" t="inlineStr">
        <is>
          <t>1975</t>
        </is>
      </c>
      <c r="E228" t="inlineStr"/>
      <c r="F228" t="n">
        <v>3</v>
      </c>
      <c r="G228" s="8" t="n">
        <v>7365.11</v>
      </c>
    </row>
    <row r="229">
      <c r="A229" t="inlineStr">
        <is>
          <t>Margaux (1er)</t>
        </is>
      </c>
      <c r="B229" t="inlineStr">
        <is>
          <t>World Wine</t>
        </is>
      </c>
      <c r="C229" t="inlineStr">
        <is>
          <t>Château Margaux</t>
        </is>
      </c>
      <c r="D229" t="inlineStr">
        <is>
          <t>2006</t>
        </is>
      </c>
      <c r="E229" t="inlineStr">
        <is>
          <t>750</t>
        </is>
      </c>
      <c r="G229" s="8" t="n">
        <v>6220.8</v>
      </c>
    </row>
    <row r="230">
      <c r="A230" t="inlineStr">
        <is>
          <t>Margaux (1er)</t>
        </is>
      </c>
      <c r="B230" t="inlineStr">
        <is>
          <t>World Wine</t>
        </is>
      </c>
      <c r="C230" t="inlineStr">
        <is>
          <t>Château Margaux</t>
        </is>
      </c>
      <c r="D230" t="inlineStr">
        <is>
          <t>2007</t>
        </is>
      </c>
      <c r="E230" t="inlineStr">
        <is>
          <t>750</t>
        </is>
      </c>
      <c r="G230" s="8" t="n">
        <v>6215.04</v>
      </c>
    </row>
    <row r="231">
      <c r="A231" t="inlineStr">
        <is>
          <t>Margaux (1er)</t>
        </is>
      </c>
      <c r="B231" t="inlineStr">
        <is>
          <t>Del Maipo</t>
        </is>
      </c>
      <c r="C231" t="inlineStr">
        <is>
          <t>PAVILLON ROUGE DU CHATEAU  MARGAUX - AOC MARGAUX</t>
        </is>
      </c>
      <c r="D231" t="inlineStr">
        <is>
          <t>2009</t>
        </is>
      </c>
      <c r="E231" t="inlineStr">
        <is>
          <t>750ml</t>
        </is>
      </c>
      <c r="G231" s="8" t="n">
        <v>4970.91</v>
      </c>
    </row>
    <row r="232">
      <c r="A232" t="inlineStr">
        <is>
          <t>Margaux (1er)</t>
        </is>
      </c>
      <c r="B232" t="inlineStr">
        <is>
          <t>Del Maipo</t>
        </is>
      </c>
      <c r="C232" t="inlineStr">
        <is>
          <t>PAVILLON ROUGE DU CHATEAU  MARGAUX - AOC MARGAUX</t>
        </is>
      </c>
      <c r="D232" t="inlineStr">
        <is>
          <t>2010</t>
        </is>
      </c>
      <c r="E232" t="inlineStr">
        <is>
          <t>750ml</t>
        </is>
      </c>
      <c r="G232" s="8" t="n">
        <v>4815.57</v>
      </c>
    </row>
    <row r="233">
      <c r="A233" t="inlineStr">
        <is>
          <t>Margaux (1er)</t>
        </is>
      </c>
      <c r="B233" t="inlineStr">
        <is>
          <t>Del Maipo</t>
        </is>
      </c>
      <c r="C233" t="inlineStr">
        <is>
          <t>PAVILLON ROUGE DU CHATEAU  MARGAUX - AOC MARGAUX</t>
        </is>
      </c>
      <c r="D233" t="inlineStr">
        <is>
          <t>2005</t>
        </is>
      </c>
      <c r="E233" t="inlineStr">
        <is>
          <t>750ml</t>
        </is>
      </c>
      <c r="G233" s="8" t="n">
        <v>4660.23</v>
      </c>
    </row>
    <row r="234">
      <c r="A234" t="inlineStr">
        <is>
          <t>Margaux (1er)</t>
        </is>
      </c>
      <c r="B234" t="inlineStr">
        <is>
          <t>Del Maipo</t>
        </is>
      </c>
      <c r="C234" t="inlineStr">
        <is>
          <t>FRANCE MARGAUX CHATEAU MARGAUX PAVILLON ROUGE 1978 750ML</t>
        </is>
      </c>
      <c r="D234" t="inlineStr">
        <is>
          <t>1978</t>
        </is>
      </c>
      <c r="E234" t="inlineStr"/>
      <c r="F234" t="n">
        <v>1</v>
      </c>
      <c r="G234" s="8" t="n">
        <v>4071.27</v>
      </c>
    </row>
    <row r="235">
      <c r="A235" t="inlineStr">
        <is>
          <t>Margaux (1er)</t>
        </is>
      </c>
      <c r="B235" t="inlineStr">
        <is>
          <t>World Wine</t>
        </is>
      </c>
      <c r="C235" t="inlineStr">
        <is>
          <t>Pavillon Blanc du Château Margaux</t>
        </is>
      </c>
      <c r="D235" t="inlineStr">
        <is>
          <t>2010</t>
        </is>
      </c>
      <c r="E235" t="inlineStr">
        <is>
          <t>750</t>
        </is>
      </c>
      <c r="G235" s="8" t="n">
        <v>3178.73</v>
      </c>
    </row>
    <row r="236">
      <c r="A236" t="inlineStr">
        <is>
          <t>Margaux (1er)</t>
        </is>
      </c>
      <c r="B236" t="inlineStr">
        <is>
          <t>World Wine</t>
        </is>
      </c>
      <c r="C236" t="inlineStr">
        <is>
          <t>Pavillon Rouge (2° Ch. Margaux)</t>
        </is>
      </c>
      <c r="D236" t="inlineStr">
        <is>
          <t>2020</t>
        </is>
      </c>
      <c r="E236" t="inlineStr">
        <is>
          <t>750</t>
        </is>
      </c>
      <c r="G236" s="8" t="n">
        <v>3162.24</v>
      </c>
    </row>
    <row r="237">
      <c r="A237" t="inlineStr">
        <is>
          <t>Margaux (1er)</t>
        </is>
      </c>
      <c r="B237" t="inlineStr">
        <is>
          <t>World Wine</t>
        </is>
      </c>
      <c r="C237" t="inlineStr">
        <is>
          <t>Pavillon Rouge (2° Ch. Margaux)</t>
        </is>
      </c>
      <c r="D237" t="inlineStr">
        <is>
          <t>2006</t>
        </is>
      </c>
      <c r="E237" t="inlineStr">
        <is>
          <t>750</t>
        </is>
      </c>
      <c r="G237" s="8" t="n">
        <v>2868.48</v>
      </c>
    </row>
    <row r="238">
      <c r="A238" t="inlineStr">
        <is>
          <t>Margaux (1er)</t>
        </is>
      </c>
      <c r="B238" t="inlineStr">
        <is>
          <t>World Wine</t>
        </is>
      </c>
      <c r="C238" t="inlineStr">
        <is>
          <t>Pavillon Rouge (2° Ch. Margaux)</t>
        </is>
      </c>
      <c r="D238" t="inlineStr">
        <is>
          <t>2009</t>
        </is>
      </c>
      <c r="E238" t="inlineStr">
        <is>
          <t>750</t>
        </is>
      </c>
      <c r="G238" s="8" t="n">
        <v>2743.75</v>
      </c>
    </row>
    <row r="239">
      <c r="A239" t="inlineStr">
        <is>
          <t>Margaux (1er)</t>
        </is>
      </c>
      <c r="B239" t="inlineStr">
        <is>
          <t>World Wine</t>
        </is>
      </c>
      <c r="C239" t="inlineStr">
        <is>
          <t>Pavillon Rouge (2° Ch. Margaux)</t>
        </is>
      </c>
      <c r="D239" t="inlineStr">
        <is>
          <t>2002</t>
        </is>
      </c>
      <c r="E239" t="inlineStr">
        <is>
          <t>750</t>
        </is>
      </c>
      <c r="G239" s="8" t="n">
        <v>2732.6</v>
      </c>
    </row>
    <row r="240">
      <c r="A240" t="inlineStr">
        <is>
          <t>Margaux (1er)</t>
        </is>
      </c>
      <c r="B240" t="inlineStr">
        <is>
          <t>Tanyno</t>
        </is>
      </c>
      <c r="C240" t="inlineStr">
        <is>
          <t>CHATEAU MARGAUX — PAVILLON BLANC SECOND VIN</t>
        </is>
      </c>
      <c r="D240" t="inlineStr">
        <is>
          <t>2023</t>
        </is>
      </c>
      <c r="E240" t="inlineStr"/>
      <c r="F240" t="n">
        <v>28</v>
      </c>
      <c r="G240" s="8" t="n">
        <v>1840.71</v>
      </c>
    </row>
    <row r="241">
      <c r="A241" t="inlineStr">
        <is>
          <t>Mouton Rothschild</t>
        </is>
      </c>
      <c r="B241" t="inlineStr">
        <is>
          <t>Del Maipo</t>
        </is>
      </c>
      <c r="C241" t="inlineStr">
        <is>
          <t>FRANCE PAUILLAC CHATEAU MOUTON ROTHSCHILD 1944 750ML</t>
        </is>
      </c>
      <c r="D241" t="inlineStr">
        <is>
          <t>1944</t>
        </is>
      </c>
      <c r="E241" t="inlineStr"/>
      <c r="F241" t="n">
        <v>8</v>
      </c>
      <c r="G241" s="8" t="n">
        <v>56285.06</v>
      </c>
    </row>
    <row r="242">
      <c r="A242" t="inlineStr">
        <is>
          <t>Mouton Rothschild</t>
        </is>
      </c>
      <c r="B242" t="inlineStr">
        <is>
          <t>Del Maipo</t>
        </is>
      </c>
      <c r="C242" t="inlineStr">
        <is>
          <t>FRANCE PAUILLAC CHATEAU MOUTON ROTHSCHILD 1950 750ML</t>
        </is>
      </c>
      <c r="D242" t="inlineStr">
        <is>
          <t>1950</t>
        </is>
      </c>
      <c r="E242" t="inlineStr"/>
      <c r="F242" t="n">
        <v>1</v>
      </c>
      <c r="G242" s="8" t="n">
        <v>52653.76</v>
      </c>
    </row>
    <row r="243">
      <c r="A243" t="inlineStr">
        <is>
          <t>Mouton Rothschild</t>
        </is>
      </c>
      <c r="B243" t="inlineStr">
        <is>
          <t>Del Maipo</t>
        </is>
      </c>
      <c r="C243" t="inlineStr">
        <is>
          <t>FRANCE PAUILLAC CHATEAU MOUTON ROTHSCHILD 1950 375ML</t>
        </is>
      </c>
      <c r="D243" t="inlineStr">
        <is>
          <t>1950</t>
        </is>
      </c>
      <c r="E243" t="inlineStr"/>
      <c r="F243" t="n">
        <v>1</v>
      </c>
      <c r="G243" s="8" t="n">
        <v>32355.87</v>
      </c>
    </row>
    <row r="244">
      <c r="A244" t="inlineStr">
        <is>
          <t>Mouton Rothschild</t>
        </is>
      </c>
      <c r="B244" t="inlineStr">
        <is>
          <t>Del Maipo</t>
        </is>
      </c>
      <c r="C244" t="inlineStr">
        <is>
          <t>FRANCE PAUILLAC CHATEAU MOUTON ROTHSCHILD 1964 1,5L</t>
        </is>
      </c>
      <c r="D244" t="inlineStr">
        <is>
          <t>1964</t>
        </is>
      </c>
      <c r="E244" t="inlineStr"/>
      <c r="F244" t="n">
        <v>1</v>
      </c>
      <c r="G244" s="8" t="n">
        <v>30133.55</v>
      </c>
    </row>
    <row r="245">
      <c r="A245" t="inlineStr">
        <is>
          <t>Mouton Rothschild</t>
        </is>
      </c>
      <c r="B245" t="inlineStr">
        <is>
          <t>Del Maipo</t>
        </is>
      </c>
      <c r="C245" t="inlineStr">
        <is>
          <t>FRANCE PAUILLAC CHATEAU MOUTON ROTHSCHILD 1957 750ML</t>
        </is>
      </c>
      <c r="D245" t="inlineStr">
        <is>
          <t>1957</t>
        </is>
      </c>
      <c r="E245" t="inlineStr"/>
      <c r="F245" t="n">
        <v>2</v>
      </c>
      <c r="G245" s="8" t="n">
        <v>22252.46</v>
      </c>
    </row>
    <row r="246">
      <c r="A246" t="inlineStr">
        <is>
          <t>Mouton Rothschild</t>
        </is>
      </c>
      <c r="B246" t="inlineStr">
        <is>
          <t>Boisse</t>
        </is>
      </c>
      <c r="C246" t="inlineStr">
        <is>
          <t>CH MOUTON ROTHSCHILD 2019 CB 03 1500 ML</t>
        </is>
      </c>
      <c r="D246" t="inlineStr">
        <is>
          <t>2019</t>
        </is>
      </c>
      <c r="E246" t="inlineStr"/>
      <c r="G246" s="8" t="n">
        <v>17838.75</v>
      </c>
    </row>
    <row r="247">
      <c r="A247" t="inlineStr">
        <is>
          <t>Mouton Rothschild</t>
        </is>
      </c>
      <c r="B247" t="inlineStr">
        <is>
          <t>Del Maipo</t>
        </is>
      </c>
      <c r="C247" t="inlineStr">
        <is>
          <t>FRANCE PAUILLAC CHATEAU MOUTON ROTHSCHILD 2001 750ML</t>
        </is>
      </c>
      <c r="D247" t="inlineStr">
        <is>
          <t>2001</t>
        </is>
      </c>
      <c r="E247" t="inlineStr"/>
      <c r="F247" t="n">
        <v>1</v>
      </c>
      <c r="G247" s="8" t="n">
        <v>15037.11</v>
      </c>
    </row>
    <row r="248">
      <c r="A248" t="inlineStr">
        <is>
          <t>Mouton Rothschild</t>
        </is>
      </c>
      <c r="B248" t="inlineStr">
        <is>
          <t>Del Maipo</t>
        </is>
      </c>
      <c r="C248" t="inlineStr">
        <is>
          <t>FRANCE PAUILLAC CHATEAU MOUTON ROTHSCHILD 2011 750ML</t>
        </is>
      </c>
      <c r="D248" t="inlineStr">
        <is>
          <t>2011</t>
        </is>
      </c>
      <c r="E248" t="inlineStr"/>
      <c r="F248" t="n">
        <v>3</v>
      </c>
      <c r="G248" s="8" t="n">
        <v>14822.29</v>
      </c>
    </row>
    <row r="249">
      <c r="A249" t="inlineStr">
        <is>
          <t>Mouton Rothschild</t>
        </is>
      </c>
      <c r="B249" t="inlineStr">
        <is>
          <t>Del Maipo</t>
        </is>
      </c>
      <c r="C249" t="inlineStr">
        <is>
          <t>FRANCE PAUILLAC CHATEAU MOUTON ROTHSCHILD 2007 750ML</t>
        </is>
      </c>
      <c r="D249" t="inlineStr">
        <is>
          <t>2007</t>
        </is>
      </c>
      <c r="E249" t="inlineStr"/>
      <c r="F249" t="n">
        <v>1</v>
      </c>
      <c r="G249" s="8" t="n">
        <v>14206.49</v>
      </c>
    </row>
    <row r="250">
      <c r="A250" t="inlineStr">
        <is>
          <t>Mouton Rothschild</t>
        </is>
      </c>
      <c r="B250" t="inlineStr">
        <is>
          <t>Del Maipo</t>
        </is>
      </c>
      <c r="C250" t="inlineStr">
        <is>
          <t>FRANCE PAUILLAC CHATEAU MOUTON ROTHSCHILD 1992 750ML</t>
        </is>
      </c>
      <c r="D250" t="inlineStr">
        <is>
          <t>1992</t>
        </is>
      </c>
      <c r="E250" t="inlineStr"/>
      <c r="F250" t="n">
        <v>1</v>
      </c>
      <c r="G250" s="8" t="n">
        <v>13318.58</v>
      </c>
    </row>
    <row r="251">
      <c r="A251" t="inlineStr">
        <is>
          <t>Mouton Rothschild</t>
        </is>
      </c>
      <c r="B251" t="inlineStr">
        <is>
          <t>Del Maipo</t>
        </is>
      </c>
      <c r="C251" t="inlineStr">
        <is>
          <t>FRANCE PAUILLAC CHATEAU MOUTON ROTHSCHILD 1993 750ML</t>
        </is>
      </c>
      <c r="D251" t="inlineStr">
        <is>
          <t>1993</t>
        </is>
      </c>
      <c r="E251" t="inlineStr"/>
      <c r="F251" t="n">
        <v>3</v>
      </c>
      <c r="G251" s="8" t="n">
        <v>13318.58</v>
      </c>
    </row>
    <row r="252">
      <c r="A252" t="inlineStr">
        <is>
          <t>Mouton Rothschild</t>
        </is>
      </c>
      <c r="B252" t="inlineStr">
        <is>
          <t>Del Maipo</t>
        </is>
      </c>
      <c r="C252" t="inlineStr">
        <is>
          <t>FRANCE PAUILLAC CHATEAU MOUTON ROTHSCHILD 1994 750ML</t>
        </is>
      </c>
      <c r="D252" t="inlineStr">
        <is>
          <t>1994</t>
        </is>
      </c>
      <c r="E252" t="inlineStr"/>
      <c r="F252" t="n">
        <v>1</v>
      </c>
      <c r="G252" s="8" t="n">
        <v>13318.58</v>
      </c>
    </row>
    <row r="253">
      <c r="A253" t="inlineStr">
        <is>
          <t>Mouton Rothschild</t>
        </is>
      </c>
      <c r="B253" t="inlineStr">
        <is>
          <t>Del Maipo</t>
        </is>
      </c>
      <c r="C253" t="inlineStr">
        <is>
          <t>FRANCE PAUILLAC CHATEAU MOUTON ROTHSCHILD 1989 750ML</t>
        </is>
      </c>
      <c r="D253" t="inlineStr">
        <is>
          <t>1989</t>
        </is>
      </c>
      <c r="E253" t="inlineStr"/>
      <c r="F253" t="n">
        <v>7</v>
      </c>
      <c r="G253" s="8" t="n">
        <v>13246.98</v>
      </c>
    </row>
    <row r="254">
      <c r="A254" t="inlineStr">
        <is>
          <t>Mouton Rothschild</t>
        </is>
      </c>
      <c r="B254" t="inlineStr">
        <is>
          <t>Del Maipo</t>
        </is>
      </c>
      <c r="C254" t="inlineStr">
        <is>
          <t>FRANCE PAUILLAC CHATEAU MOUTON ROTHSCHILD 1988 750ML</t>
        </is>
      </c>
      <c r="D254" t="inlineStr">
        <is>
          <t>1988</t>
        </is>
      </c>
      <c r="E254" t="inlineStr"/>
      <c r="F254" t="n">
        <v>2</v>
      </c>
      <c r="G254" s="8" t="n">
        <v>13093.54</v>
      </c>
    </row>
    <row r="255">
      <c r="A255" t="inlineStr">
        <is>
          <t>Mouton Rothschild</t>
        </is>
      </c>
      <c r="B255" t="inlineStr">
        <is>
          <t>Del Maipo</t>
        </is>
      </c>
      <c r="C255" t="inlineStr">
        <is>
          <t>FRANCE PAUILLAC CHATEAU MOUTON ROTHSCHILD 1983 750ML</t>
        </is>
      </c>
      <c r="D255" t="inlineStr">
        <is>
          <t>1983</t>
        </is>
      </c>
      <c r="E255" t="inlineStr"/>
      <c r="F255" t="n">
        <v>8</v>
      </c>
      <c r="G255" s="8" t="n">
        <v>12888.95</v>
      </c>
    </row>
    <row r="256">
      <c r="A256" t="inlineStr">
        <is>
          <t>Mouton Rothschild</t>
        </is>
      </c>
      <c r="B256" t="inlineStr">
        <is>
          <t>Del Maipo</t>
        </is>
      </c>
      <c r="C256" t="inlineStr">
        <is>
          <t>FRANCE PAUILLAC CHATEAU MOUTON ROTHSCHILD 1985 750ML</t>
        </is>
      </c>
      <c r="D256" t="inlineStr">
        <is>
          <t>1985</t>
        </is>
      </c>
      <c r="E256" t="inlineStr"/>
      <c r="F256" t="n">
        <v>4</v>
      </c>
      <c r="G256" s="8" t="n">
        <v>12786.66</v>
      </c>
    </row>
    <row r="257">
      <c r="A257" t="inlineStr">
        <is>
          <t>Mouton Rothschild</t>
        </is>
      </c>
      <c r="B257" t="inlineStr">
        <is>
          <t>Del Maipo</t>
        </is>
      </c>
      <c r="C257" t="inlineStr">
        <is>
          <t>FRANCE PAUILLAC CHATEAU MOUTON ROTHSCHILD 1987 750ML</t>
        </is>
      </c>
      <c r="D257" t="inlineStr">
        <is>
          <t>1987</t>
        </is>
      </c>
      <c r="E257" t="inlineStr"/>
      <c r="F257" t="n">
        <v>3</v>
      </c>
      <c r="G257" s="8" t="n">
        <v>12684.36</v>
      </c>
    </row>
    <row r="258">
      <c r="A258" t="inlineStr">
        <is>
          <t>Mouton Rothschild</t>
        </is>
      </c>
      <c r="B258" t="inlineStr">
        <is>
          <t>Del Maipo</t>
        </is>
      </c>
      <c r="C258" t="inlineStr">
        <is>
          <t>FRANCE PAUILLAC CHATEAU MOUTON ROTHSCHILD 1964 750ML</t>
        </is>
      </c>
      <c r="D258" t="inlineStr">
        <is>
          <t>1964</t>
        </is>
      </c>
      <c r="E258" t="inlineStr"/>
      <c r="F258" t="n">
        <v>1</v>
      </c>
      <c r="G258" s="8" t="n">
        <v>11098.82</v>
      </c>
    </row>
    <row r="259">
      <c r="A259" t="inlineStr">
        <is>
          <t>Mouton Rothschild</t>
        </is>
      </c>
      <c r="B259" t="inlineStr">
        <is>
          <t>Del Maipo</t>
        </is>
      </c>
      <c r="C259" t="inlineStr">
        <is>
          <t>FRANCE PAUILLAC CHATEAU MOUTON ROTHSCHILD 1972 750ML</t>
        </is>
      </c>
      <c r="D259" t="inlineStr">
        <is>
          <t>1972</t>
        </is>
      </c>
      <c r="E259" t="inlineStr"/>
      <c r="F259" t="n">
        <v>1</v>
      </c>
      <c r="G259" s="8" t="n">
        <v>11098.82</v>
      </c>
    </row>
    <row r="260">
      <c r="A260" t="inlineStr">
        <is>
          <t>Mouton Rothschild</t>
        </is>
      </c>
      <c r="B260" t="inlineStr">
        <is>
          <t>Del Maipo</t>
        </is>
      </c>
      <c r="C260" t="inlineStr">
        <is>
          <t>FRANCE PAUILLAC CHATEAU MOUTON ROTHSCHILD 1984 750ML</t>
        </is>
      </c>
      <c r="D260" t="inlineStr">
        <is>
          <t>1984</t>
        </is>
      </c>
      <c r="E260" t="inlineStr"/>
      <c r="F260" t="n">
        <v>5</v>
      </c>
      <c r="G260" s="8" t="n">
        <v>10740.79</v>
      </c>
    </row>
    <row r="261">
      <c r="A261" t="inlineStr">
        <is>
          <t>Mouton Rothschild</t>
        </is>
      </c>
      <c r="B261" t="inlineStr">
        <is>
          <t>World Wine</t>
        </is>
      </c>
      <c r="C261" t="inlineStr">
        <is>
          <t>Château Mouton-Rothschild</t>
        </is>
      </c>
      <c r="D261" t="inlineStr">
        <is>
          <t>2010</t>
        </is>
      </c>
      <c r="E261" t="inlineStr">
        <is>
          <t>750</t>
        </is>
      </c>
      <c r="G261" s="8" t="n">
        <v>10477.44</v>
      </c>
    </row>
    <row r="262">
      <c r="A262" t="inlineStr">
        <is>
          <t>Mouton Rothschild</t>
        </is>
      </c>
      <c r="B262" t="inlineStr">
        <is>
          <t>Del Maipo</t>
        </is>
      </c>
      <c r="C262" t="inlineStr">
        <is>
          <t>FRANCE PAUILLAC CHATEAU MOUTON ROTHSCHILD 1979 750ML</t>
        </is>
      </c>
      <c r="D262" t="inlineStr">
        <is>
          <t>1979</t>
        </is>
      </c>
      <c r="E262" t="inlineStr"/>
      <c r="F262" t="n">
        <v>4</v>
      </c>
      <c r="G262" s="8" t="n">
        <v>10382.76</v>
      </c>
    </row>
    <row r="263">
      <c r="A263" t="inlineStr">
        <is>
          <t>Mouton Rothschild</t>
        </is>
      </c>
      <c r="B263" t="inlineStr">
        <is>
          <t>Del Maipo</t>
        </is>
      </c>
      <c r="C263" t="inlineStr">
        <is>
          <t>CHATEAU MOUTON ROTSCHILD - AOC PAUILLAC</t>
        </is>
      </c>
      <c r="D263" t="inlineStr">
        <is>
          <t>2021</t>
        </is>
      </c>
      <c r="E263" t="inlineStr">
        <is>
          <t>750ml</t>
        </is>
      </c>
      <c r="G263" s="8" t="n">
        <v>10324.2</v>
      </c>
    </row>
    <row r="264">
      <c r="A264" t="inlineStr">
        <is>
          <t>Mouton Rothschild</t>
        </is>
      </c>
      <c r="B264" t="inlineStr">
        <is>
          <t>World Wine</t>
        </is>
      </c>
      <c r="C264" t="inlineStr">
        <is>
          <t>Château Mouton-Rothschild</t>
        </is>
      </c>
      <c r="D264" t="inlineStr">
        <is>
          <t>2016</t>
        </is>
      </c>
      <c r="E264" t="inlineStr">
        <is>
          <t>750</t>
        </is>
      </c>
      <c r="G264" s="8" t="n">
        <v>10304.64</v>
      </c>
    </row>
    <row r="265">
      <c r="A265" t="inlineStr">
        <is>
          <t>Mouton Rothschild</t>
        </is>
      </c>
      <c r="B265" t="inlineStr">
        <is>
          <t>World Wine</t>
        </is>
      </c>
      <c r="C265" t="inlineStr">
        <is>
          <t>Château Mouton-Rothschild</t>
        </is>
      </c>
      <c r="D265" t="inlineStr">
        <is>
          <t>2009</t>
        </is>
      </c>
      <c r="E265" t="inlineStr">
        <is>
          <t>750</t>
        </is>
      </c>
      <c r="G265" s="8" t="n">
        <v>10131.84</v>
      </c>
    </row>
    <row r="266">
      <c r="A266" t="inlineStr">
        <is>
          <t>Mouton Rothschild</t>
        </is>
      </c>
      <c r="B266" t="inlineStr">
        <is>
          <t>Mistral</t>
        </is>
      </c>
      <c r="C266" t="inlineStr">
        <is>
          <t>CH. MOUTON ROTHSCHILD 2021 (TTO) (PREMIER CRU CLASSE)</t>
        </is>
      </c>
      <c r="D266" t="inlineStr">
        <is>
          <t>2021</t>
        </is>
      </c>
      <c r="E266" t="inlineStr">
        <is>
          <t>750ml</t>
        </is>
      </c>
      <c r="F266" t="n">
        <v>8</v>
      </c>
      <c r="G266" s="8" t="n">
        <v>9767.92</v>
      </c>
    </row>
    <row r="267">
      <c r="A267" t="inlineStr">
        <is>
          <t>Mouton Rothschild</t>
        </is>
      </c>
      <c r="B267" t="inlineStr">
        <is>
          <t>Del Maipo</t>
        </is>
      </c>
      <c r="C267" t="inlineStr">
        <is>
          <t>FRANCE PAUILLAC CHATEAU MOUTON ROTHSCHILD 1975 750ML</t>
        </is>
      </c>
      <c r="D267" t="inlineStr">
        <is>
          <t>1975</t>
        </is>
      </c>
      <c r="E267" t="inlineStr"/>
      <c r="F267" t="n">
        <v>4</v>
      </c>
      <c r="G267" s="8" t="n">
        <v>9615.57</v>
      </c>
    </row>
    <row r="268">
      <c r="A268" t="inlineStr">
        <is>
          <t>Mouton Rothschild</t>
        </is>
      </c>
      <c r="B268" t="inlineStr">
        <is>
          <t>Del Maipo</t>
        </is>
      </c>
      <c r="C268" t="inlineStr">
        <is>
          <t>FRANCE PAUILLAC CHATEAU MOUTON ROTHSCHILD 1974 750ML</t>
        </is>
      </c>
      <c r="D268" t="inlineStr">
        <is>
          <t>1974</t>
        </is>
      </c>
      <c r="E268" t="inlineStr"/>
      <c r="F268" t="n">
        <v>1</v>
      </c>
      <c r="G268" s="8" t="n">
        <v>9513.27</v>
      </c>
    </row>
    <row r="269">
      <c r="A269" t="inlineStr">
        <is>
          <t>Mouton Rothschild</t>
        </is>
      </c>
      <c r="B269" t="inlineStr">
        <is>
          <t>Del Maipo</t>
        </is>
      </c>
      <c r="C269" t="inlineStr">
        <is>
          <t>FRANCE PAUILLAC CHATEAU MOUTON ROTHSCHILD 1978 750ML</t>
        </is>
      </c>
      <c r="D269" t="inlineStr">
        <is>
          <t>1978</t>
        </is>
      </c>
      <c r="E269" t="inlineStr"/>
      <c r="F269" t="n">
        <v>1</v>
      </c>
      <c r="G269" s="8" t="n">
        <v>9410.98</v>
      </c>
    </row>
    <row r="270">
      <c r="A270" t="inlineStr">
        <is>
          <t>Mouton Rothschild</t>
        </is>
      </c>
      <c r="B270" t="inlineStr">
        <is>
          <t>Del Maipo</t>
        </is>
      </c>
      <c r="C270" t="inlineStr">
        <is>
          <t>FRANCE PAUILLAC CHATEAU MOUTON ROTHSCHILD 1970 750ML</t>
        </is>
      </c>
      <c r="D270" t="inlineStr">
        <is>
          <t>1970</t>
        </is>
      </c>
      <c r="E270" t="inlineStr"/>
      <c r="F270" t="n">
        <v>1</v>
      </c>
      <c r="G270" s="8" t="n">
        <v>9308.690000000001</v>
      </c>
    </row>
    <row r="271">
      <c r="A271" t="inlineStr">
        <is>
          <t>Mouton Rothschild</t>
        </is>
      </c>
      <c r="B271" t="inlineStr">
        <is>
          <t>Boisse</t>
        </is>
      </c>
      <c r="C271" t="inlineStr">
        <is>
          <t>CH MOUTON ROTHSCHILD 2021 CB 06 750 ML</t>
        </is>
      </c>
      <c r="D271" t="inlineStr">
        <is>
          <t>2021</t>
        </is>
      </c>
      <c r="E271" t="inlineStr"/>
      <c r="G271" s="8" t="n">
        <v>8498.700000000001</v>
      </c>
    </row>
    <row r="272">
      <c r="A272" t="inlineStr">
        <is>
          <t>Mouton Rothschild</t>
        </is>
      </c>
      <c r="B272" t="inlineStr">
        <is>
          <t>Boisse</t>
        </is>
      </c>
      <c r="C272" t="inlineStr">
        <is>
          <t>CH MOUTON ROTSCHILD 2019</t>
        </is>
      </c>
      <c r="D272" t="inlineStr">
        <is>
          <t>2019</t>
        </is>
      </c>
      <c r="E272" t="inlineStr"/>
      <c r="G272" s="8" t="n">
        <v>7987.5</v>
      </c>
    </row>
    <row r="273">
      <c r="A273" t="inlineStr">
        <is>
          <t>Mouton Rothschild</t>
        </is>
      </c>
      <c r="B273" t="inlineStr">
        <is>
          <t>World Wine</t>
        </is>
      </c>
      <c r="C273" t="inlineStr">
        <is>
          <t>Château Mouton Rothschild</t>
        </is>
      </c>
      <c r="D273" t="inlineStr">
        <is>
          <t>2020</t>
        </is>
      </c>
      <c r="E273" t="inlineStr">
        <is>
          <t>750</t>
        </is>
      </c>
      <c r="G273" s="8" t="n">
        <v>7482.24</v>
      </c>
    </row>
    <row r="274">
      <c r="A274" t="inlineStr">
        <is>
          <t>Mouton Rothschild</t>
        </is>
      </c>
      <c r="B274" t="inlineStr">
        <is>
          <t>World Wine</t>
        </is>
      </c>
      <c r="C274" t="inlineStr">
        <is>
          <t>Château Mouton-Rothschild</t>
        </is>
      </c>
      <c r="D274" t="inlineStr">
        <is>
          <t>2021</t>
        </is>
      </c>
      <c r="E274" t="inlineStr">
        <is>
          <t>750</t>
        </is>
      </c>
      <c r="G274" s="8" t="n">
        <v>7482.24</v>
      </c>
    </row>
    <row r="275">
      <c r="A275" t="inlineStr">
        <is>
          <t>Mouton Rothschild</t>
        </is>
      </c>
      <c r="B275" t="inlineStr">
        <is>
          <t>World Wine</t>
        </is>
      </c>
      <c r="C275" t="inlineStr">
        <is>
          <t>Château Mouton-Rothschild</t>
        </is>
      </c>
      <c r="D275" t="inlineStr">
        <is>
          <t>2006</t>
        </is>
      </c>
      <c r="E275" t="inlineStr">
        <is>
          <t>750</t>
        </is>
      </c>
      <c r="G275" s="8" t="n">
        <v>6906.24</v>
      </c>
    </row>
    <row r="276">
      <c r="A276" t="inlineStr">
        <is>
          <t>Mouton Rothschild</t>
        </is>
      </c>
      <c r="B276" t="inlineStr">
        <is>
          <t>World Wine</t>
        </is>
      </c>
      <c r="C276" t="inlineStr">
        <is>
          <t>Château Mouton Rothschild</t>
        </is>
      </c>
      <c r="D276" t="inlineStr">
        <is>
          <t>2017</t>
        </is>
      </c>
      <c r="E276" t="inlineStr">
        <is>
          <t>750</t>
        </is>
      </c>
      <c r="G276" s="8" t="n">
        <v>6906.24</v>
      </c>
    </row>
    <row r="277">
      <c r="A277" t="inlineStr">
        <is>
          <t>Mouton Rothschild</t>
        </is>
      </c>
      <c r="B277" t="inlineStr">
        <is>
          <t>World Wine</t>
        </is>
      </c>
      <c r="C277" t="inlineStr">
        <is>
          <t>Château Mouton Rothschild</t>
        </is>
      </c>
      <c r="D277" t="inlineStr">
        <is>
          <t>2019</t>
        </is>
      </c>
      <c r="E277" t="inlineStr">
        <is>
          <t>750</t>
        </is>
      </c>
      <c r="G277" s="8" t="n">
        <v>6906.24</v>
      </c>
    </row>
    <row r="278">
      <c r="A278" t="inlineStr">
        <is>
          <t>Mouton Rothschild</t>
        </is>
      </c>
      <c r="B278" t="inlineStr">
        <is>
          <t>Tanyno</t>
        </is>
      </c>
      <c r="C278" t="inlineStr">
        <is>
          <t>MOUTON ROTHSCHILD — LE PETIT MOUTON DE MOUTON ROTHSCHILD</t>
        </is>
      </c>
      <c r="D278" t="inlineStr">
        <is>
          <t>2016</t>
        </is>
      </c>
      <c r="E278" t="inlineStr"/>
      <c r="F278" t="n">
        <v>1</v>
      </c>
      <c r="G278" s="8" t="n">
        <v>5087.31</v>
      </c>
    </row>
    <row r="279">
      <c r="A279" t="inlineStr">
        <is>
          <t>Mouton Rothschild</t>
        </is>
      </c>
      <c r="B279" t="inlineStr">
        <is>
          <t>World Wine</t>
        </is>
      </c>
      <c r="C279" t="inlineStr">
        <is>
          <t>Le Petit Mouton (2° Ch. Mouton-Rothschild)</t>
        </is>
      </c>
      <c r="D279" t="inlineStr">
        <is>
          <t>2010</t>
        </is>
      </c>
      <c r="E279" t="inlineStr">
        <is>
          <t>750</t>
        </is>
      </c>
      <c r="G279" s="8" t="n">
        <v>3613.72</v>
      </c>
    </row>
    <row r="280">
      <c r="A280" t="inlineStr">
        <is>
          <t>Pavie</t>
        </is>
      </c>
      <c r="B280" t="inlineStr">
        <is>
          <t>Del Maipo</t>
        </is>
      </c>
      <c r="C280" t="inlineStr">
        <is>
          <t>FRANCE SAINT EMILION CHATEAU PAVIE 1994 750ML</t>
        </is>
      </c>
      <c r="D280" t="inlineStr">
        <is>
          <t>1994</t>
        </is>
      </c>
      <c r="E280" t="inlineStr"/>
      <c r="F280" t="n">
        <v>1</v>
      </c>
      <c r="G280" s="8" t="n">
        <v>6659.29</v>
      </c>
    </row>
    <row r="281">
      <c r="A281" t="inlineStr">
        <is>
          <t>Pavie</t>
        </is>
      </c>
      <c r="B281" t="inlineStr">
        <is>
          <t>Del Maipo</t>
        </is>
      </c>
      <c r="C281" t="inlineStr">
        <is>
          <t>FRANCE SAINT EMILION CHATEAU PAVIE 1985 750ML</t>
        </is>
      </c>
      <c r="D281" t="inlineStr">
        <is>
          <t>1985</t>
        </is>
      </c>
      <c r="E281" t="inlineStr"/>
      <c r="F281" t="n">
        <v>5</v>
      </c>
      <c r="G281" s="8" t="n">
        <v>5319.25</v>
      </c>
    </row>
    <row r="282">
      <c r="A282" t="inlineStr">
        <is>
          <t>Pavie</t>
        </is>
      </c>
      <c r="B282" t="inlineStr">
        <is>
          <t>Del Maipo</t>
        </is>
      </c>
      <c r="C282" t="inlineStr">
        <is>
          <t>FRANCE SAINT EMILION CHATEAU PAVIE 1983 750ML</t>
        </is>
      </c>
      <c r="D282" t="inlineStr">
        <is>
          <t>1983</t>
        </is>
      </c>
      <c r="E282" t="inlineStr"/>
      <c r="F282" t="n">
        <v>3</v>
      </c>
      <c r="G282" s="8" t="n">
        <v>5216.96</v>
      </c>
    </row>
    <row r="283">
      <c r="A283" t="inlineStr">
        <is>
          <t>Pavie</t>
        </is>
      </c>
      <c r="B283" t="inlineStr">
        <is>
          <t>World Wine</t>
        </is>
      </c>
      <c r="C283" t="inlineStr">
        <is>
          <t>Château Pavie</t>
        </is>
      </c>
      <c r="D283" t="inlineStr">
        <is>
          <t>2016</t>
        </is>
      </c>
      <c r="E283" t="inlineStr">
        <is>
          <t>750</t>
        </is>
      </c>
      <c r="G283" s="8" t="n">
        <v>4890.24</v>
      </c>
    </row>
    <row r="284">
      <c r="A284" t="inlineStr">
        <is>
          <t>Pavie</t>
        </is>
      </c>
      <c r="B284" t="inlineStr">
        <is>
          <t>Boisse</t>
        </is>
      </c>
      <c r="C284" t="inlineStr">
        <is>
          <t>CHATEAU PAVIE 2019 750ML CX DE MADEIRA 6 UNID</t>
        </is>
      </c>
      <c r="D284" t="inlineStr">
        <is>
          <t>2019</t>
        </is>
      </c>
      <c r="E284" t="inlineStr"/>
      <c r="G284" s="8" t="n">
        <v>4366.5</v>
      </c>
    </row>
    <row r="285">
      <c r="A285" t="inlineStr">
        <is>
          <t>Pavie</t>
        </is>
      </c>
      <c r="B285" t="inlineStr">
        <is>
          <t>World Wine</t>
        </is>
      </c>
      <c r="C285" t="inlineStr">
        <is>
          <t>Château Pavie</t>
        </is>
      </c>
      <c r="D285" t="inlineStr">
        <is>
          <t>2006</t>
        </is>
      </c>
      <c r="E285" t="inlineStr">
        <is>
          <t>750</t>
        </is>
      </c>
      <c r="G285" s="8" t="n">
        <v>4202.62</v>
      </c>
    </row>
    <row r="286">
      <c r="A286" t="inlineStr">
        <is>
          <t>Pavie</t>
        </is>
      </c>
      <c r="B286" t="inlineStr">
        <is>
          <t>World Wine</t>
        </is>
      </c>
      <c r="C286" t="inlineStr">
        <is>
          <t>Château Pavie-Macquin</t>
        </is>
      </c>
      <c r="D286" t="inlineStr">
        <is>
          <t>2020</t>
        </is>
      </c>
      <c r="E286" t="inlineStr">
        <is>
          <t>750</t>
        </is>
      </c>
      <c r="G286" s="8" t="n">
        <v>1319.04</v>
      </c>
    </row>
    <row r="287">
      <c r="A287" t="inlineStr">
        <is>
          <t>Pavie</t>
        </is>
      </c>
      <c r="B287" t="inlineStr">
        <is>
          <t>World Wine</t>
        </is>
      </c>
      <c r="C287" t="inlineStr">
        <is>
          <t>Arômes de Pavie (2º Ch. Pavie)</t>
        </is>
      </c>
      <c r="D287" t="inlineStr">
        <is>
          <t>2020</t>
        </is>
      </c>
      <c r="E287" t="inlineStr">
        <is>
          <t>750</t>
        </is>
      </c>
      <c r="G287" s="8" t="n">
        <v>1261.44</v>
      </c>
    </row>
    <row r="288">
      <c r="A288" t="inlineStr">
        <is>
          <t>Pavie</t>
        </is>
      </c>
      <c r="B288" t="inlineStr">
        <is>
          <t>World Wine</t>
        </is>
      </c>
      <c r="C288" t="inlineStr">
        <is>
          <t>Arômes de Pavie (2º Ch. Pavie)</t>
        </is>
      </c>
      <c r="D288" t="inlineStr">
        <is>
          <t>2006</t>
        </is>
      </c>
      <c r="E288" t="inlineStr">
        <is>
          <t>750</t>
        </is>
      </c>
      <c r="G288" s="8" t="n">
        <v>1146.24</v>
      </c>
    </row>
    <row r="289">
      <c r="A289" t="inlineStr">
        <is>
          <t>Pavie</t>
        </is>
      </c>
      <c r="B289" t="inlineStr">
        <is>
          <t>World Wine</t>
        </is>
      </c>
      <c r="C289" t="inlineStr">
        <is>
          <t>Château Pavie-Macquin</t>
        </is>
      </c>
      <c r="D289" t="inlineStr">
        <is>
          <t>2017</t>
        </is>
      </c>
      <c r="E289" t="inlineStr">
        <is>
          <t>750</t>
        </is>
      </c>
      <c r="G289" s="8" t="n">
        <v>1146.24</v>
      </c>
    </row>
    <row r="290">
      <c r="A290" t="inlineStr">
        <is>
          <t>Petit Mouton</t>
        </is>
      </c>
      <c r="B290" t="inlineStr">
        <is>
          <t>Del Maipo</t>
        </is>
      </c>
      <c r="C290" t="inlineStr">
        <is>
          <t>LE PETIT MOUTON - AOC PAUILLAC</t>
        </is>
      </c>
      <c r="D290" t="inlineStr">
        <is>
          <t>2021</t>
        </is>
      </c>
      <c r="E290" t="inlineStr">
        <is>
          <t>750ml</t>
        </is>
      </c>
      <c r="G290" s="8" t="n">
        <v>5592.27</v>
      </c>
    </row>
    <row r="291">
      <c r="A291" t="inlineStr">
        <is>
          <t>Pétrus</t>
        </is>
      </c>
      <c r="B291" t="inlineStr">
        <is>
          <t>World Wine</t>
        </is>
      </c>
      <c r="C291" t="inlineStr">
        <is>
          <t>Kit Bordeaux Collection (1 gf Ch. Lafite Rothschild, 1 gf Ch. Latour, 1 gf Ch. Mouton Rothschild, 1 gf Ch. Margaux, 1 gf Ch. Haut-Brion, 1 gf Ch. La Mission Haut-Brion, 1 gf Ch. Cheval Blanc, 1 gf Pétrus e 1 gf Ch. Y'Quem)</t>
        </is>
      </c>
      <c r="D291" t="inlineStr">
        <is>
          <t>2010</t>
        </is>
      </c>
      <c r="E291" t="inlineStr">
        <is>
          <t>750</t>
        </is>
      </c>
      <c r="G291" s="8" t="n">
        <v>172224</v>
      </c>
    </row>
    <row r="292">
      <c r="A292" t="inlineStr">
        <is>
          <t>Pétrus</t>
        </is>
      </c>
      <c r="B292" t="inlineStr">
        <is>
          <t>Del Maipo</t>
        </is>
      </c>
      <c r="C292" t="inlineStr">
        <is>
          <t>FRANCE POMEROL CHATEAU PETRUS 1986 750ML</t>
        </is>
      </c>
      <c r="D292" t="inlineStr">
        <is>
          <t>1986</t>
        </is>
      </c>
      <c r="E292" t="inlineStr"/>
      <c r="F292" t="n">
        <v>2</v>
      </c>
      <c r="G292" s="8" t="n">
        <v>66592.91</v>
      </c>
    </row>
    <row r="293">
      <c r="A293" t="inlineStr">
        <is>
          <t>Pétrus</t>
        </is>
      </c>
      <c r="B293" t="inlineStr">
        <is>
          <t>Del Maipo</t>
        </is>
      </c>
      <c r="C293" t="inlineStr">
        <is>
          <t>FRANCE POMEROL CHATEAU PETRUS 1985 750ML</t>
        </is>
      </c>
      <c r="D293" t="inlineStr">
        <is>
          <t>1985</t>
        </is>
      </c>
      <c r="E293" t="inlineStr"/>
      <c r="F293" t="n">
        <v>2</v>
      </c>
      <c r="G293" s="8" t="n">
        <v>65518.83</v>
      </c>
    </row>
    <row r="294">
      <c r="A294" t="inlineStr">
        <is>
          <t>Pétrus</t>
        </is>
      </c>
      <c r="B294" t="inlineStr">
        <is>
          <t>Del Maipo</t>
        </is>
      </c>
      <c r="C294" t="inlineStr">
        <is>
          <t>FRANCE POMEROL CHATEAU PETRUS 1983 750ML</t>
        </is>
      </c>
      <c r="D294" t="inlineStr">
        <is>
          <t>1983</t>
        </is>
      </c>
      <c r="E294" t="inlineStr"/>
      <c r="F294" t="n">
        <v>1</v>
      </c>
      <c r="G294" s="8" t="n">
        <v>62153.38</v>
      </c>
    </row>
    <row r="295">
      <c r="A295" t="inlineStr">
        <is>
          <t>Pétrus</t>
        </is>
      </c>
      <c r="B295" t="inlineStr">
        <is>
          <t>World Wine</t>
        </is>
      </c>
      <c r="C295" t="inlineStr">
        <is>
          <t>Pétrus</t>
        </is>
      </c>
      <c r="D295" t="inlineStr">
        <is>
          <t>2020</t>
        </is>
      </c>
      <c r="E295" t="inlineStr">
        <is>
          <t>750</t>
        </is>
      </c>
      <c r="G295" s="8" t="n">
        <v>61632</v>
      </c>
    </row>
    <row r="296">
      <c r="A296" t="inlineStr">
        <is>
          <t>Pétrus</t>
        </is>
      </c>
      <c r="B296" t="inlineStr">
        <is>
          <t>Del Maipo</t>
        </is>
      </c>
      <c r="C296" t="inlineStr">
        <is>
          <t>FRANCE POMEROL CHATEAU PETRUS 1981 750ML</t>
        </is>
      </c>
      <c r="D296" t="inlineStr">
        <is>
          <t>1981</t>
        </is>
      </c>
      <c r="E296" t="inlineStr"/>
      <c r="F296" t="n">
        <v>1</v>
      </c>
      <c r="G296" s="8" t="n">
        <v>57713.85</v>
      </c>
    </row>
    <row r="297">
      <c r="A297" t="inlineStr">
        <is>
          <t>Pétrus</t>
        </is>
      </c>
      <c r="B297" t="inlineStr">
        <is>
          <t>Del Maipo</t>
        </is>
      </c>
      <c r="C297" t="inlineStr">
        <is>
          <t>FRANCE POMEROL CHATEAU PETRUS 1973 750ML</t>
        </is>
      </c>
      <c r="D297" t="inlineStr">
        <is>
          <t>1973</t>
        </is>
      </c>
      <c r="E297" t="inlineStr"/>
      <c r="F297" t="n">
        <v>1</v>
      </c>
      <c r="G297" s="8" t="n">
        <v>55852.11</v>
      </c>
    </row>
    <row r="298">
      <c r="A298" t="inlineStr">
        <is>
          <t>Pétrus</t>
        </is>
      </c>
      <c r="B298" t="inlineStr">
        <is>
          <t>Del Maipo</t>
        </is>
      </c>
      <c r="C298" t="inlineStr">
        <is>
          <t>FRANCE POMEROL CHATEAU PETRUS 1987 750ML</t>
        </is>
      </c>
      <c r="D298" t="inlineStr">
        <is>
          <t>1987</t>
        </is>
      </c>
      <c r="E298" t="inlineStr"/>
      <c r="F298" t="n">
        <v>10</v>
      </c>
      <c r="G298" s="8" t="n">
        <v>55852.11</v>
      </c>
    </row>
    <row r="299">
      <c r="A299" t="inlineStr">
        <is>
          <t>Pétrus</t>
        </is>
      </c>
      <c r="B299" t="inlineStr">
        <is>
          <t>Del Maipo</t>
        </is>
      </c>
      <c r="C299" t="inlineStr">
        <is>
          <t>FRANCE POMEROL CHATEAU PETRUS 1975 750ML</t>
        </is>
      </c>
      <c r="D299" t="inlineStr">
        <is>
          <t>1975</t>
        </is>
      </c>
      <c r="E299" t="inlineStr"/>
      <c r="F299" t="n">
        <v>1</v>
      </c>
      <c r="G299" s="8" t="n">
        <v>55494.09</v>
      </c>
    </row>
    <row r="300">
      <c r="A300" t="inlineStr">
        <is>
          <t>Pétrus</t>
        </is>
      </c>
      <c r="B300" t="inlineStr">
        <is>
          <t>Del Maipo</t>
        </is>
      </c>
      <c r="C300" t="inlineStr">
        <is>
          <t>FRANCE POMEROL CHATEAU PETRUS 1979  750ML</t>
        </is>
      </c>
      <c r="D300" t="inlineStr">
        <is>
          <t>1979</t>
        </is>
      </c>
      <c r="E300" t="inlineStr"/>
      <c r="F300" t="n">
        <v>1</v>
      </c>
      <c r="G300" s="8" t="n">
        <v>51054.56</v>
      </c>
    </row>
    <row r="301">
      <c r="A301" t="inlineStr">
        <is>
          <t>Pétrus</t>
        </is>
      </c>
      <c r="B301" t="inlineStr">
        <is>
          <t>Del Maipo</t>
        </is>
      </c>
      <c r="C301" t="inlineStr">
        <is>
          <t>FRANCE POMEROL CHATEAU PETRUS 1978 750ML</t>
        </is>
      </c>
      <c r="D301" t="inlineStr">
        <is>
          <t>1978</t>
        </is>
      </c>
      <c r="E301" t="inlineStr"/>
      <c r="F301" t="n">
        <v>8</v>
      </c>
      <c r="G301" s="8" t="n">
        <v>49765.67</v>
      </c>
    </row>
    <row r="302">
      <c r="A302" t="inlineStr">
        <is>
          <t>Pétrus</t>
        </is>
      </c>
      <c r="B302" t="inlineStr">
        <is>
          <t>Del Maipo</t>
        </is>
      </c>
      <c r="C302" t="inlineStr">
        <is>
          <t>FRANCE POMEROL CHATEAU PETRUS 1957 750ML</t>
        </is>
      </c>
      <c r="D302" t="inlineStr">
        <is>
          <t>1957</t>
        </is>
      </c>
      <c r="E302" t="inlineStr"/>
      <c r="F302" t="n">
        <v>1</v>
      </c>
      <c r="G302" s="8" t="n">
        <v>48677.27</v>
      </c>
    </row>
    <row r="303">
      <c r="A303" t="inlineStr">
        <is>
          <t>Pétrus</t>
        </is>
      </c>
      <c r="B303" t="inlineStr">
        <is>
          <t>Del Maipo</t>
        </is>
      </c>
      <c r="C303" t="inlineStr">
        <is>
          <t>FRANCE POMEROL CHATEAU PETRUS 1976 750ML</t>
        </is>
      </c>
      <c r="D303" t="inlineStr">
        <is>
          <t>1976</t>
        </is>
      </c>
      <c r="E303" t="inlineStr"/>
      <c r="F303" t="n">
        <v>1</v>
      </c>
      <c r="G303" s="8" t="n">
        <v>45009.03</v>
      </c>
    </row>
    <row r="304">
      <c r="A304" t="inlineStr">
        <is>
          <t>Pétrus</t>
        </is>
      </c>
      <c r="B304" t="inlineStr">
        <is>
          <t>World Wine</t>
        </is>
      </c>
      <c r="C304" t="inlineStr">
        <is>
          <t>Pétrus</t>
        </is>
      </c>
      <c r="D304" t="inlineStr">
        <is>
          <t>2012</t>
        </is>
      </c>
      <c r="E304" t="inlineStr">
        <is>
          <t>750</t>
        </is>
      </c>
      <c r="G304" s="8" t="n">
        <v>43136.64</v>
      </c>
    </row>
    <row r="305">
      <c r="A305" t="inlineStr">
        <is>
          <t>Pétrus</t>
        </is>
      </c>
      <c r="B305" t="inlineStr">
        <is>
          <t>World Wine</t>
        </is>
      </c>
      <c r="C305" t="inlineStr">
        <is>
          <t>Pétrus</t>
        </is>
      </c>
      <c r="D305" t="inlineStr">
        <is>
          <t>2014</t>
        </is>
      </c>
      <c r="E305" t="inlineStr">
        <is>
          <t>750</t>
        </is>
      </c>
      <c r="G305" s="8" t="n">
        <v>43136.64</v>
      </c>
    </row>
    <row r="306">
      <c r="A306" t="inlineStr">
        <is>
          <t>Pétrus</t>
        </is>
      </c>
      <c r="B306" t="inlineStr">
        <is>
          <t>World Wine</t>
        </is>
      </c>
      <c r="C306" t="inlineStr">
        <is>
          <t>Pétrus</t>
        </is>
      </c>
      <c r="D306" t="inlineStr">
        <is>
          <t>2011</t>
        </is>
      </c>
      <c r="E306" t="inlineStr">
        <is>
          <t>750</t>
        </is>
      </c>
      <c r="G306" s="8" t="n">
        <v>39450.24</v>
      </c>
    </row>
    <row r="307">
      <c r="A307" t="inlineStr">
        <is>
          <t>Pétrus</t>
        </is>
      </c>
      <c r="B307" t="inlineStr">
        <is>
          <t>World Wine</t>
        </is>
      </c>
      <c r="C307" t="inlineStr">
        <is>
          <t>Pétrus</t>
        </is>
      </c>
      <c r="D307" t="inlineStr">
        <is>
          <t>2013</t>
        </is>
      </c>
      <c r="E307" t="inlineStr">
        <is>
          <t>750</t>
        </is>
      </c>
      <c r="G307" s="8" t="n">
        <v>37031.04</v>
      </c>
    </row>
    <row r="308">
      <c r="A308" t="inlineStr">
        <is>
          <t>Pétrus</t>
        </is>
      </c>
      <c r="B308" t="inlineStr">
        <is>
          <t>World Wine</t>
        </is>
      </c>
      <c r="C308" t="inlineStr">
        <is>
          <t>Château La Fleur-Pétrus</t>
        </is>
      </c>
      <c r="D308" t="inlineStr">
        <is>
          <t>2010</t>
        </is>
      </c>
      <c r="E308" t="inlineStr">
        <is>
          <t>750</t>
        </is>
      </c>
      <c r="G308" s="8" t="n">
        <v>4602.24</v>
      </c>
    </row>
    <row r="309">
      <c r="A309" t="inlineStr">
        <is>
          <t>Pétrus</t>
        </is>
      </c>
      <c r="B309" t="inlineStr">
        <is>
          <t>World Wine</t>
        </is>
      </c>
      <c r="C309" t="inlineStr">
        <is>
          <t>Château La Fleur-Pétrus</t>
        </is>
      </c>
      <c r="D309" t="inlineStr">
        <is>
          <t>2016</t>
        </is>
      </c>
      <c r="E309" t="inlineStr">
        <is>
          <t>750</t>
        </is>
      </c>
      <c r="G309" s="8" t="n">
        <v>3853.44</v>
      </c>
    </row>
    <row r="310">
      <c r="A310" t="inlineStr">
        <is>
          <t>Pétrus</t>
        </is>
      </c>
      <c r="B310" t="inlineStr">
        <is>
          <t>World Wine</t>
        </is>
      </c>
      <c r="C310" t="inlineStr">
        <is>
          <t>Château La Fleur-Pétrus</t>
        </is>
      </c>
      <c r="D310" t="inlineStr">
        <is>
          <t>2008</t>
        </is>
      </c>
      <c r="E310" t="inlineStr">
        <is>
          <t>750</t>
        </is>
      </c>
      <c r="G310" s="8" t="n">
        <v>3795.84</v>
      </c>
    </row>
    <row r="311">
      <c r="A311" t="inlineStr">
        <is>
          <t>Pétrus</t>
        </is>
      </c>
      <c r="B311" t="inlineStr">
        <is>
          <t>World Wine</t>
        </is>
      </c>
      <c r="C311" t="inlineStr">
        <is>
          <t>Château La Fleur-Pétrus</t>
        </is>
      </c>
      <c r="D311" t="inlineStr">
        <is>
          <t>2012</t>
        </is>
      </c>
      <c r="E311" t="inlineStr">
        <is>
          <t>750</t>
        </is>
      </c>
      <c r="G311" s="8" t="n">
        <v>3565.44</v>
      </c>
    </row>
    <row r="312">
      <c r="A312" t="inlineStr">
        <is>
          <t>Pétrus</t>
        </is>
      </c>
      <c r="B312" t="inlineStr">
        <is>
          <t>World Wine</t>
        </is>
      </c>
      <c r="C312" t="inlineStr">
        <is>
          <t>Château La Fleur-Pétrus</t>
        </is>
      </c>
      <c r="D312" t="inlineStr">
        <is>
          <t>2020</t>
        </is>
      </c>
      <c r="E312" t="inlineStr">
        <is>
          <t>750</t>
        </is>
      </c>
      <c r="G312" s="8" t="n">
        <v>3507.84</v>
      </c>
    </row>
    <row r="313">
      <c r="A313" t="inlineStr">
        <is>
          <t>Pétrus</t>
        </is>
      </c>
      <c r="B313" t="inlineStr">
        <is>
          <t>World Wine</t>
        </is>
      </c>
      <c r="C313" t="inlineStr">
        <is>
          <t>Château La Fleur-Pétrus</t>
        </is>
      </c>
      <c r="D313" t="inlineStr">
        <is>
          <t>2018</t>
        </is>
      </c>
      <c r="E313" t="inlineStr">
        <is>
          <t>750</t>
        </is>
      </c>
      <c r="G313" s="8" t="n">
        <v>3450.24</v>
      </c>
    </row>
    <row r="314">
      <c r="A314" t="inlineStr">
        <is>
          <t>Pétrus</t>
        </is>
      </c>
      <c r="B314" t="inlineStr">
        <is>
          <t>World Wine</t>
        </is>
      </c>
      <c r="C314" t="inlineStr">
        <is>
          <t>Château La Fleur-Pétrus</t>
        </is>
      </c>
      <c r="D314" t="inlineStr">
        <is>
          <t>2019</t>
        </is>
      </c>
      <c r="E314" t="inlineStr">
        <is>
          <t>750</t>
        </is>
      </c>
      <c r="G314" s="8" t="n">
        <v>3392.64</v>
      </c>
    </row>
    <row r="315">
      <c r="A315" t="inlineStr">
        <is>
          <t>Pétrus</t>
        </is>
      </c>
      <c r="B315" t="inlineStr">
        <is>
          <t>World Wine</t>
        </is>
      </c>
      <c r="C315" t="inlineStr">
        <is>
          <t>Château La Fleur-Pétrus</t>
        </is>
      </c>
      <c r="D315" t="inlineStr">
        <is>
          <t>2015</t>
        </is>
      </c>
      <c r="E315" t="inlineStr">
        <is>
          <t>750</t>
        </is>
      </c>
      <c r="G315" s="8" t="n">
        <v>3335.04</v>
      </c>
    </row>
    <row r="316">
      <c r="A316" t="inlineStr">
        <is>
          <t>Pétrus</t>
        </is>
      </c>
      <c r="B316" t="inlineStr">
        <is>
          <t>World Wine</t>
        </is>
      </c>
      <c r="C316" t="inlineStr">
        <is>
          <t>Château La Fleur-Pétrus</t>
        </is>
      </c>
      <c r="D316" t="inlineStr">
        <is>
          <t>2017</t>
        </is>
      </c>
      <c r="E316" t="inlineStr">
        <is>
          <t>750</t>
        </is>
      </c>
      <c r="G316" s="8" t="n">
        <v>3219.84</v>
      </c>
    </row>
    <row r="317">
      <c r="A317" t="inlineStr">
        <is>
          <t>Pétrus</t>
        </is>
      </c>
      <c r="B317" t="inlineStr">
        <is>
          <t>World Wine</t>
        </is>
      </c>
      <c r="C317" t="inlineStr">
        <is>
          <t>Château La Fleur-Pétrus</t>
        </is>
      </c>
      <c r="D317" t="inlineStr">
        <is>
          <t>2021</t>
        </is>
      </c>
      <c r="E317" t="inlineStr">
        <is>
          <t>750</t>
        </is>
      </c>
      <c r="G317" s="8" t="n">
        <v>3219.84</v>
      </c>
    </row>
    <row r="318">
      <c r="A318" t="inlineStr">
        <is>
          <t>Pétrus</t>
        </is>
      </c>
      <c r="B318" t="inlineStr">
        <is>
          <t>World Wine</t>
        </is>
      </c>
      <c r="C318" t="inlineStr">
        <is>
          <t>Château La Fleur-Pétrus</t>
        </is>
      </c>
      <c r="D318" t="inlineStr">
        <is>
          <t>2011</t>
        </is>
      </c>
      <c r="E318" t="inlineStr">
        <is>
          <t>750</t>
        </is>
      </c>
      <c r="G318" s="8" t="n">
        <v>3162.24</v>
      </c>
    </row>
    <row r="319">
      <c r="A319" t="inlineStr">
        <is>
          <t>Pétrus</t>
        </is>
      </c>
      <c r="B319" t="inlineStr">
        <is>
          <t>World Wine</t>
        </is>
      </c>
      <c r="C319" t="inlineStr">
        <is>
          <t>Château La Fleur-Pétrus</t>
        </is>
      </c>
      <c r="D319" t="inlineStr">
        <is>
          <t>2014</t>
        </is>
      </c>
      <c r="E319" t="inlineStr">
        <is>
          <t>750</t>
        </is>
      </c>
      <c r="G319" s="8" t="n">
        <v>2989.44</v>
      </c>
    </row>
    <row r="320">
      <c r="A320" t="inlineStr">
        <is>
          <t>Pétrus</t>
        </is>
      </c>
      <c r="B320" t="inlineStr">
        <is>
          <t>World Wine</t>
        </is>
      </c>
      <c r="C320" t="inlineStr">
        <is>
          <t>Château La Fleur-Pétrus</t>
        </is>
      </c>
      <c r="D320" t="inlineStr">
        <is>
          <t>2013</t>
        </is>
      </c>
      <c r="E320" t="inlineStr">
        <is>
          <t>750</t>
        </is>
      </c>
      <c r="G320" s="8" t="n">
        <v>2759.04</v>
      </c>
    </row>
    <row r="321">
      <c r="A321" t="inlineStr">
        <is>
          <t>Rothschild família</t>
        </is>
      </c>
      <c r="B321" t="inlineStr">
        <is>
          <t>Mistral</t>
        </is>
      </c>
      <c r="C321" t="inlineStr">
        <is>
          <t>DMG OPUS ONE OAKVILLE CALIFORNIA 2015 (TTO) (OPUS ONE)</t>
        </is>
      </c>
      <c r="D321" t="inlineStr">
        <is>
          <t>2015</t>
        </is>
      </c>
      <c r="E321" t="inlineStr">
        <is>
          <t>3000ml</t>
        </is>
      </c>
      <c r="F321" t="n">
        <v>2</v>
      </c>
      <c r="G321" s="8" t="n">
        <v>21916.99</v>
      </c>
    </row>
    <row r="322">
      <c r="A322" t="inlineStr">
        <is>
          <t>Rothschild família</t>
        </is>
      </c>
      <c r="B322" t="inlineStr">
        <is>
          <t>Mistral</t>
        </is>
      </c>
      <c r="C322" t="inlineStr">
        <is>
          <t>3L OPUS ONE NAPA VALLEY 2019 (TTO) (OPUS ONE)</t>
        </is>
      </c>
      <c r="D322" t="inlineStr">
        <is>
          <t>2019</t>
        </is>
      </c>
      <c r="E322" t="inlineStr">
        <is>
          <t>3000ml</t>
        </is>
      </c>
      <c r="F322" t="n">
        <v>1</v>
      </c>
      <c r="G322" s="8" t="n">
        <v>19871.48</v>
      </c>
    </row>
    <row r="323">
      <c r="A323" t="inlineStr">
        <is>
          <t>Rothschild família</t>
        </is>
      </c>
      <c r="B323" t="inlineStr">
        <is>
          <t>Mistral</t>
        </is>
      </c>
      <c r="C323" t="inlineStr">
        <is>
          <t>3L OPUS ONE NAPA VALLEY 2022 (TTO) (OPUS ONE)</t>
        </is>
      </c>
      <c r="D323" t="inlineStr">
        <is>
          <t>2022</t>
        </is>
      </c>
      <c r="E323" t="inlineStr">
        <is>
          <t>3000ml</t>
        </is>
      </c>
      <c r="F323" t="n">
        <v>2</v>
      </c>
      <c r="G323" s="8" t="n">
        <v>19871.48</v>
      </c>
    </row>
    <row r="324">
      <c r="A324" t="inlineStr">
        <is>
          <t>Rothschild família</t>
        </is>
      </c>
      <c r="B324" t="inlineStr">
        <is>
          <t>Boisse</t>
        </is>
      </c>
      <c r="C324" t="inlineStr">
        <is>
          <t>ALMAVIVA 2022 6 LITROS</t>
        </is>
      </c>
      <c r="D324" t="inlineStr">
        <is>
          <t>2022</t>
        </is>
      </c>
      <c r="E324" t="inlineStr"/>
      <c r="G324" s="8" t="n">
        <v>16188</v>
      </c>
    </row>
    <row r="325">
      <c r="A325" t="inlineStr">
        <is>
          <t>Rothschild família</t>
        </is>
      </c>
      <c r="B325" t="inlineStr">
        <is>
          <t>Mistral</t>
        </is>
      </c>
      <c r="C325" t="inlineStr">
        <is>
          <t>MG OPUS ONE 2014 (TTO) (OPUS ONE)</t>
        </is>
      </c>
      <c r="D325" t="inlineStr">
        <is>
          <t>2014</t>
        </is>
      </c>
      <c r="E325" t="inlineStr">
        <is>
          <t>1500ml</t>
        </is>
      </c>
      <c r="F325" t="n">
        <v>1</v>
      </c>
      <c r="G325" s="8" t="n">
        <v>11394.73</v>
      </c>
    </row>
    <row r="326">
      <c r="A326" t="inlineStr">
        <is>
          <t>Rothschild família</t>
        </is>
      </c>
      <c r="B326" t="inlineStr">
        <is>
          <t>Mistral</t>
        </is>
      </c>
      <c r="C326" t="inlineStr">
        <is>
          <t>1,5L OPUS ONE NAPA VALLEY 2019 (TTO) (OPUS ONE)</t>
        </is>
      </c>
      <c r="D326" t="inlineStr">
        <is>
          <t>2019</t>
        </is>
      </c>
      <c r="E326" t="inlineStr">
        <is>
          <t>1500ml</t>
        </is>
      </c>
      <c r="F326" t="n">
        <v>9</v>
      </c>
      <c r="G326" s="8" t="n">
        <v>9349.219999999999</v>
      </c>
    </row>
    <row r="327">
      <c r="A327" t="inlineStr">
        <is>
          <t>Rothschild família</t>
        </is>
      </c>
      <c r="B327" t="inlineStr">
        <is>
          <t>Mistral</t>
        </is>
      </c>
      <c r="C327" t="inlineStr">
        <is>
          <t>1,5L OPUS ONE NAPA VALLEY 2022 (TTO) (OPUS ONE)</t>
        </is>
      </c>
      <c r="D327" t="inlineStr">
        <is>
          <t>2022</t>
        </is>
      </c>
      <c r="E327" t="inlineStr">
        <is>
          <t>1500ml</t>
        </is>
      </c>
      <c r="F327" t="n">
        <v>6</v>
      </c>
      <c r="G327" s="8" t="n">
        <v>9349.219999999999</v>
      </c>
    </row>
    <row r="328">
      <c r="A328" t="inlineStr">
        <is>
          <t>Rothschild família</t>
        </is>
      </c>
      <c r="B328" t="inlineStr">
        <is>
          <t>Mistral</t>
        </is>
      </c>
      <c r="C328" t="inlineStr">
        <is>
          <t>MG OPUS ONE OAKVILLE CALIFORNIA 2015 (TTO) (OPUS ONE)</t>
        </is>
      </c>
      <c r="D328" t="inlineStr">
        <is>
          <t>2015</t>
        </is>
      </c>
      <c r="E328" t="inlineStr">
        <is>
          <t>1500ml</t>
        </is>
      </c>
      <c r="F328" t="n">
        <v>20</v>
      </c>
      <c r="G328" s="8" t="n">
        <v>9290.280000000001</v>
      </c>
    </row>
    <row r="329">
      <c r="A329" t="inlineStr">
        <is>
          <t>Rothschild família</t>
        </is>
      </c>
      <c r="B329" t="inlineStr">
        <is>
          <t>Mistral</t>
        </is>
      </c>
      <c r="C329" t="inlineStr">
        <is>
          <t>1,5L OPUS ONE NAPA VALLEY 2017 (TTO) (OPUS ONE)</t>
        </is>
      </c>
      <c r="D329" t="inlineStr">
        <is>
          <t>2017</t>
        </is>
      </c>
      <c r="E329" t="inlineStr">
        <is>
          <t>1500ml</t>
        </is>
      </c>
      <c r="F329" t="n">
        <v>2</v>
      </c>
      <c r="G329" s="8" t="n">
        <v>8959.51</v>
      </c>
    </row>
    <row r="330">
      <c r="A330" t="inlineStr">
        <is>
          <t>Rothschild família</t>
        </is>
      </c>
      <c r="B330" t="inlineStr">
        <is>
          <t>Boisse</t>
        </is>
      </c>
      <c r="C330" t="inlineStr">
        <is>
          <t>ALMAVIVA 2022 3 LITROS</t>
        </is>
      </c>
      <c r="D330" t="inlineStr">
        <is>
          <t>2022</t>
        </is>
      </c>
      <c r="E330" t="inlineStr"/>
      <c r="G330" s="8" t="n">
        <v>8094</v>
      </c>
    </row>
    <row r="331">
      <c r="A331" t="inlineStr">
        <is>
          <t>Rothschild família</t>
        </is>
      </c>
      <c r="B331" t="inlineStr">
        <is>
          <t>Mistral</t>
        </is>
      </c>
      <c r="C331" t="inlineStr">
        <is>
          <t>OPUS ONE 2010 (TTO) (OPUS ONE)</t>
        </is>
      </c>
      <c r="D331" t="inlineStr">
        <is>
          <t>2010</t>
        </is>
      </c>
      <c r="E331" t="inlineStr">
        <is>
          <t>750ml</t>
        </is>
      </c>
      <c r="F331" t="n">
        <v>1</v>
      </c>
      <c r="G331" s="8" t="n">
        <v>6206.92</v>
      </c>
    </row>
    <row r="332">
      <c r="A332" t="inlineStr">
        <is>
          <t>Rothschild família</t>
        </is>
      </c>
      <c r="B332" t="inlineStr">
        <is>
          <t>Mistral</t>
        </is>
      </c>
      <c r="C332" t="inlineStr">
        <is>
          <t>OPUS ONE 2012 (TTO) (OPUS ONE)</t>
        </is>
      </c>
      <c r="D332" t="inlineStr">
        <is>
          <t>2012</t>
        </is>
      </c>
      <c r="E332" t="inlineStr">
        <is>
          <t>750ml</t>
        </is>
      </c>
      <c r="F332" t="n">
        <v>4</v>
      </c>
      <c r="G332" s="8" t="n">
        <v>5792.84</v>
      </c>
    </row>
    <row r="333">
      <c r="A333" t="inlineStr">
        <is>
          <t>Rothschild família</t>
        </is>
      </c>
      <c r="B333" t="inlineStr">
        <is>
          <t>Mistral</t>
        </is>
      </c>
      <c r="C333" t="inlineStr">
        <is>
          <t>OPUS ONE NAPA VALLEY 2022 (TTO) (OPUS ONE)</t>
        </is>
      </c>
      <c r="D333" t="inlineStr">
        <is>
          <t>2022</t>
        </is>
      </c>
      <c r="E333" t="inlineStr">
        <is>
          <t>750ml</t>
        </is>
      </c>
      <c r="F333" t="n">
        <v>420</v>
      </c>
      <c r="G333" s="8" t="n">
        <v>4282.95</v>
      </c>
    </row>
    <row r="334">
      <c r="A334" t="inlineStr">
        <is>
          <t>Rothschild família</t>
        </is>
      </c>
      <c r="B334" t="inlineStr">
        <is>
          <t>Mistral</t>
        </is>
      </c>
      <c r="C334" t="inlineStr">
        <is>
          <t>OPUS ONE 2018 (TTO) (OPUS ONE)</t>
        </is>
      </c>
      <c r="D334" t="inlineStr">
        <is>
          <t>2018</t>
        </is>
      </c>
      <c r="E334" t="inlineStr">
        <is>
          <t>750ml</t>
        </is>
      </c>
      <c r="F334" t="n">
        <v>537</v>
      </c>
      <c r="G334" s="8" t="n">
        <v>3896.74</v>
      </c>
    </row>
    <row r="335">
      <c r="A335" t="inlineStr">
        <is>
          <t>Rothschild família</t>
        </is>
      </c>
      <c r="B335" t="inlineStr">
        <is>
          <t>Mistral</t>
        </is>
      </c>
      <c r="C335" t="inlineStr">
        <is>
          <t>OPUS ONE 2017 (TTO) (OPUS ONE)</t>
        </is>
      </c>
      <c r="D335" t="inlineStr">
        <is>
          <t>2017</t>
        </is>
      </c>
      <c r="E335" t="inlineStr">
        <is>
          <t>750ml</t>
        </is>
      </c>
      <c r="F335" t="n">
        <v>375</v>
      </c>
      <c r="G335" s="8" t="n">
        <v>3896.74</v>
      </c>
    </row>
    <row r="336">
      <c r="A336" t="inlineStr">
        <is>
          <t>Rothschild família</t>
        </is>
      </c>
      <c r="B336" t="inlineStr">
        <is>
          <t>Mistral</t>
        </is>
      </c>
      <c r="C336" t="inlineStr">
        <is>
          <t>OPUS ONE NAPA VALLEY 2021 (TTO) (OPUS ONE)</t>
        </is>
      </c>
      <c r="D336" t="inlineStr">
        <is>
          <t>2021</t>
        </is>
      </c>
      <c r="E336" t="inlineStr">
        <is>
          <t>750ml</t>
        </is>
      </c>
      <c r="F336" t="n">
        <v>478</v>
      </c>
      <c r="G336" s="8" t="n">
        <v>3857.77</v>
      </c>
    </row>
    <row r="337">
      <c r="A337" t="inlineStr">
        <is>
          <t>Rothschild família</t>
        </is>
      </c>
      <c r="B337" t="inlineStr">
        <is>
          <t>Mistral</t>
        </is>
      </c>
      <c r="C337" t="inlineStr">
        <is>
          <t>OPUS ONE NAPA VALLEY 2019 (TTO) (OPUS ONE)</t>
        </is>
      </c>
      <c r="D337" t="inlineStr">
        <is>
          <t>2019</t>
        </is>
      </c>
      <c r="E337" t="inlineStr">
        <is>
          <t>750ml</t>
        </is>
      </c>
      <c r="F337" t="n">
        <v>227</v>
      </c>
      <c r="G337" s="8" t="n">
        <v>3779.83</v>
      </c>
    </row>
    <row r="338">
      <c r="A338" t="inlineStr">
        <is>
          <t>Rothschild família</t>
        </is>
      </c>
      <c r="B338" t="inlineStr">
        <is>
          <t>Vila Porto</t>
        </is>
      </c>
      <c r="C338" t="inlineStr">
        <is>
          <t>VINHO CHI ALMAVIVA CABERNET SAUVIGNON 2020 TTO 1500ML</t>
        </is>
      </c>
      <c r="D338" t="inlineStr">
        <is>
          <t>2020</t>
        </is>
      </c>
      <c r="E338" t="inlineStr"/>
      <c r="G338" s="8" t="n">
        <v>3508.73</v>
      </c>
    </row>
    <row r="339">
      <c r="A339" t="inlineStr">
        <is>
          <t>Rothschild família</t>
        </is>
      </c>
      <c r="B339" t="inlineStr">
        <is>
          <t>Boisse</t>
        </is>
      </c>
      <c r="C339" t="inlineStr">
        <is>
          <t>ALMAVIVA 2021 1500 ML</t>
        </is>
      </c>
      <c r="D339" t="inlineStr">
        <is>
          <t>2021</t>
        </is>
      </c>
      <c r="E339" t="inlineStr"/>
      <c r="G339" s="8" t="n">
        <v>3195</v>
      </c>
    </row>
    <row r="340">
      <c r="A340" t="inlineStr">
        <is>
          <t>Rothschild família</t>
        </is>
      </c>
      <c r="B340" t="inlineStr">
        <is>
          <t>Boisse</t>
        </is>
      </c>
      <c r="C340" t="inlineStr">
        <is>
          <t>ALMAVIVA 2022 1500 ML CX MADEIRA 01\</t>
        </is>
      </c>
      <c r="D340" t="inlineStr">
        <is>
          <t>2022</t>
        </is>
      </c>
      <c r="E340" t="inlineStr"/>
      <c r="G340" s="8" t="n">
        <v>3088.5</v>
      </c>
    </row>
    <row r="341">
      <c r="A341" t="inlineStr">
        <is>
          <t>Rothschild família</t>
        </is>
      </c>
      <c r="B341" t="inlineStr">
        <is>
          <t>Boisse</t>
        </is>
      </c>
      <c r="C341" t="inlineStr">
        <is>
          <t>ALMAVIVA 2020 1500 ML CX MADEIRA 01</t>
        </is>
      </c>
      <c r="D341" t="inlineStr">
        <is>
          <t>2020</t>
        </is>
      </c>
      <c r="E341" t="inlineStr"/>
      <c r="G341" s="8" t="n">
        <v>3088.5</v>
      </c>
    </row>
    <row r="342">
      <c r="A342" t="inlineStr">
        <is>
          <t>Rothschild família</t>
        </is>
      </c>
      <c r="B342" t="inlineStr">
        <is>
          <t>Vila Porto</t>
        </is>
      </c>
      <c r="C342" t="inlineStr">
        <is>
          <t>VINHO CHI ALMAVIVA CABERNET SAUVIGNON 2019 TTO 1500ML</t>
        </is>
      </c>
      <c r="D342" t="inlineStr">
        <is>
          <t>2019</t>
        </is>
      </c>
      <c r="E342" t="inlineStr"/>
      <c r="G342" s="8" t="n">
        <v>2737.93</v>
      </c>
    </row>
    <row r="343">
      <c r="A343" t="inlineStr">
        <is>
          <t>Rothschild família</t>
        </is>
      </c>
      <c r="B343" t="inlineStr">
        <is>
          <t>Del Maipo</t>
        </is>
      </c>
      <c r="C343" t="inlineStr">
        <is>
          <t>ALMAVIVA - PUENTE ALTO</t>
        </is>
      </c>
      <c r="D343" t="inlineStr">
        <is>
          <t>2021</t>
        </is>
      </c>
      <c r="E343" t="inlineStr">
        <is>
          <t>750ml</t>
        </is>
      </c>
      <c r="G343" s="8" t="n">
        <v>2584.63</v>
      </c>
    </row>
    <row r="344">
      <c r="A344" t="inlineStr">
        <is>
          <t>Rothschild família</t>
        </is>
      </c>
      <c r="B344" t="inlineStr">
        <is>
          <t>Mistral</t>
        </is>
      </c>
      <c r="C344" t="inlineStr">
        <is>
          <t>375ML OPUS ONE NAPA VALLEY 2022 (TTO) (OPUS ONE)</t>
        </is>
      </c>
      <c r="D344" t="inlineStr">
        <is>
          <t>2022</t>
        </is>
      </c>
      <c r="E344" t="inlineStr">
        <is>
          <t>375ml</t>
        </is>
      </c>
      <c r="F344" t="n">
        <v>48</v>
      </c>
      <c r="G344" s="8" t="n">
        <v>2259.95</v>
      </c>
    </row>
    <row r="345">
      <c r="A345" t="inlineStr">
        <is>
          <t>Rothschild família</t>
        </is>
      </c>
      <c r="B345" t="inlineStr">
        <is>
          <t>Vila Porto</t>
        </is>
      </c>
      <c r="C345" t="inlineStr">
        <is>
          <t>VINHO CHI ALMAVIVA CABERNET SAUVIGNON 2020 TTO 750ML</t>
        </is>
      </c>
      <c r="D345" t="inlineStr">
        <is>
          <t>2020</t>
        </is>
      </c>
      <c r="E345" t="inlineStr"/>
      <c r="G345" s="8" t="n">
        <v>2222.06</v>
      </c>
    </row>
    <row r="346">
      <c r="A346" t="inlineStr">
        <is>
          <t>Rothschild família</t>
        </is>
      </c>
      <c r="B346" t="inlineStr">
        <is>
          <t>Mistral</t>
        </is>
      </c>
      <c r="C346" t="inlineStr">
        <is>
          <t>MEIA OPUS ONE OAKVILLE CALIFORNIA 2017 (TTO) (OPUS ONE)</t>
        </is>
      </c>
      <c r="D346" t="inlineStr">
        <is>
          <t>2017</t>
        </is>
      </c>
      <c r="E346" t="inlineStr">
        <is>
          <t>375ml</t>
        </is>
      </c>
      <c r="F346" t="n">
        <v>67</v>
      </c>
      <c r="G346" s="8" t="n">
        <v>2191.7</v>
      </c>
    </row>
    <row r="347">
      <c r="A347" t="inlineStr">
        <is>
          <t>Rothschild família</t>
        </is>
      </c>
      <c r="B347" t="inlineStr">
        <is>
          <t>Mistral</t>
        </is>
      </c>
      <c r="C347" t="inlineStr">
        <is>
          <t>375ML OPUS ONE OAKVILLE CALIFORNIA 2018 (TTO) (OPUS ONE)</t>
        </is>
      </c>
      <c r="D347" t="inlineStr">
        <is>
          <t>2018</t>
        </is>
      </c>
      <c r="E347" t="inlineStr">
        <is>
          <t>375ml</t>
        </is>
      </c>
      <c r="F347" t="n">
        <v>41</v>
      </c>
      <c r="G347" s="8" t="n">
        <v>2191.7</v>
      </c>
    </row>
    <row r="348">
      <c r="A348" t="inlineStr">
        <is>
          <t>Rothschild família</t>
        </is>
      </c>
      <c r="B348" t="inlineStr">
        <is>
          <t>Del Maipo</t>
        </is>
      </c>
      <c r="C348" t="inlineStr">
        <is>
          <t>ALMAVIVA - PUENTE ALTO</t>
        </is>
      </c>
      <c r="D348" t="inlineStr">
        <is>
          <t>2022</t>
        </is>
      </c>
      <c r="E348" t="inlineStr">
        <is>
          <t>750ml</t>
        </is>
      </c>
      <c r="G348" s="8" t="n">
        <v>2165.36</v>
      </c>
    </row>
    <row r="349">
      <c r="A349" t="inlineStr">
        <is>
          <t>Rothschild família</t>
        </is>
      </c>
      <c r="B349" t="inlineStr">
        <is>
          <t>Mistral</t>
        </is>
      </c>
      <c r="C349" t="inlineStr">
        <is>
          <t>375ML OPUS ONE NAPA VALLEY 2021 (TTO) (OPUS ONE)</t>
        </is>
      </c>
      <c r="D349" t="inlineStr">
        <is>
          <t>2021</t>
        </is>
      </c>
      <c r="E349" t="inlineStr">
        <is>
          <t>375ml</t>
        </is>
      </c>
      <c r="F349" t="n">
        <v>48</v>
      </c>
      <c r="G349" s="8" t="n">
        <v>2143.03</v>
      </c>
    </row>
    <row r="350">
      <c r="A350" t="inlineStr">
        <is>
          <t>Rothschild família</t>
        </is>
      </c>
      <c r="B350" t="inlineStr">
        <is>
          <t>Mistral</t>
        </is>
      </c>
      <c r="C350" t="inlineStr">
        <is>
          <t>OVERTURE 2022 (TTO) (OPUS ONE)</t>
        </is>
      </c>
      <c r="D350" t="inlineStr">
        <is>
          <t>2022</t>
        </is>
      </c>
      <c r="E350" t="inlineStr">
        <is>
          <t>750ml</t>
        </is>
      </c>
      <c r="F350" t="n">
        <v>210</v>
      </c>
      <c r="G350" s="8" t="n">
        <v>2143.03</v>
      </c>
    </row>
    <row r="351">
      <c r="A351" t="inlineStr">
        <is>
          <t>Rothschild família</t>
        </is>
      </c>
      <c r="B351" t="inlineStr">
        <is>
          <t>World Wine</t>
        </is>
      </c>
      <c r="C351" t="inlineStr">
        <is>
          <t>Almaviva</t>
        </is>
      </c>
      <c r="D351" t="inlineStr">
        <is>
          <t>2020</t>
        </is>
      </c>
      <c r="E351" t="inlineStr">
        <is>
          <t>750</t>
        </is>
      </c>
      <c r="G351" s="8" t="n">
        <v>2010.24</v>
      </c>
    </row>
    <row r="352">
      <c r="A352" t="inlineStr">
        <is>
          <t>Rothschild família</t>
        </is>
      </c>
      <c r="B352" t="inlineStr">
        <is>
          <t>World Wine</t>
        </is>
      </c>
      <c r="C352" t="inlineStr">
        <is>
          <t>Almaviva</t>
        </is>
      </c>
      <c r="D352" t="inlineStr">
        <is>
          <t>2017</t>
        </is>
      </c>
      <c r="E352" t="inlineStr">
        <is>
          <t>750</t>
        </is>
      </c>
      <c r="G352" s="8" t="n">
        <v>1952.64</v>
      </c>
    </row>
    <row r="353">
      <c r="A353" t="inlineStr">
        <is>
          <t>Rothschild família</t>
        </is>
      </c>
      <c r="B353" t="inlineStr">
        <is>
          <t>World Wine</t>
        </is>
      </c>
      <c r="C353" t="inlineStr">
        <is>
          <t>Almaviva</t>
        </is>
      </c>
      <c r="D353" t="inlineStr">
        <is>
          <t>2021</t>
        </is>
      </c>
      <c r="E353" t="inlineStr">
        <is>
          <t>750</t>
        </is>
      </c>
      <c r="G353" s="8" t="n">
        <v>1952.64</v>
      </c>
    </row>
    <row r="354">
      <c r="A354" t="inlineStr">
        <is>
          <t>Rothschild família</t>
        </is>
      </c>
      <c r="B354" t="inlineStr">
        <is>
          <t>World Wine</t>
        </is>
      </c>
      <c r="C354" t="inlineStr">
        <is>
          <t>Almaviva</t>
        </is>
      </c>
      <c r="D354" t="inlineStr">
        <is>
          <t>2022</t>
        </is>
      </c>
      <c r="E354" t="inlineStr">
        <is>
          <t>750</t>
        </is>
      </c>
      <c r="G354" s="8" t="n">
        <v>1952.64</v>
      </c>
    </row>
    <row r="355">
      <c r="A355" t="inlineStr">
        <is>
          <t>Rothschild família</t>
        </is>
      </c>
      <c r="B355" t="inlineStr">
        <is>
          <t>Mistral</t>
        </is>
      </c>
      <c r="C355" t="inlineStr">
        <is>
          <t>OVERTURE 2021 (TTO) (OPUS ONE)</t>
        </is>
      </c>
      <c r="D355" t="inlineStr">
        <is>
          <t>2021</t>
        </is>
      </c>
      <c r="E355" t="inlineStr">
        <is>
          <t>750ml</t>
        </is>
      </c>
      <c r="F355" t="n">
        <v>228</v>
      </c>
      <c r="G355" s="8" t="n">
        <v>1948.18</v>
      </c>
    </row>
    <row r="356">
      <c r="A356" t="inlineStr">
        <is>
          <t>Rothschild família</t>
        </is>
      </c>
      <c r="B356" t="inlineStr">
        <is>
          <t>Mistral</t>
        </is>
      </c>
      <c r="C356" t="inlineStr">
        <is>
          <t>375ML OPUS ONE NAPA VALLEY 2019 (TTO) (OPUS ONE)</t>
        </is>
      </c>
      <c r="D356" t="inlineStr">
        <is>
          <t>2019</t>
        </is>
      </c>
      <c r="E356" t="inlineStr">
        <is>
          <t>375ml</t>
        </is>
      </c>
      <c r="F356" t="n">
        <v>35</v>
      </c>
      <c r="G356" s="8" t="n">
        <v>1948.18</v>
      </c>
    </row>
    <row r="357">
      <c r="A357" t="inlineStr">
        <is>
          <t>Rothschild família</t>
        </is>
      </c>
      <c r="B357" t="inlineStr">
        <is>
          <t>Mistral</t>
        </is>
      </c>
      <c r="C357" t="inlineStr">
        <is>
          <t>Overture Napa Valley</t>
        </is>
      </c>
      <c r="D357" t="inlineStr">
        <is>
          <t>Não se aplica</t>
        </is>
      </c>
      <c r="E357" t="inlineStr">
        <is>
          <t>750ml</t>
        </is>
      </c>
      <c r="F357" t="n">
        <v>3</v>
      </c>
      <c r="G357" s="8" t="n">
        <v>1944.67</v>
      </c>
    </row>
    <row r="358">
      <c r="A358" t="inlineStr">
        <is>
          <t>Rothschild família</t>
        </is>
      </c>
      <c r="B358" t="inlineStr">
        <is>
          <t>World Wine</t>
        </is>
      </c>
      <c r="C358" t="inlineStr">
        <is>
          <t>Almaviva</t>
        </is>
      </c>
      <c r="D358" t="inlineStr">
        <is>
          <t>2019</t>
        </is>
      </c>
      <c r="E358" t="inlineStr">
        <is>
          <t>750</t>
        </is>
      </c>
      <c r="G358" s="8" t="n">
        <v>1889.28</v>
      </c>
    </row>
    <row r="359">
      <c r="A359" t="inlineStr">
        <is>
          <t>Rothschild família</t>
        </is>
      </c>
      <c r="B359" t="inlineStr">
        <is>
          <t>Mistral</t>
        </is>
      </c>
      <c r="C359" t="inlineStr">
        <is>
          <t>Overture Napa Valley</t>
        </is>
      </c>
      <c r="D359" t="inlineStr">
        <is>
          <t>Não se aplica</t>
        </is>
      </c>
      <c r="E359" t="inlineStr">
        <is>
          <t>750ml</t>
        </is>
      </c>
      <c r="F359" t="n">
        <v>3</v>
      </c>
      <c r="G359" s="8" t="n">
        <v>1792.29</v>
      </c>
    </row>
    <row r="360">
      <c r="A360" t="inlineStr">
        <is>
          <t>Rothschild família</t>
        </is>
      </c>
      <c r="B360" t="inlineStr">
        <is>
          <t>Mistral</t>
        </is>
      </c>
      <c r="C360" t="inlineStr">
        <is>
          <t>ALMAVIVA 2022 (TTO) (S&amp;S)</t>
        </is>
      </c>
      <c r="D360" t="inlineStr">
        <is>
          <t>2022</t>
        </is>
      </c>
      <c r="E360" t="inlineStr">
        <is>
          <t>750ml</t>
        </is>
      </c>
      <c r="F360" t="n">
        <v>20</v>
      </c>
      <c r="G360" s="8" t="n">
        <v>1770.41</v>
      </c>
    </row>
    <row r="361">
      <c r="A361" t="inlineStr">
        <is>
          <t>Rothschild família</t>
        </is>
      </c>
      <c r="B361" t="inlineStr">
        <is>
          <t>World Wine</t>
        </is>
      </c>
      <c r="C361" t="inlineStr">
        <is>
          <t>Almaviva</t>
        </is>
      </c>
      <c r="D361" t="inlineStr">
        <is>
          <t>2018</t>
        </is>
      </c>
      <c r="E361" t="inlineStr">
        <is>
          <t>750</t>
        </is>
      </c>
      <c r="G361" s="8" t="n">
        <v>1704.96</v>
      </c>
    </row>
    <row r="362">
      <c r="A362" t="inlineStr">
        <is>
          <t>Rothschild família</t>
        </is>
      </c>
      <c r="B362" t="inlineStr">
        <is>
          <t>World Wine</t>
        </is>
      </c>
      <c r="C362" t="inlineStr">
        <is>
          <t>Almaviva</t>
        </is>
      </c>
      <c r="D362" t="inlineStr">
        <is>
          <t>2012</t>
        </is>
      </c>
      <c r="E362" t="inlineStr">
        <is>
          <t>750</t>
        </is>
      </c>
      <c r="G362" s="8" t="n">
        <v>1617.25</v>
      </c>
    </row>
    <row r="363">
      <c r="A363" t="inlineStr">
        <is>
          <t>Rothschild família</t>
        </is>
      </c>
      <c r="B363" t="inlineStr">
        <is>
          <t>World Wine</t>
        </is>
      </c>
      <c r="C363" t="inlineStr">
        <is>
          <t>Almaviva</t>
        </is>
      </c>
      <c r="D363" t="inlineStr">
        <is>
          <t>2016</t>
        </is>
      </c>
      <c r="E363" t="inlineStr">
        <is>
          <t>750</t>
        </is>
      </c>
      <c r="G363" s="8" t="n">
        <v>1617.25</v>
      </c>
    </row>
    <row r="364">
      <c r="A364" t="inlineStr">
        <is>
          <t>Rothschild família</t>
        </is>
      </c>
      <c r="B364" t="inlineStr">
        <is>
          <t>Mistral</t>
        </is>
      </c>
      <c r="C364" t="inlineStr">
        <is>
          <t>ALMAVIVA 2023 (TTO) (S&amp;S)</t>
        </is>
      </c>
      <c r="D364" t="inlineStr">
        <is>
          <t>2023</t>
        </is>
      </c>
      <c r="E364" t="inlineStr">
        <is>
          <t>750ml</t>
        </is>
      </c>
      <c r="F364" t="n">
        <v>75</v>
      </c>
      <c r="G364" s="8" t="n">
        <v>1563.49</v>
      </c>
    </row>
    <row r="365">
      <c r="A365" t="inlineStr">
        <is>
          <t>Rothschild família</t>
        </is>
      </c>
      <c r="B365" t="inlineStr">
        <is>
          <t>World Wine</t>
        </is>
      </c>
      <c r="C365" t="inlineStr">
        <is>
          <t>Almaviva</t>
        </is>
      </c>
      <c r="D365" t="inlineStr">
        <is>
          <t>2013</t>
        </is>
      </c>
      <c r="E365" t="inlineStr">
        <is>
          <t>750</t>
        </is>
      </c>
      <c r="G365" s="8" t="n">
        <v>1561.48</v>
      </c>
    </row>
    <row r="366">
      <c r="A366" t="inlineStr">
        <is>
          <t>Rothschild família</t>
        </is>
      </c>
      <c r="B366" t="inlineStr">
        <is>
          <t>World Wine</t>
        </is>
      </c>
      <c r="C366" t="inlineStr">
        <is>
          <t>Almaviva</t>
        </is>
      </c>
      <c r="D366" t="inlineStr">
        <is>
          <t>2014</t>
        </is>
      </c>
      <c r="E366" t="inlineStr">
        <is>
          <t>750</t>
        </is>
      </c>
      <c r="G366" s="8" t="n">
        <v>1561.48</v>
      </c>
    </row>
    <row r="367">
      <c r="A367" t="inlineStr">
        <is>
          <t>Rothschild família</t>
        </is>
      </c>
      <c r="B367" t="inlineStr">
        <is>
          <t>Boisse</t>
        </is>
      </c>
      <c r="C367" t="inlineStr">
        <is>
          <t>ALMAVIVA 2022 750ML CX DE MADEIRA 6 UNID</t>
        </is>
      </c>
      <c r="D367" t="inlineStr">
        <is>
          <t>2022</t>
        </is>
      </c>
      <c r="E367" t="inlineStr"/>
      <c r="G367" s="8" t="n">
        <v>1544.25</v>
      </c>
    </row>
    <row r="368">
      <c r="A368" t="inlineStr">
        <is>
          <t>Rothschild família</t>
        </is>
      </c>
      <c r="B368" t="inlineStr">
        <is>
          <t>Boisse</t>
        </is>
      </c>
      <c r="C368" t="inlineStr">
        <is>
          <t>ALMAVIVA 2021 750 ML</t>
        </is>
      </c>
      <c r="D368" t="inlineStr">
        <is>
          <t>2021</t>
        </is>
      </c>
      <c r="E368" t="inlineStr"/>
      <c r="G368" s="8" t="n">
        <v>1544.25</v>
      </c>
    </row>
    <row r="369">
      <c r="A369" t="inlineStr">
        <is>
          <t>Rothschild família</t>
        </is>
      </c>
      <c r="B369" t="inlineStr">
        <is>
          <t>World Wine</t>
        </is>
      </c>
      <c r="C369" t="inlineStr">
        <is>
          <t>Château Clerc Milon</t>
        </is>
      </c>
      <c r="D369" t="inlineStr">
        <is>
          <t>2020</t>
        </is>
      </c>
      <c r="E369" t="inlineStr">
        <is>
          <t>750</t>
        </is>
      </c>
      <c r="G369" s="8" t="n">
        <v>1434.24</v>
      </c>
    </row>
    <row r="370">
      <c r="A370" t="inlineStr">
        <is>
          <t>Rothschild família</t>
        </is>
      </c>
      <c r="B370" t="inlineStr">
        <is>
          <t>Vila Porto</t>
        </is>
      </c>
      <c r="C370" t="inlineStr">
        <is>
          <t>VINHO CHI ALMAVIVA CABERNET SAUVIGNON 2019 TTO 750ML</t>
        </is>
      </c>
      <c r="D370" t="inlineStr">
        <is>
          <t>2019</t>
        </is>
      </c>
      <c r="E370" t="inlineStr"/>
      <c r="G370" s="8" t="n">
        <v>1370.98</v>
      </c>
    </row>
    <row r="371">
      <c r="A371" t="inlineStr">
        <is>
          <t>Rothschild família</t>
        </is>
      </c>
      <c r="B371" t="inlineStr">
        <is>
          <t>World Wine</t>
        </is>
      </c>
      <c r="C371" t="inlineStr">
        <is>
          <t>Château d'Armailhac</t>
        </is>
      </c>
      <c r="D371" t="inlineStr">
        <is>
          <t>2009</t>
        </is>
      </c>
      <c r="E371" t="inlineStr">
        <is>
          <t>750</t>
        </is>
      </c>
      <c r="G371" s="8" t="n">
        <v>1338.41</v>
      </c>
    </row>
    <row r="372">
      <c r="A372" t="inlineStr">
        <is>
          <t>Rothschild família</t>
        </is>
      </c>
      <c r="B372" t="inlineStr">
        <is>
          <t>World Wine</t>
        </is>
      </c>
      <c r="C372" t="inlineStr">
        <is>
          <t>Château Clerc Milon</t>
        </is>
      </c>
      <c r="D372" t="inlineStr">
        <is>
          <t>2019</t>
        </is>
      </c>
      <c r="E372" t="inlineStr">
        <is>
          <t>750</t>
        </is>
      </c>
      <c r="G372" s="8" t="n">
        <v>1319.04</v>
      </c>
    </row>
    <row r="373">
      <c r="A373" t="inlineStr">
        <is>
          <t>Rothschild família</t>
        </is>
      </c>
      <c r="B373" t="inlineStr">
        <is>
          <t>World Wine</t>
        </is>
      </c>
      <c r="C373" t="inlineStr">
        <is>
          <t>Château d'Armailhac</t>
        </is>
      </c>
      <c r="D373" t="inlineStr">
        <is>
          <t>2010</t>
        </is>
      </c>
      <c r="E373" t="inlineStr">
        <is>
          <t>750</t>
        </is>
      </c>
      <c r="G373" s="8" t="n">
        <v>1244</v>
      </c>
    </row>
    <row r="374">
      <c r="A374" t="inlineStr">
        <is>
          <t>Rothschild família</t>
        </is>
      </c>
      <c r="B374" t="inlineStr">
        <is>
          <t>World Wine</t>
        </is>
      </c>
      <c r="C374" t="inlineStr">
        <is>
          <t>Almaviva (375ml)</t>
        </is>
      </c>
      <c r="D374" t="inlineStr">
        <is>
          <t>2008</t>
        </is>
      </c>
      <c r="E374" t="inlineStr">
        <is>
          <t>375</t>
        </is>
      </c>
      <c r="G374" s="8" t="n">
        <v>1226.88</v>
      </c>
    </row>
    <row r="375">
      <c r="A375" t="inlineStr">
        <is>
          <t>Rothschild família</t>
        </is>
      </c>
      <c r="B375" t="inlineStr">
        <is>
          <t>Boisse</t>
        </is>
      </c>
      <c r="C375" t="inlineStr">
        <is>
          <t>CHATEAU RIEUSSEC 2022</t>
        </is>
      </c>
      <c r="D375" t="inlineStr">
        <is>
          <t>2022</t>
        </is>
      </c>
      <c r="E375" t="inlineStr"/>
      <c r="G375" s="8" t="n">
        <v>1171.5</v>
      </c>
    </row>
    <row r="376">
      <c r="A376" t="inlineStr">
        <is>
          <t>Rothschild família</t>
        </is>
      </c>
      <c r="B376" t="inlineStr">
        <is>
          <t>Del Maipo</t>
        </is>
      </c>
      <c r="C376" t="inlineStr">
        <is>
          <t>CHATEAU  D'ARMAILHAC - AOC PAUILLAC ROUGE 5ÉME CRU CLASSÉ</t>
        </is>
      </c>
      <c r="D376" t="inlineStr">
        <is>
          <t>2019</t>
        </is>
      </c>
      <c r="E376" t="inlineStr">
        <is>
          <t>750ml</t>
        </is>
      </c>
      <c r="G376" s="8" t="n">
        <v>1148.73</v>
      </c>
    </row>
    <row r="377">
      <c r="A377" t="inlineStr">
        <is>
          <t>Rothschild família</t>
        </is>
      </c>
      <c r="B377" t="inlineStr">
        <is>
          <t>Mistral</t>
        </is>
      </c>
      <c r="C377" t="inlineStr">
        <is>
          <t>LOS VASCOS CANETEN 2022 (TTO) (LOS VASCOS)</t>
        </is>
      </c>
      <c r="D377" t="inlineStr">
        <is>
          <t>2022</t>
        </is>
      </c>
      <c r="E377" t="inlineStr">
        <is>
          <t>750ml</t>
        </is>
      </c>
      <c r="F377" t="n">
        <v>23</v>
      </c>
      <c r="G377" s="8" t="n">
        <v>951.39</v>
      </c>
    </row>
    <row r="378">
      <c r="A378" t="inlineStr">
        <is>
          <t>Rothschild família</t>
        </is>
      </c>
      <c r="B378" t="inlineStr">
        <is>
          <t>World Wine</t>
        </is>
      </c>
      <c r="C378" t="inlineStr">
        <is>
          <t>Château Rieussec</t>
        </is>
      </c>
      <c r="D378" t="inlineStr">
        <is>
          <t>2010</t>
        </is>
      </c>
      <c r="E378" t="inlineStr">
        <is>
          <t>750</t>
        </is>
      </c>
      <c r="G378" s="8" t="n">
        <v>923.51</v>
      </c>
    </row>
    <row r="379">
      <c r="A379" t="inlineStr">
        <is>
          <t>Rothschild família</t>
        </is>
      </c>
      <c r="B379" t="inlineStr">
        <is>
          <t>Mistral</t>
        </is>
      </c>
      <c r="C379" t="inlineStr">
        <is>
          <t>LE DIX DE LOS VASCOS COSECHAS ANTIGUAS 2010</t>
        </is>
      </c>
      <c r="D379" t="inlineStr">
        <is>
          <t>2010</t>
        </is>
      </c>
      <c r="E379" t="inlineStr">
        <is>
          <t>750ml</t>
        </is>
      </c>
      <c r="F379" t="n">
        <v>1</v>
      </c>
      <c r="G379" s="8" t="n">
        <v>920.36</v>
      </c>
    </row>
    <row r="380">
      <c r="A380" t="inlineStr">
        <is>
          <t>Rothschild família</t>
        </is>
      </c>
      <c r="B380" t="inlineStr">
        <is>
          <t>World Wine</t>
        </is>
      </c>
      <c r="C380" t="inlineStr">
        <is>
          <t>Château Rieussec</t>
        </is>
      </c>
      <c r="D380" t="inlineStr">
        <is>
          <t>2016</t>
        </is>
      </c>
      <c r="E380" t="inlineStr">
        <is>
          <t>750</t>
        </is>
      </c>
      <c r="G380" s="8" t="n">
        <v>915.84</v>
      </c>
    </row>
    <row r="381">
      <c r="A381" t="inlineStr">
        <is>
          <t>Rothschild família</t>
        </is>
      </c>
      <c r="B381" t="inlineStr">
        <is>
          <t>Mistral</t>
        </is>
      </c>
      <c r="C381" t="inlineStr">
        <is>
          <t>CH. D ARMAILHAC 2011 (TTO) (CRU CLASSE (MEDOC/GRAVES)</t>
        </is>
      </c>
      <c r="D381" t="inlineStr">
        <is>
          <t>2011</t>
        </is>
      </c>
      <c r="E381" t="inlineStr">
        <is>
          <t>750ml</t>
        </is>
      </c>
      <c r="F381" t="n">
        <v>15</v>
      </c>
      <c r="G381" s="8" t="n">
        <v>844.29</v>
      </c>
    </row>
    <row r="382">
      <c r="A382" t="inlineStr">
        <is>
          <t>Rothschild família</t>
        </is>
      </c>
      <c r="B382" t="inlineStr">
        <is>
          <t>Mistral</t>
        </is>
      </c>
      <c r="C382" t="inlineStr">
        <is>
          <t>CHATEAU D ARMAILHAC - PAUILLAC AOC 2021 (TTO) (CRU CLASSE (MEDOC/GRAVES)</t>
        </is>
      </c>
      <c r="D382" t="inlineStr">
        <is>
          <t>2021</t>
        </is>
      </c>
      <c r="E382" t="inlineStr">
        <is>
          <t>750ml</t>
        </is>
      </c>
      <c r="F382" t="n">
        <v>12</v>
      </c>
      <c r="G382" s="8" t="n">
        <v>827.73</v>
      </c>
    </row>
    <row r="383">
      <c r="A383" t="inlineStr">
        <is>
          <t>Rothschild família</t>
        </is>
      </c>
      <c r="B383" t="inlineStr">
        <is>
          <t>Mistral</t>
        </is>
      </c>
      <c r="C383" t="inlineStr">
        <is>
          <t>CHATEAU D ARMAILHAC - PAUILLAC AOC 2019 (TTO) (CRU CLASSE (MEDOC/GRAVES)</t>
        </is>
      </c>
      <c r="D383" t="inlineStr">
        <is>
          <t>2019</t>
        </is>
      </c>
      <c r="E383" t="inlineStr">
        <is>
          <t>750ml</t>
        </is>
      </c>
      <c r="F383" t="n">
        <v>26</v>
      </c>
      <c r="G383" s="8" t="n">
        <v>769.76</v>
      </c>
    </row>
    <row r="384">
      <c r="A384" t="inlineStr">
        <is>
          <t>Rothschild família</t>
        </is>
      </c>
      <c r="B384" t="inlineStr">
        <is>
          <t>Mistral</t>
        </is>
      </c>
      <c r="C384" t="inlineStr">
        <is>
          <t>CHATEAU D ARMAILHAC - PAUILLAC AOC 2020 (TTO) (CRU CLASSE (MEDOC/GRAVES)</t>
        </is>
      </c>
      <c r="D384" t="inlineStr">
        <is>
          <t>2020</t>
        </is>
      </c>
      <c r="E384" t="inlineStr">
        <is>
          <t>750ml</t>
        </is>
      </c>
      <c r="F384" t="n">
        <v>9</v>
      </c>
      <c r="G384" s="8" t="n">
        <v>744.91</v>
      </c>
    </row>
    <row r="385">
      <c r="A385" t="inlineStr">
        <is>
          <t>Rothschild família</t>
        </is>
      </c>
      <c r="B385" t="inlineStr">
        <is>
          <t>Mistral</t>
        </is>
      </c>
      <c r="C385" t="inlineStr">
        <is>
          <t>CARO 2022 (TTO) (BODEGAS CARO (CATENA)</t>
        </is>
      </c>
      <c r="D385" t="inlineStr">
        <is>
          <t>2022</t>
        </is>
      </c>
      <c r="E385" t="inlineStr">
        <is>
          <t>750ml</t>
        </is>
      </c>
      <c r="F385" t="n">
        <v>842</v>
      </c>
      <c r="G385" s="8" t="n">
        <v>732.8099999999999</v>
      </c>
    </row>
    <row r="386">
      <c r="A386" t="inlineStr">
        <is>
          <t>Rothschild família</t>
        </is>
      </c>
      <c r="B386" t="inlineStr">
        <is>
          <t>Mistral</t>
        </is>
      </c>
      <c r="C386" t="inlineStr">
        <is>
          <t>CARO 2021 (TTO) (BODEGAS CARO (CATENA)</t>
        </is>
      </c>
      <c r="D386" t="inlineStr">
        <is>
          <t>2021</t>
        </is>
      </c>
      <c r="E386" t="inlineStr">
        <is>
          <t>750ml</t>
        </is>
      </c>
      <c r="F386" t="n">
        <v>810</v>
      </c>
      <c r="G386" s="8" t="n">
        <v>678.59</v>
      </c>
    </row>
    <row r="387">
      <c r="A387" t="inlineStr">
        <is>
          <t>Rothschild família</t>
        </is>
      </c>
      <c r="B387" t="inlineStr">
        <is>
          <t>Mistral</t>
        </is>
      </c>
      <c r="C387" t="inlineStr">
        <is>
          <t>MEIA CH. RIEUSSEC 2010 (BCO/DCE) (BORDEAUX - BRANCOS DOCES)</t>
        </is>
      </c>
      <c r="D387" t="inlineStr">
        <is>
          <t>2010</t>
        </is>
      </c>
      <c r="E387" t="inlineStr">
        <is>
          <t>375ml</t>
        </is>
      </c>
      <c r="F387" t="n">
        <v>26</v>
      </c>
      <c r="G387" s="8" t="n">
        <v>620.6900000000001</v>
      </c>
    </row>
    <row r="388">
      <c r="A388" t="inlineStr">
        <is>
          <t>Rothschild família</t>
        </is>
      </c>
      <c r="B388" t="inlineStr">
        <is>
          <t>Mistral</t>
        </is>
      </c>
      <c r="C388" t="inlineStr">
        <is>
          <t>MEIA CH. RIEUSSEC 2011 (BCO/DCE) (BORDEAUX - BRANCOS DOCES) (375 ML)</t>
        </is>
      </c>
      <c r="D388" t="inlineStr">
        <is>
          <t>2011</t>
        </is>
      </c>
      <c r="E388" t="inlineStr">
        <is>
          <t>375ml</t>
        </is>
      </c>
      <c r="F388" t="n">
        <v>83</v>
      </c>
      <c r="G388" s="8" t="n">
        <v>620.6900000000001</v>
      </c>
    </row>
    <row r="389">
      <c r="A389" t="inlineStr">
        <is>
          <t>Rothschild família</t>
        </is>
      </c>
      <c r="B389" t="inlineStr">
        <is>
          <t>Del Maipo</t>
        </is>
      </c>
      <c r="C389" t="inlineStr">
        <is>
          <t>PASTOURELLE DE CLERC MILON - AOC PAUILLAC</t>
        </is>
      </c>
      <c r="D389" t="inlineStr">
        <is>
          <t>2021</t>
        </is>
      </c>
      <c r="E389" t="inlineStr">
        <is>
          <t>750ml</t>
        </is>
      </c>
      <c r="G389" s="8" t="n">
        <v>559.23</v>
      </c>
    </row>
    <row r="390">
      <c r="A390" t="inlineStr">
        <is>
          <t>Rothschild família</t>
        </is>
      </c>
      <c r="B390" t="inlineStr">
        <is>
          <t>Mistral</t>
        </is>
      </c>
      <c r="C390" t="inlineStr">
        <is>
          <t>MEIA CH. RIEUSSEC 2006 (BCO/DCE)</t>
        </is>
      </c>
      <c r="D390" t="inlineStr">
        <is>
          <t>2006</t>
        </is>
      </c>
      <c r="E390" t="inlineStr">
        <is>
          <t>375ml</t>
        </is>
      </c>
      <c r="F390" t="n">
        <v>1</v>
      </c>
      <c r="G390" s="8" t="n">
        <v>542.02</v>
      </c>
    </row>
    <row r="391">
      <c r="A391" t="inlineStr">
        <is>
          <t>Rothschild família</t>
        </is>
      </c>
      <c r="B391" t="inlineStr">
        <is>
          <t>Mistral</t>
        </is>
      </c>
      <c r="C391" t="inlineStr">
        <is>
          <t>MEIA CH. RIEUSSEC 2007 (BCO/DCE) (COM SELO)</t>
        </is>
      </c>
      <c r="D391" t="inlineStr">
        <is>
          <t>2007</t>
        </is>
      </c>
      <c r="E391" t="inlineStr">
        <is>
          <t>375ml</t>
        </is>
      </c>
      <c r="F391" t="n">
        <v>2</v>
      </c>
      <c r="G391" s="8" t="n">
        <v>542.02</v>
      </c>
    </row>
    <row r="392">
      <c r="A392" t="inlineStr">
        <is>
          <t>Rothschild família</t>
        </is>
      </c>
      <c r="B392" t="inlineStr">
        <is>
          <t>Mistral</t>
        </is>
      </c>
      <c r="C392" t="inlineStr">
        <is>
          <t>CARO 2020 (TTO) (BODEGAS CARO (CATENA)</t>
        </is>
      </c>
      <c r="D392" t="inlineStr">
        <is>
          <t>2020</t>
        </is>
      </c>
      <c r="E392" t="inlineStr">
        <is>
          <t>750ml</t>
        </is>
      </c>
      <c r="F392" t="n">
        <v>159</v>
      </c>
      <c r="G392" s="8" t="n">
        <v>528.21</v>
      </c>
    </row>
    <row r="393">
      <c r="A393" t="inlineStr">
        <is>
          <t>Rothschild família</t>
        </is>
      </c>
      <c r="B393" t="inlineStr">
        <is>
          <t>Mistral</t>
        </is>
      </c>
      <c r="C393" t="inlineStr">
        <is>
          <t>CARO 2020 (TTO) (BODEGAS CARO (CATENA)</t>
        </is>
      </c>
      <c r="D393" t="inlineStr">
        <is>
          <t>2020</t>
        </is>
      </c>
      <c r="E393" t="inlineStr">
        <is>
          <t>750ml</t>
        </is>
      </c>
      <c r="F393" t="n">
        <v>159</v>
      </c>
      <c r="G393" s="8" t="n">
        <v>528.21</v>
      </c>
    </row>
    <row r="394">
      <c r="A394" t="inlineStr">
        <is>
          <t>Rothschild família</t>
        </is>
      </c>
      <c r="B394" t="inlineStr">
        <is>
          <t>World Wine</t>
        </is>
      </c>
      <c r="C394" t="inlineStr">
        <is>
          <t>Almaviva Epu</t>
        </is>
      </c>
      <c r="D394" t="inlineStr">
        <is>
          <t>2020</t>
        </is>
      </c>
      <c r="E394" t="inlineStr">
        <is>
          <t>750</t>
        </is>
      </c>
      <c r="G394" s="8" t="n">
        <v>521.6</v>
      </c>
    </row>
    <row r="395">
      <c r="A395" t="inlineStr">
        <is>
          <t>Rothschild família</t>
        </is>
      </c>
      <c r="B395" t="inlineStr">
        <is>
          <t>World Wine</t>
        </is>
      </c>
      <c r="C395" t="inlineStr">
        <is>
          <t>Almaviva Epu</t>
        </is>
      </c>
      <c r="D395" t="inlineStr">
        <is>
          <t>2021</t>
        </is>
      </c>
      <c r="E395" t="inlineStr">
        <is>
          <t>750</t>
        </is>
      </c>
      <c r="G395" s="8" t="n">
        <v>521.6</v>
      </c>
    </row>
    <row r="396">
      <c r="A396" t="inlineStr">
        <is>
          <t>Rothschild família</t>
        </is>
      </c>
      <c r="B396" t="inlineStr">
        <is>
          <t>Mistral</t>
        </is>
      </c>
      <c r="C396" t="inlineStr">
        <is>
          <t>LE DIX DE LOS VASCOS 2017</t>
        </is>
      </c>
      <c r="D396" t="inlineStr">
        <is>
          <t>2017</t>
        </is>
      </c>
      <c r="E396" t="inlineStr">
        <is>
          <t>750ml</t>
        </is>
      </c>
      <c r="F396" t="n">
        <v>1</v>
      </c>
      <c r="G396" s="8" t="n">
        <v>475.69</v>
      </c>
    </row>
    <row r="397">
      <c r="A397" t="inlineStr">
        <is>
          <t>Rothschild família</t>
        </is>
      </c>
      <c r="B397" t="inlineStr">
        <is>
          <t>Mistral</t>
        </is>
      </c>
      <c r="C397" t="inlineStr">
        <is>
          <t>LE DIX DE LOS VASCOS 2021</t>
        </is>
      </c>
      <c r="D397" t="inlineStr">
        <is>
          <t>2021</t>
        </is>
      </c>
      <c r="E397" t="inlineStr">
        <is>
          <t>750ml</t>
        </is>
      </c>
      <c r="F397" t="n">
        <v>113</v>
      </c>
      <c r="G397" s="8" t="n">
        <v>475.69</v>
      </c>
    </row>
    <row r="398">
      <c r="A398" t="inlineStr">
        <is>
          <t>Rothschild família</t>
        </is>
      </c>
      <c r="B398" t="inlineStr">
        <is>
          <t>Mistral</t>
        </is>
      </c>
      <c r="C398" t="inlineStr">
        <is>
          <t>LE DIX DE LOS VASCOS 2019</t>
        </is>
      </c>
      <c r="D398" t="inlineStr">
        <is>
          <t>2019</t>
        </is>
      </c>
      <c r="E398" t="inlineStr">
        <is>
          <t>750ml</t>
        </is>
      </c>
      <c r="F398" t="n">
        <v>33</v>
      </c>
      <c r="G398" s="8" t="n">
        <v>475.69</v>
      </c>
    </row>
    <row r="399">
      <c r="A399" t="inlineStr">
        <is>
          <t>Rothschild família</t>
        </is>
      </c>
      <c r="B399" t="inlineStr">
        <is>
          <t>Vila Porto</t>
        </is>
      </c>
      <c r="C399" t="inlineStr">
        <is>
          <t>VINHO CHI EPU CABERNET SAUVIGNON 2018 TTO 750ML</t>
        </is>
      </c>
      <c r="D399" t="inlineStr">
        <is>
          <t>2018</t>
        </is>
      </c>
      <c r="E399" t="inlineStr"/>
      <c r="G399" s="8" t="n">
        <v>457.22</v>
      </c>
    </row>
    <row r="400">
      <c r="A400" t="inlineStr">
        <is>
          <t>Rothschild família</t>
        </is>
      </c>
      <c r="B400" t="inlineStr">
        <is>
          <t>World Wine</t>
        </is>
      </c>
      <c r="C400" t="inlineStr">
        <is>
          <t>Almaviva Epu</t>
        </is>
      </c>
      <c r="D400" t="inlineStr">
        <is>
          <t>2016</t>
        </is>
      </c>
      <c r="E400" t="inlineStr">
        <is>
          <t>750</t>
        </is>
      </c>
      <c r="G400" s="8" t="n">
        <v>455.04</v>
      </c>
    </row>
    <row r="401">
      <c r="A401" t="inlineStr">
        <is>
          <t>Rothschild família</t>
        </is>
      </c>
      <c r="B401" t="inlineStr">
        <is>
          <t>World Wine</t>
        </is>
      </c>
      <c r="C401" t="inlineStr">
        <is>
          <t>Almaviva Epu</t>
        </is>
      </c>
      <c r="D401" t="inlineStr">
        <is>
          <t>2017</t>
        </is>
      </c>
      <c r="E401" t="inlineStr">
        <is>
          <t>750</t>
        </is>
      </c>
      <c r="G401" s="8" t="n">
        <v>455.04</v>
      </c>
    </row>
    <row r="402">
      <c r="A402" t="inlineStr">
        <is>
          <t>Rothschild família</t>
        </is>
      </c>
      <c r="B402" t="inlineStr">
        <is>
          <t>World Wine</t>
        </is>
      </c>
      <c r="C402" t="inlineStr">
        <is>
          <t>Almaviva Epu</t>
        </is>
      </c>
      <c r="D402" t="inlineStr">
        <is>
          <t>2018</t>
        </is>
      </c>
      <c r="E402" t="inlineStr">
        <is>
          <t>750</t>
        </is>
      </c>
      <c r="G402" s="8" t="n">
        <v>455.04</v>
      </c>
    </row>
    <row r="403">
      <c r="A403" t="inlineStr">
        <is>
          <t>Rothschild família</t>
        </is>
      </c>
      <c r="B403" t="inlineStr">
        <is>
          <t>World Wine</t>
        </is>
      </c>
      <c r="C403" t="inlineStr">
        <is>
          <t>Almaviva Epu</t>
        </is>
      </c>
      <c r="D403" t="inlineStr">
        <is>
          <t>2019</t>
        </is>
      </c>
      <c r="E403" t="inlineStr">
        <is>
          <t>750</t>
        </is>
      </c>
      <c r="G403" s="8" t="n">
        <v>455.04</v>
      </c>
    </row>
    <row r="404">
      <c r="A404" t="inlineStr">
        <is>
          <t>Rothschild família</t>
        </is>
      </c>
      <c r="B404" t="inlineStr">
        <is>
          <t>Boisse</t>
        </is>
      </c>
      <c r="C404" t="inlineStr">
        <is>
          <t>LES CARMES DE RIEUSSEC 2020 750 ML</t>
        </is>
      </c>
      <c r="D404" t="inlineStr">
        <is>
          <t>2020</t>
        </is>
      </c>
      <c r="E404" t="inlineStr"/>
      <c r="G404" s="8" t="n">
        <v>351.45</v>
      </c>
    </row>
    <row r="405">
      <c r="A405" t="inlineStr">
        <is>
          <t>Rothschild família</t>
        </is>
      </c>
      <c r="B405" t="inlineStr">
        <is>
          <t>Mistral</t>
        </is>
      </c>
      <c r="C405" t="inlineStr">
        <is>
          <t>1,5L LOS VASCOS CROMAS GRAN RESERVA CABERNET SAUVIGNON 2019</t>
        </is>
      </c>
      <c r="D405" t="inlineStr">
        <is>
          <t>2019</t>
        </is>
      </c>
      <c r="E405" t="inlineStr">
        <is>
          <t>1500ml</t>
        </is>
      </c>
      <c r="F405" t="n">
        <v>189</v>
      </c>
      <c r="G405" s="8" t="n">
        <v>340.66</v>
      </c>
    </row>
    <row r="406">
      <c r="A406" t="inlineStr">
        <is>
          <t>Rothschild família</t>
        </is>
      </c>
      <c r="B406" t="inlineStr">
        <is>
          <t>World Wine</t>
        </is>
      </c>
      <c r="C406" t="inlineStr">
        <is>
          <t>Carmes de Rieussec (2º Ch. Rieussec)</t>
        </is>
      </c>
      <c r="D406" t="inlineStr">
        <is>
          <t>2018</t>
        </is>
      </c>
      <c r="E406" t="inlineStr">
        <is>
          <t>750</t>
        </is>
      </c>
      <c r="G406" s="8" t="n">
        <v>304.64</v>
      </c>
    </row>
    <row r="407">
      <c r="A407" t="inlineStr">
        <is>
          <t>Rothschild família</t>
        </is>
      </c>
      <c r="B407" t="inlineStr">
        <is>
          <t>Mistral</t>
        </is>
      </c>
      <c r="C407" t="inlineStr">
        <is>
          <t>LOS VASCOS PRIMO CINSAULT 2022 (TTO) (LOS VASCOS)</t>
        </is>
      </c>
      <c r="D407" t="inlineStr">
        <is>
          <t>2022</t>
        </is>
      </c>
      <c r="E407" t="inlineStr">
        <is>
          <t>750ml</t>
        </is>
      </c>
      <c r="F407" t="n">
        <v>145</v>
      </c>
      <c r="G407" s="8" t="n">
        <v>272.46</v>
      </c>
    </row>
    <row r="408">
      <c r="A408" t="inlineStr">
        <is>
          <t>Rothschild família</t>
        </is>
      </c>
      <c r="B408" t="inlineStr">
        <is>
          <t>Mistral</t>
        </is>
      </c>
      <c r="C408" t="inlineStr">
        <is>
          <t>LOS VASCOS PRIMO PINOT NOIR 2022 (TTO) (LOS VASCOS)</t>
        </is>
      </c>
      <c r="D408" t="inlineStr">
        <is>
          <t>2022</t>
        </is>
      </c>
      <c r="E408" t="inlineStr">
        <is>
          <t>750ml</t>
        </is>
      </c>
      <c r="F408" t="n">
        <v>174</v>
      </c>
      <c r="G408" s="8" t="n">
        <v>272.46</v>
      </c>
    </row>
    <row r="409">
      <c r="A409" t="inlineStr">
        <is>
          <t>Rothschild família</t>
        </is>
      </c>
      <c r="B409" t="inlineStr">
        <is>
          <t>Mistral</t>
        </is>
      </c>
      <c r="C409" t="inlineStr">
        <is>
          <t>LOS VASCOS PRIMO SEMILLON 2022 (BCO) (LOS VASCOS)</t>
        </is>
      </c>
      <c r="D409" t="inlineStr">
        <is>
          <t>2022</t>
        </is>
      </c>
      <c r="E409" t="inlineStr">
        <is>
          <t>750ml</t>
        </is>
      </c>
      <c r="F409" t="n">
        <v>87</v>
      </c>
      <c r="G409" s="8" t="n">
        <v>272.46</v>
      </c>
    </row>
    <row r="410">
      <c r="A410" t="inlineStr">
        <is>
          <t>Rothschild família</t>
        </is>
      </c>
      <c r="B410" t="inlineStr">
        <is>
          <t>World Wine</t>
        </is>
      </c>
      <c r="C410" t="inlineStr">
        <is>
          <t>R de Rieussec</t>
        </is>
      </c>
      <c r="D410" t="inlineStr">
        <is>
          <t>2016</t>
        </is>
      </c>
      <c r="E410" t="inlineStr">
        <is>
          <t>750</t>
        </is>
      </c>
      <c r="G410" s="8" t="n">
        <v>259.2</v>
      </c>
    </row>
    <row r="411">
      <c r="A411" t="inlineStr">
        <is>
          <t>Rothschild família</t>
        </is>
      </c>
      <c r="B411" t="inlineStr">
        <is>
          <t>World Wine</t>
        </is>
      </c>
      <c r="C411" t="inlineStr">
        <is>
          <t>Carmes de Rieussec (2º Ch. Rieussec) (375ml)</t>
        </is>
      </c>
      <c r="D411" t="inlineStr">
        <is>
          <t>2017</t>
        </is>
      </c>
      <c r="E411" t="inlineStr">
        <is>
          <t>375</t>
        </is>
      </c>
      <c r="G411" s="8" t="n">
        <v>189.44</v>
      </c>
    </row>
    <row r="412">
      <c r="A412" t="inlineStr">
        <is>
          <t>Rothschild família</t>
        </is>
      </c>
      <c r="B412" t="inlineStr">
        <is>
          <t>Boisse</t>
        </is>
      </c>
      <c r="C412" t="inlineStr">
        <is>
          <t>LES CARMES DE RIEUSSEC 2020 375 ML</t>
        </is>
      </c>
      <c r="D412" t="inlineStr">
        <is>
          <t>2020</t>
        </is>
      </c>
      <c r="E412" t="inlineStr"/>
      <c r="G412" s="8" t="n">
        <v>175.72</v>
      </c>
    </row>
    <row r="413">
      <c r="A413" t="inlineStr">
        <is>
          <t>Rothschild família</t>
        </is>
      </c>
      <c r="B413" t="inlineStr">
        <is>
          <t>Mistral</t>
        </is>
      </c>
      <c r="C413" t="inlineStr">
        <is>
          <t>LOS VASCOS CROMAS GRAN RESERVA CARMENERE 2022 (LOS VASCOS)</t>
        </is>
      </c>
      <c r="D413" t="inlineStr">
        <is>
          <t>2022</t>
        </is>
      </c>
      <c r="E413" t="inlineStr">
        <is>
          <t>750ml</t>
        </is>
      </c>
      <c r="F413" t="n">
        <v>3208</v>
      </c>
      <c r="G413" s="8" t="n">
        <v>149.26</v>
      </c>
    </row>
    <row r="414">
      <c r="A414" t="inlineStr">
        <is>
          <t>Rothschild família</t>
        </is>
      </c>
      <c r="B414" t="inlineStr">
        <is>
          <t>Mistral</t>
        </is>
      </c>
      <c r="C414" t="inlineStr">
        <is>
          <t>LOS VASCOS CROMAS GRAN RESERVA CARMENERE 2021</t>
        </is>
      </c>
      <c r="D414" t="inlineStr">
        <is>
          <t>2021</t>
        </is>
      </c>
      <c r="E414" t="inlineStr">
        <is>
          <t>750ml</t>
        </is>
      </c>
      <c r="F414" t="n">
        <v>405</v>
      </c>
      <c r="G414" s="8" t="n">
        <v>149.26</v>
      </c>
    </row>
    <row r="415">
      <c r="A415" t="inlineStr">
        <is>
          <t>Rothschild família</t>
        </is>
      </c>
      <c r="B415" t="inlineStr">
        <is>
          <t>Mistral</t>
        </is>
      </c>
      <c r="C415" t="inlineStr">
        <is>
          <t>LOS VASCOS CROMAS GRAN RESERVA CABERNET SAUVIGNON 2019</t>
        </is>
      </c>
      <c r="D415" t="inlineStr">
        <is>
          <t>2019</t>
        </is>
      </c>
      <c r="E415" t="inlineStr">
        <is>
          <t>750ml</t>
        </is>
      </c>
      <c r="F415" t="e">
        <v>#N/A</v>
      </c>
      <c r="G415" s="8" t="n">
        <v>149.26</v>
      </c>
    </row>
    <row r="416">
      <c r="A416" t="inlineStr">
        <is>
          <t>Rothschild família</t>
        </is>
      </c>
      <c r="B416" t="inlineStr">
        <is>
          <t>Mistral</t>
        </is>
      </c>
      <c r="C416" t="inlineStr">
        <is>
          <t>LOS VASCOS CROMAS GRAN RESERVA CABERNET FRANC 2021</t>
        </is>
      </c>
      <c r="D416" t="inlineStr">
        <is>
          <t>2021</t>
        </is>
      </c>
      <c r="E416" t="inlineStr">
        <is>
          <t>750ml</t>
        </is>
      </c>
      <c r="F416" t="n">
        <v>1627</v>
      </c>
      <c r="G416" s="8" t="n">
        <v>149.26</v>
      </c>
    </row>
    <row r="417">
      <c r="A417" t="inlineStr">
        <is>
          <t>Rothschild família</t>
        </is>
      </c>
      <c r="B417" t="inlineStr">
        <is>
          <t>Mistral</t>
        </is>
      </c>
      <c r="C417" t="inlineStr">
        <is>
          <t>LOS VASCOS CROMAS GRAN RESERVA CABERNET SAUVIGNON 2022 (LOS VASCOS)</t>
        </is>
      </c>
      <c r="D417" t="inlineStr">
        <is>
          <t>2022</t>
        </is>
      </c>
      <c r="E417" t="inlineStr">
        <is>
          <t>750ml</t>
        </is>
      </c>
      <c r="F417" t="n">
        <v>2672</v>
      </c>
      <c r="G417" s="8" t="n">
        <v>149.26</v>
      </c>
    </row>
    <row r="418">
      <c r="A418" t="inlineStr">
        <is>
          <t>Rothschild família</t>
        </is>
      </c>
      <c r="B418" t="inlineStr">
        <is>
          <t>Mistral</t>
        </is>
      </c>
      <c r="C418" t="inlineStr">
        <is>
          <t>LOS VASCOS CROMAS GRAN RESERVA SYRAH 2021</t>
        </is>
      </c>
      <c r="D418" t="inlineStr">
        <is>
          <t>2021</t>
        </is>
      </c>
      <c r="E418" t="inlineStr">
        <is>
          <t>750ml</t>
        </is>
      </c>
      <c r="F418" t="n">
        <v>1529</v>
      </c>
      <c r="G418" s="8" t="n">
        <v>149.26</v>
      </c>
    </row>
    <row r="419">
      <c r="A419" t="inlineStr">
        <is>
          <t>Rothschild família</t>
        </is>
      </c>
      <c r="B419" t="inlineStr">
        <is>
          <t>Mistral</t>
        </is>
      </c>
      <c r="C419" t="inlineStr">
        <is>
          <t>LOS VASCOS CROMAS GRAN RESERVA CABERNET FRANC 2022</t>
        </is>
      </c>
      <c r="D419" t="inlineStr">
        <is>
          <t>2022</t>
        </is>
      </c>
      <c r="E419" t="inlineStr">
        <is>
          <t>750ml</t>
        </is>
      </c>
      <c r="F419" t="n">
        <v>959</v>
      </c>
      <c r="G419" s="8" t="n">
        <v>149.26</v>
      </c>
    </row>
    <row r="420">
      <c r="A420" t="inlineStr">
        <is>
          <t>Rothschild família</t>
        </is>
      </c>
      <c r="B420" t="inlineStr">
        <is>
          <t>Mistral</t>
        </is>
      </c>
      <c r="C420" t="inlineStr">
        <is>
          <t>LOS VASCOS CROMAS GRAN RESERVA SYRAH 2022</t>
        </is>
      </c>
      <c r="D420" t="inlineStr">
        <is>
          <t>2022</t>
        </is>
      </c>
      <c r="E420" t="inlineStr">
        <is>
          <t>750ml</t>
        </is>
      </c>
      <c r="F420" t="n">
        <v>1181</v>
      </c>
      <c r="G420" s="8" t="n">
        <v>149.26</v>
      </c>
    </row>
    <row r="421">
      <c r="A421" t="inlineStr">
        <is>
          <t>Rothschild família</t>
        </is>
      </c>
      <c r="B421" t="inlineStr">
        <is>
          <t>Mistral</t>
        </is>
      </c>
      <c r="C421" t="inlineStr">
        <is>
          <t>LOS VASCOS CROMAS GRAN RESERVA CHARDONNAY 2023</t>
        </is>
      </c>
      <c r="D421" t="inlineStr">
        <is>
          <t>2023</t>
        </is>
      </c>
      <c r="E421" t="inlineStr">
        <is>
          <t>750ml</t>
        </is>
      </c>
      <c r="F421" t="n">
        <v>960</v>
      </c>
      <c r="G421" s="8" t="n">
        <v>149.26</v>
      </c>
    </row>
    <row r="422">
      <c r="A422" t="inlineStr">
        <is>
          <t>Rothschild família</t>
        </is>
      </c>
      <c r="B422" t="inlineStr">
        <is>
          <t>Mistral</t>
        </is>
      </c>
      <c r="C422" t="inlineStr">
        <is>
          <t>LOS VASCOS CROMAS GRAN RESERVA CHARDONNAY 2022</t>
        </is>
      </c>
      <c r="D422" t="inlineStr">
        <is>
          <t>2022</t>
        </is>
      </c>
      <c r="E422" t="inlineStr">
        <is>
          <t>750ml</t>
        </is>
      </c>
      <c r="F422" t="n">
        <v>1523</v>
      </c>
      <c r="G422" s="8" t="n">
        <v>149.26</v>
      </c>
    </row>
    <row r="423">
      <c r="A423" t="inlineStr">
        <is>
          <t>Rothschild família</t>
        </is>
      </c>
      <c r="B423" t="inlineStr">
        <is>
          <t>Mistral</t>
        </is>
      </c>
      <c r="C423" t="inlineStr">
        <is>
          <t>LOS VASCOS CHAGUAL CABERNET SAUVIGNON ORGANICO 2022</t>
        </is>
      </c>
      <c r="D423" t="inlineStr">
        <is>
          <t>2022</t>
        </is>
      </c>
      <c r="E423" t="inlineStr">
        <is>
          <t>750ml</t>
        </is>
      </c>
      <c r="F423" t="n">
        <v>3575</v>
      </c>
      <c r="G423" s="8" t="n">
        <v>125.83</v>
      </c>
    </row>
    <row r="424">
      <c r="A424" t="inlineStr">
        <is>
          <t>Rothschild família</t>
        </is>
      </c>
      <c r="B424" t="inlineStr">
        <is>
          <t>Mistral</t>
        </is>
      </c>
      <c r="C424" t="inlineStr">
        <is>
          <t>LOS VASCOS CHAGUAL CABERNET SAUVIGNON ORGANICO 2022</t>
        </is>
      </c>
      <c r="D424" t="inlineStr">
        <is>
          <t>2022</t>
        </is>
      </c>
      <c r="E424" t="inlineStr">
        <is>
          <t>750ml</t>
        </is>
      </c>
      <c r="F424" t="n">
        <v>3575</v>
      </c>
      <c r="G424" s="8" t="n">
        <v>125.83</v>
      </c>
    </row>
    <row r="425">
      <c r="A425" t="inlineStr">
        <is>
          <t>Rothschild família</t>
        </is>
      </c>
      <c r="B425" t="inlineStr">
        <is>
          <t>Mistral</t>
        </is>
      </c>
      <c r="C425" t="inlineStr">
        <is>
          <t>LOS VASCOS CHAGUAL CABERNET SAUVIGNON ORGANICO 2021</t>
        </is>
      </c>
      <c r="D425" t="inlineStr">
        <is>
          <t>2021</t>
        </is>
      </c>
      <c r="E425" t="inlineStr">
        <is>
          <t>750ml</t>
        </is>
      </c>
      <c r="F425" t="n">
        <v>1808</v>
      </c>
      <c r="G425" s="8" t="n">
        <v>125.83</v>
      </c>
    </row>
    <row r="426">
      <c r="A426" t="inlineStr">
        <is>
          <t>Rothschild família</t>
        </is>
      </c>
      <c r="B426" t="inlineStr">
        <is>
          <t>Mistral</t>
        </is>
      </c>
      <c r="C426" t="inlineStr">
        <is>
          <t>LOS VASCOS CHAGUAL SAUVIGNON BLANC ORGANICO 2022</t>
        </is>
      </c>
      <c r="D426" t="inlineStr">
        <is>
          <t>2022</t>
        </is>
      </c>
      <c r="E426" t="inlineStr">
        <is>
          <t>750ml</t>
        </is>
      </c>
      <c r="F426" t="n">
        <v>2830</v>
      </c>
      <c r="G426" s="8" t="n">
        <v>125.83</v>
      </c>
    </row>
    <row r="427">
      <c r="A427" t="inlineStr">
        <is>
          <t>Rothschild família</t>
        </is>
      </c>
      <c r="B427" t="inlineStr">
        <is>
          <t>Mistral</t>
        </is>
      </c>
      <c r="C427" t="inlineStr">
        <is>
          <t>LOS VASCOS ALBARINO 2023 (BCO) (LOS VASCOS)</t>
        </is>
      </c>
      <c r="D427" t="inlineStr">
        <is>
          <t>2023</t>
        </is>
      </c>
      <c r="E427" t="inlineStr">
        <is>
          <t>750ml</t>
        </is>
      </c>
      <c r="F427" t="n">
        <v>91</v>
      </c>
      <c r="G427" s="8" t="n">
        <v>105.37</v>
      </c>
    </row>
    <row r="428">
      <c r="A428" t="inlineStr">
        <is>
          <t>Rothschild família</t>
        </is>
      </c>
      <c r="B428" t="inlineStr">
        <is>
          <t>Mistral</t>
        </is>
      </c>
      <c r="C428" t="inlineStr">
        <is>
          <t>LOS VASCOS ALBARINO 2024 (BCO) (LOS VASCOS)</t>
        </is>
      </c>
      <c r="D428" t="inlineStr">
        <is>
          <t>2024</t>
        </is>
      </c>
      <c r="E428" t="inlineStr">
        <is>
          <t>750ml</t>
        </is>
      </c>
      <c r="F428" t="n">
        <v>2522</v>
      </c>
      <c r="G428" s="8" t="n">
        <v>105.37</v>
      </c>
    </row>
    <row r="429">
      <c r="A429" t="inlineStr">
        <is>
          <t>Rothschild família</t>
        </is>
      </c>
      <c r="B429" t="inlineStr">
        <is>
          <t>Mistral</t>
        </is>
      </c>
      <c r="C429" t="inlineStr">
        <is>
          <t>LOS VASCOS ROSE 2024 (LOS VASCOS)</t>
        </is>
      </c>
      <c r="D429" t="inlineStr">
        <is>
          <t>2024</t>
        </is>
      </c>
      <c r="E429" t="inlineStr">
        <is>
          <t>750ml</t>
        </is>
      </c>
      <c r="F429" t="n">
        <v>3924</v>
      </c>
      <c r="G429" s="8" t="n">
        <v>63.13</v>
      </c>
    </row>
    <row r="430">
      <c r="A430" t="inlineStr">
        <is>
          <t>Rothschild família</t>
        </is>
      </c>
      <c r="B430" t="inlineStr">
        <is>
          <t>Mistral</t>
        </is>
      </c>
      <c r="C430" t="inlineStr">
        <is>
          <t>LOS VASCOS SAUVIGNON BLANC 2024</t>
        </is>
      </c>
      <c r="D430" t="inlineStr">
        <is>
          <t>2024</t>
        </is>
      </c>
      <c r="E430" t="inlineStr">
        <is>
          <t>750ml</t>
        </is>
      </c>
      <c r="F430" t="n">
        <v>1350</v>
      </c>
      <c r="G430" s="8" t="n">
        <v>63.13</v>
      </c>
    </row>
    <row r="431">
      <c r="A431" t="inlineStr">
        <is>
          <t>Rothschild família</t>
        </is>
      </c>
      <c r="B431" t="inlineStr">
        <is>
          <t>Mistral</t>
        </is>
      </c>
      <c r="C431" t="inlineStr">
        <is>
          <t>LOS VASCOS ROSE 2023 (LOS VASCOS)</t>
        </is>
      </c>
      <c r="D431" t="inlineStr">
        <is>
          <t>2023</t>
        </is>
      </c>
      <c r="E431" t="inlineStr">
        <is>
          <t>750ml</t>
        </is>
      </c>
      <c r="F431" t="n">
        <v>11</v>
      </c>
      <c r="G431" s="8" t="n">
        <v>63.13</v>
      </c>
    </row>
    <row r="432">
      <c r="A432" t="inlineStr">
        <is>
          <t>Rothschild família</t>
        </is>
      </c>
      <c r="B432" t="inlineStr">
        <is>
          <t>Mistral</t>
        </is>
      </c>
      <c r="C432" t="inlineStr">
        <is>
          <t>LOS VASCOS CHARDONNAY 2025 (LOS VASCOS)</t>
        </is>
      </c>
      <c r="D432" t="inlineStr">
        <is>
          <t>2025</t>
        </is>
      </c>
      <c r="E432" t="inlineStr">
        <is>
          <t>750ml</t>
        </is>
      </c>
      <c r="F432" t="n">
        <v>3437</v>
      </c>
      <c r="G432" s="8" t="n">
        <v>63.13</v>
      </c>
    </row>
    <row r="433">
      <c r="A433" t="inlineStr">
        <is>
          <t>Rothschild família</t>
        </is>
      </c>
      <c r="B433" t="inlineStr">
        <is>
          <t>Mistral</t>
        </is>
      </c>
      <c r="C433" t="inlineStr">
        <is>
          <t>LOS VASCOS SAUVIGNON BLANC 2025 (LOS VASCOS)</t>
        </is>
      </c>
      <c r="D433" t="inlineStr">
        <is>
          <t>2025</t>
        </is>
      </c>
      <c r="E433" t="inlineStr">
        <is>
          <t>750ml</t>
        </is>
      </c>
      <c r="F433" t="n">
        <v>1971</v>
      </c>
      <c r="G433" s="8" t="n">
        <v>63.13</v>
      </c>
    </row>
    <row r="434">
      <c r="A434" t="inlineStr">
        <is>
          <t>Rothschild família</t>
        </is>
      </c>
      <c r="B434" t="inlineStr">
        <is>
          <t>Mistral</t>
        </is>
      </c>
      <c r="C434" t="inlineStr">
        <is>
          <t>LOS VASCOS CABERNET SAUVIGNON RESERVA 2022</t>
        </is>
      </c>
      <c r="D434" t="inlineStr">
        <is>
          <t>2022</t>
        </is>
      </c>
      <c r="E434" t="inlineStr">
        <is>
          <t>750ml</t>
        </is>
      </c>
      <c r="F434" t="e">
        <v>#N/A</v>
      </c>
      <c r="G434" s="8" t="n">
        <v>63.13</v>
      </c>
    </row>
    <row r="435">
      <c r="A435" t="inlineStr">
        <is>
          <t>Rothschild família</t>
        </is>
      </c>
      <c r="B435" t="inlineStr">
        <is>
          <t>Mistral</t>
        </is>
      </c>
      <c r="C435" t="inlineStr">
        <is>
          <t>LOS VASCOS CHARDONNAY 2024 (LOS VASCOS)</t>
        </is>
      </c>
      <c r="D435" t="inlineStr">
        <is>
          <t>2024</t>
        </is>
      </c>
      <c r="E435" t="inlineStr">
        <is>
          <t>750ml</t>
        </is>
      </c>
      <c r="F435" t="n">
        <v>4816</v>
      </c>
      <c r="G435" s="8" t="n">
        <v>63.13</v>
      </c>
    </row>
    <row r="436">
      <c r="A436" t="inlineStr">
        <is>
          <t>Rothschild família</t>
        </is>
      </c>
      <c r="B436" t="inlineStr">
        <is>
          <t>Mistral</t>
        </is>
      </c>
      <c r="C436" t="inlineStr">
        <is>
          <t>LOS VASCOS CABERNET SAUVIGNON RESERVA 2023 (LOS VASCOS)</t>
        </is>
      </c>
      <c r="D436" t="inlineStr">
        <is>
          <t>2023</t>
        </is>
      </c>
      <c r="E436" t="inlineStr">
        <is>
          <t>750ml</t>
        </is>
      </c>
      <c r="F436" t="n">
        <v>19178</v>
      </c>
      <c r="G436" s="8" t="n">
        <v>63.13</v>
      </c>
    </row>
    <row r="437">
      <c r="A437" t="inlineStr">
        <is>
          <t>Rothschild família</t>
        </is>
      </c>
      <c r="B437" t="inlineStr">
        <is>
          <t>Mistral</t>
        </is>
      </c>
      <c r="C437" t="inlineStr">
        <is>
          <t>375 ML LOS VASCOS CABERNET SAUVIGNON RESERVA 2022</t>
        </is>
      </c>
      <c r="D437" t="inlineStr">
        <is>
          <t>2022</t>
        </is>
      </c>
      <c r="E437" t="inlineStr">
        <is>
          <t>375ml</t>
        </is>
      </c>
      <c r="F437" t="n">
        <v>4048</v>
      </c>
      <c r="G437" s="8" t="n">
        <v>31.52</v>
      </c>
    </row>
    <row r="438">
      <c r="A438" t="inlineStr">
        <is>
          <t>Rothschild família</t>
        </is>
      </c>
      <c r="B438" t="inlineStr">
        <is>
          <t>Mistral</t>
        </is>
      </c>
      <c r="C438" t="inlineStr">
        <is>
          <t>375 ML LOS VASCOS CABERNET SAUVIGNON RESERVA 2021</t>
        </is>
      </c>
      <c r="D438" t="inlineStr">
        <is>
          <t>2021</t>
        </is>
      </c>
      <c r="E438" t="inlineStr">
        <is>
          <t>375ml</t>
        </is>
      </c>
      <c r="F438" t="n">
        <v>341</v>
      </c>
      <c r="G438" s="8" t="n">
        <v>31.52</v>
      </c>
    </row>
    <row r="439">
      <c r="A439" t="inlineStr">
        <is>
          <t>Super second</t>
        </is>
      </c>
      <c r="B439" t="inlineStr">
        <is>
          <t>Del Maipo</t>
        </is>
      </c>
      <c r="C439" t="inlineStr">
        <is>
          <t>PC4 CHATEAU PAPE CLEMENT AOC GRAVES 2000/2005/2010/2015</t>
        </is>
      </c>
      <c r="D439" t="inlineStr">
        <is>
          <t>2000</t>
        </is>
      </c>
      <c r="E439" t="inlineStr">
        <is>
          <t>750ml</t>
        </is>
      </c>
      <c r="G439" s="8" t="n">
        <v>40205.41</v>
      </c>
    </row>
    <row r="440">
      <c r="A440" t="inlineStr">
        <is>
          <t>Super second</t>
        </is>
      </c>
      <c r="B440" t="inlineStr">
        <is>
          <t>Del Maipo</t>
        </is>
      </c>
      <c r="C440" t="inlineStr">
        <is>
          <t>BERNARD MAGREZ CHATEAU PAPE CLEMENT AOC PESSAC LEOGNAN</t>
        </is>
      </c>
      <c r="D440" t="inlineStr">
        <is>
          <t>2019</t>
        </is>
      </c>
      <c r="E440" t="inlineStr">
        <is>
          <t>5000ml</t>
        </is>
      </c>
      <c r="G440" s="8" t="n">
        <v>15199.51</v>
      </c>
    </row>
    <row r="441">
      <c r="A441" t="inlineStr">
        <is>
          <t>Super second</t>
        </is>
      </c>
      <c r="B441" t="inlineStr">
        <is>
          <t>Tanyno</t>
        </is>
      </c>
      <c r="C441" t="inlineStr">
        <is>
          <t>CHATEAU MONTROSE — VERTICAL KIT CHATEAU MONTROSE ( 11 | 14 | 16 | 17 | 18 | 19 )</t>
        </is>
      </c>
      <c r="D441" t="inlineStr">
        <is>
          <t>N/A</t>
        </is>
      </c>
      <c r="E441" t="inlineStr"/>
      <c r="F441" t="n">
        <v>1</v>
      </c>
      <c r="G441" s="8" t="n">
        <v>13986.5</v>
      </c>
    </row>
    <row r="442">
      <c r="A442" t="inlineStr">
        <is>
          <t>Super second</t>
        </is>
      </c>
      <c r="B442" t="inlineStr">
        <is>
          <t>Del Maipo</t>
        </is>
      </c>
      <c r="C442" t="inlineStr">
        <is>
          <t>FRANCE GRAVES CHATEAU PAPE CLEMENT 1961 750ML</t>
        </is>
      </c>
      <c r="D442" t="inlineStr">
        <is>
          <t>1961</t>
        </is>
      </c>
      <c r="E442" t="inlineStr"/>
      <c r="F442" t="n">
        <v>1</v>
      </c>
      <c r="G442" s="8" t="n">
        <v>10662.64</v>
      </c>
    </row>
    <row r="443">
      <c r="A443" t="inlineStr">
        <is>
          <t>Super second</t>
        </is>
      </c>
      <c r="B443" t="inlineStr">
        <is>
          <t>Del Maipo</t>
        </is>
      </c>
      <c r="C443" t="inlineStr">
        <is>
          <t>FRANCE SAINT ESTEPHE CHATEAU MONTROSE 1934 750ML</t>
        </is>
      </c>
      <c r="D443" t="inlineStr">
        <is>
          <t>1934</t>
        </is>
      </c>
      <c r="E443" t="inlineStr"/>
      <c r="F443" t="n">
        <v>1</v>
      </c>
      <c r="G443" s="8" t="n">
        <v>9713.719999999999</v>
      </c>
    </row>
    <row r="444">
      <c r="A444" t="inlineStr">
        <is>
          <t>Super second</t>
        </is>
      </c>
      <c r="B444" t="inlineStr">
        <is>
          <t>World Wine</t>
        </is>
      </c>
      <c r="C444" t="inlineStr">
        <is>
          <t>Kit Château Pichon Baron (3gfs)</t>
        </is>
      </c>
      <c r="D444" t="inlineStr">
        <is>
          <t>2014, 2015 e 2016</t>
        </is>
      </c>
      <c r="E444" t="inlineStr">
        <is>
          <t>750</t>
        </is>
      </c>
      <c r="G444" s="8" t="n">
        <v>9210.24</v>
      </c>
    </row>
    <row r="445">
      <c r="A445" t="inlineStr">
        <is>
          <t>Super second</t>
        </is>
      </c>
      <c r="B445" t="inlineStr">
        <is>
          <t>Del Maipo</t>
        </is>
      </c>
      <c r="C445" t="inlineStr">
        <is>
          <t>BERNARD MAGREZ CHATEAU PAPE CLEMENT AOC PESSAC LEOGNAN</t>
        </is>
      </c>
      <c r="D445" t="inlineStr">
        <is>
          <t>2019</t>
        </is>
      </c>
      <c r="E445" t="inlineStr">
        <is>
          <t>3000ml</t>
        </is>
      </c>
      <c r="G445" s="8" t="n">
        <v>9177.059999999999</v>
      </c>
    </row>
    <row r="446">
      <c r="A446" t="inlineStr">
        <is>
          <t>Super second</t>
        </is>
      </c>
      <c r="B446" t="inlineStr">
        <is>
          <t>Del Maipo</t>
        </is>
      </c>
      <c r="C446" t="inlineStr">
        <is>
          <t>CHATEAU SMITH HAUT LAFITTE - AOC GRAVES</t>
        </is>
      </c>
      <c r="D446" t="inlineStr">
        <is>
          <t>2015</t>
        </is>
      </c>
      <c r="E446" t="inlineStr">
        <is>
          <t>1500ml</t>
        </is>
      </c>
      <c r="G446" s="8" t="n">
        <v>8636.950000000001</v>
      </c>
    </row>
    <row r="447">
      <c r="A447" t="inlineStr">
        <is>
          <t>Super second</t>
        </is>
      </c>
      <c r="B447" t="inlineStr">
        <is>
          <t>Boisse</t>
        </is>
      </c>
      <c r="C447" t="inlineStr">
        <is>
          <t>CH LYNCH BAGES 2021 CB 01 3000 ML</t>
        </is>
      </c>
      <c r="D447" t="inlineStr">
        <is>
          <t>2021</t>
        </is>
      </c>
      <c r="E447" t="inlineStr"/>
      <c r="G447" s="8" t="n">
        <v>7881</v>
      </c>
    </row>
    <row r="448">
      <c r="A448" t="inlineStr">
        <is>
          <t>Super second</t>
        </is>
      </c>
      <c r="B448" t="inlineStr">
        <is>
          <t>Del Maipo</t>
        </is>
      </c>
      <c r="C448" t="inlineStr">
        <is>
          <t>FRANCE SAINT EMILION CHATEAU VALANDRAUD 2005 750ML</t>
        </is>
      </c>
      <c r="D448" t="inlineStr">
        <is>
          <t>2005</t>
        </is>
      </c>
      <c r="E448" t="inlineStr"/>
      <c r="F448" t="n">
        <v>2</v>
      </c>
      <c r="G448" s="8" t="n">
        <v>6722.1</v>
      </c>
    </row>
    <row r="449">
      <c r="A449" t="inlineStr">
        <is>
          <t>Super second</t>
        </is>
      </c>
      <c r="B449" t="inlineStr">
        <is>
          <t>Del Maipo</t>
        </is>
      </c>
      <c r="C449" t="inlineStr">
        <is>
          <t>FRANCE SAINT EMILION CHATEAU LA MONDOTTE COMTES DE NEIPPERG 2005 750ML</t>
        </is>
      </c>
      <c r="D449" t="inlineStr">
        <is>
          <t>2005</t>
        </is>
      </c>
      <c r="E449" t="inlineStr"/>
      <c r="F449" t="n">
        <v>1</v>
      </c>
      <c r="G449" s="8" t="n">
        <v>6490.11</v>
      </c>
    </row>
    <row r="450">
      <c r="A450" t="inlineStr">
        <is>
          <t>Super second</t>
        </is>
      </c>
      <c r="B450" t="inlineStr">
        <is>
          <t>Del Maipo</t>
        </is>
      </c>
      <c r="C450" t="inlineStr">
        <is>
          <t>FRANCE MARGAUX CHATEAU PALMER 1982 750ML</t>
        </is>
      </c>
      <c r="D450" t="inlineStr">
        <is>
          <t>1982</t>
        </is>
      </c>
      <c r="E450" t="inlineStr"/>
      <c r="F450" t="n">
        <v>2</v>
      </c>
      <c r="G450" s="8" t="n">
        <v>6342.18</v>
      </c>
    </row>
    <row r="451">
      <c r="A451" t="inlineStr">
        <is>
          <t>Super second</t>
        </is>
      </c>
      <c r="B451" t="inlineStr">
        <is>
          <t>Del Maipo</t>
        </is>
      </c>
      <c r="C451" t="inlineStr">
        <is>
          <t>FRANCE MARGAUX CHATEAU PALMER 1969 750ML</t>
        </is>
      </c>
      <c r="D451" t="inlineStr">
        <is>
          <t>1969</t>
        </is>
      </c>
      <c r="E451" t="inlineStr"/>
      <c r="F451" t="n">
        <v>1</v>
      </c>
      <c r="G451" s="8" t="n">
        <v>5728.42</v>
      </c>
    </row>
    <row r="452">
      <c r="A452" t="inlineStr">
        <is>
          <t>Super second</t>
        </is>
      </c>
      <c r="B452" t="inlineStr">
        <is>
          <t>World Wine</t>
        </is>
      </c>
      <c r="C452" t="inlineStr">
        <is>
          <t>Château Palmer</t>
        </is>
      </c>
      <c r="D452" t="inlineStr">
        <is>
          <t>2005</t>
        </is>
      </c>
      <c r="E452" t="inlineStr">
        <is>
          <t>750</t>
        </is>
      </c>
      <c r="G452" s="8" t="n">
        <v>5293.44</v>
      </c>
    </row>
    <row r="453">
      <c r="A453" t="inlineStr">
        <is>
          <t>Super second</t>
        </is>
      </c>
      <c r="B453" t="inlineStr">
        <is>
          <t>World Wine</t>
        </is>
      </c>
      <c r="C453" t="inlineStr">
        <is>
          <t>Château Palmer</t>
        </is>
      </c>
      <c r="D453" t="inlineStr">
        <is>
          <t>2015</t>
        </is>
      </c>
      <c r="E453" t="inlineStr">
        <is>
          <t>750</t>
        </is>
      </c>
      <c r="G453" s="8" t="n">
        <v>5178.24</v>
      </c>
    </row>
    <row r="454">
      <c r="A454" t="inlineStr">
        <is>
          <t>Super second</t>
        </is>
      </c>
      <c r="B454" t="inlineStr">
        <is>
          <t>Del Maipo</t>
        </is>
      </c>
      <c r="C454" t="inlineStr">
        <is>
          <t>FRANCE SAINT JULIEN CHATEAU LEOVILLE DU MARQUIS DE LAS CASES 1984 750ML TT</t>
        </is>
      </c>
      <c r="D454" t="inlineStr">
        <is>
          <t>1984</t>
        </is>
      </c>
      <c r="E454" t="inlineStr"/>
      <c r="F454" t="n">
        <v>1</v>
      </c>
      <c r="G454" s="8" t="n">
        <v>4780.8</v>
      </c>
    </row>
    <row r="455">
      <c r="A455" t="inlineStr">
        <is>
          <t>Super second</t>
        </is>
      </c>
      <c r="B455" t="inlineStr">
        <is>
          <t>Del Maipo</t>
        </is>
      </c>
      <c r="C455" t="inlineStr">
        <is>
          <t>FRANCE PAUILLAC CHATEAU LYNCH BAGES 1980 750ML</t>
        </is>
      </c>
      <c r="D455" t="inlineStr">
        <is>
          <t>1980</t>
        </is>
      </c>
      <c r="E455" t="inlineStr"/>
      <c r="F455" t="n">
        <v>1</v>
      </c>
      <c r="G455" s="8" t="n">
        <v>4736.18</v>
      </c>
    </row>
    <row r="456">
      <c r="A456" t="inlineStr">
        <is>
          <t>Super second</t>
        </is>
      </c>
      <c r="B456" t="inlineStr">
        <is>
          <t>Del Maipo</t>
        </is>
      </c>
      <c r="C456" t="inlineStr">
        <is>
          <t>FRANCE SAINT JULIEN CHATEAU DUCRU BEAUCAILLOU 1970 750ML</t>
        </is>
      </c>
      <c r="D456" t="inlineStr">
        <is>
          <t>1970</t>
        </is>
      </c>
      <c r="E456" t="inlineStr"/>
      <c r="F456" t="n">
        <v>4</v>
      </c>
      <c r="G456" s="8" t="n">
        <v>4692.62</v>
      </c>
    </row>
    <row r="457">
      <c r="A457" t="inlineStr">
        <is>
          <t>Super second</t>
        </is>
      </c>
      <c r="B457" t="inlineStr">
        <is>
          <t>World Wine</t>
        </is>
      </c>
      <c r="C457" t="inlineStr">
        <is>
          <t>Château Montrose</t>
        </is>
      </c>
      <c r="D457" t="inlineStr">
        <is>
          <t>2009</t>
        </is>
      </c>
      <c r="E457" t="inlineStr">
        <is>
          <t>750</t>
        </is>
      </c>
      <c r="G457" s="8" t="n">
        <v>4282.92</v>
      </c>
    </row>
    <row r="458">
      <c r="A458" t="inlineStr">
        <is>
          <t>Super second</t>
        </is>
      </c>
      <c r="B458" t="inlineStr">
        <is>
          <t>Del Maipo</t>
        </is>
      </c>
      <c r="C458" t="inlineStr">
        <is>
          <t>FRANCE SAINT JULIEN CHATEAU LEOVILLE DU MARQUIS DE LAS CASES 2002 750ML</t>
        </is>
      </c>
      <c r="D458" t="inlineStr">
        <is>
          <t>2002</t>
        </is>
      </c>
      <c r="E458" t="inlineStr"/>
      <c r="F458" t="n">
        <v>1</v>
      </c>
      <c r="G458" s="8" t="n">
        <v>4265.06</v>
      </c>
    </row>
    <row r="459">
      <c r="A459" t="inlineStr">
        <is>
          <t>Super second</t>
        </is>
      </c>
      <c r="B459" t="inlineStr">
        <is>
          <t>Del Maipo</t>
        </is>
      </c>
      <c r="C459" t="inlineStr">
        <is>
          <t>CHATEAU SMITH HAUT LAFITTE - AOC GRAVES</t>
        </is>
      </c>
      <c r="D459" t="inlineStr">
        <is>
          <t>2015</t>
        </is>
      </c>
      <c r="E459" t="inlineStr">
        <is>
          <t>750ml</t>
        </is>
      </c>
      <c r="G459" s="8" t="n">
        <v>4256.34</v>
      </c>
    </row>
    <row r="460">
      <c r="A460" t="inlineStr">
        <is>
          <t>Super second</t>
        </is>
      </c>
      <c r="B460" t="inlineStr">
        <is>
          <t>World Wine</t>
        </is>
      </c>
      <c r="C460" t="inlineStr">
        <is>
          <t>Château Cos d'Estournel</t>
        </is>
      </c>
      <c r="D460" t="inlineStr">
        <is>
          <t>2016</t>
        </is>
      </c>
      <c r="E460" t="inlineStr">
        <is>
          <t>750</t>
        </is>
      </c>
      <c r="G460" s="8" t="n">
        <v>4026.24</v>
      </c>
    </row>
    <row r="461">
      <c r="A461" t="inlineStr">
        <is>
          <t>Super second</t>
        </is>
      </c>
      <c r="B461" t="inlineStr">
        <is>
          <t>World Wine</t>
        </is>
      </c>
      <c r="C461" t="inlineStr">
        <is>
          <t>Château Léoville Las Cases</t>
        </is>
      </c>
      <c r="D461" t="inlineStr">
        <is>
          <t>2016</t>
        </is>
      </c>
      <c r="E461" t="inlineStr">
        <is>
          <t>750</t>
        </is>
      </c>
      <c r="G461" s="8" t="n">
        <v>4026.24</v>
      </c>
    </row>
    <row r="462">
      <c r="A462" t="inlineStr">
        <is>
          <t>Super second</t>
        </is>
      </c>
      <c r="B462" t="inlineStr">
        <is>
          <t>World Wine</t>
        </is>
      </c>
      <c r="C462" t="inlineStr">
        <is>
          <t>Château Pichon Baron</t>
        </is>
      </c>
      <c r="D462" t="inlineStr">
        <is>
          <t>2016</t>
        </is>
      </c>
      <c r="E462" t="inlineStr">
        <is>
          <t>750</t>
        </is>
      </c>
      <c r="G462" s="8" t="n">
        <v>4026.24</v>
      </c>
    </row>
    <row r="463">
      <c r="A463" t="inlineStr">
        <is>
          <t>Super second</t>
        </is>
      </c>
      <c r="B463" t="inlineStr">
        <is>
          <t>World Wine</t>
        </is>
      </c>
      <c r="C463" t="inlineStr">
        <is>
          <t>Château Palmer</t>
        </is>
      </c>
      <c r="D463" t="inlineStr">
        <is>
          <t>2017</t>
        </is>
      </c>
      <c r="E463" t="inlineStr">
        <is>
          <t>750</t>
        </is>
      </c>
      <c r="G463" s="8" t="n">
        <v>3968.64</v>
      </c>
    </row>
    <row r="464">
      <c r="A464" t="inlineStr">
        <is>
          <t>Super second</t>
        </is>
      </c>
      <c r="B464" t="inlineStr">
        <is>
          <t>Boisse</t>
        </is>
      </c>
      <c r="C464" t="inlineStr">
        <is>
          <t>CH LYNCH BAGES 2021 CB 03 1500 ML</t>
        </is>
      </c>
      <c r="D464" t="inlineStr">
        <is>
          <t>2021</t>
        </is>
      </c>
      <c r="E464" t="inlineStr"/>
      <c r="G464" s="8" t="n">
        <v>3940.5</v>
      </c>
    </row>
    <row r="465">
      <c r="A465" t="inlineStr">
        <is>
          <t>Super second</t>
        </is>
      </c>
      <c r="B465" t="inlineStr">
        <is>
          <t>Mistral</t>
        </is>
      </c>
      <c r="C465" t="inlineStr">
        <is>
          <t>CH. PICHON LALANDE 2010 (TTO) (CRU CLASSE (MEDOC/GRAVES)</t>
        </is>
      </c>
      <c r="D465" t="inlineStr">
        <is>
          <t>2010</t>
        </is>
      </c>
      <c r="E465" t="inlineStr">
        <is>
          <t>750ml</t>
        </is>
      </c>
      <c r="F465" t="n">
        <v>55</v>
      </c>
      <c r="G465" s="8" t="n">
        <v>3895.99</v>
      </c>
    </row>
    <row r="466">
      <c r="A466" t="inlineStr">
        <is>
          <t>Super second</t>
        </is>
      </c>
      <c r="B466" t="inlineStr">
        <is>
          <t>Del Maipo</t>
        </is>
      </c>
      <c r="C466" t="inlineStr">
        <is>
          <t>FRANCE SAINT ESTEPHE CHATEAU COS D'ESTOURNEL 1992 750ML</t>
        </is>
      </c>
      <c r="D466" t="inlineStr">
        <is>
          <t>1992</t>
        </is>
      </c>
      <c r="E466" t="inlineStr"/>
      <c r="F466" t="n">
        <v>4</v>
      </c>
      <c r="G466" s="8" t="n">
        <v>3887.14</v>
      </c>
    </row>
    <row r="467">
      <c r="A467" t="inlineStr">
        <is>
          <t>Super second</t>
        </is>
      </c>
      <c r="B467" t="inlineStr">
        <is>
          <t>Mistral</t>
        </is>
      </c>
      <c r="C467" t="inlineStr">
        <is>
          <t>CH. PICHON LALANDE 2009 (TTO) (CRU CLASSE (MEDOC/GRAVES) (COM SELO)</t>
        </is>
      </c>
      <c r="D467" t="inlineStr">
        <is>
          <t>2009</t>
        </is>
      </c>
      <c r="E467" t="inlineStr">
        <is>
          <t>750ml</t>
        </is>
      </c>
      <c r="F467" t="n">
        <v>17</v>
      </c>
      <c r="G467" s="8" t="n">
        <v>3788.33</v>
      </c>
    </row>
    <row r="468">
      <c r="A468" t="inlineStr">
        <is>
          <t>Super second</t>
        </is>
      </c>
      <c r="B468" t="inlineStr">
        <is>
          <t>Del Maipo</t>
        </is>
      </c>
      <c r="C468" t="inlineStr">
        <is>
          <t>FRANCE SAINT ESTEPHE CHATEAU COS D'ESTOURNEL 1993 750ML</t>
        </is>
      </c>
      <c r="D468" t="inlineStr">
        <is>
          <t>1993</t>
        </is>
      </c>
      <c r="E468" t="inlineStr"/>
      <c r="F468" t="n">
        <v>5</v>
      </c>
      <c r="G468" s="8" t="n">
        <v>3784.85</v>
      </c>
    </row>
    <row r="469">
      <c r="A469" t="inlineStr">
        <is>
          <t>Super second</t>
        </is>
      </c>
      <c r="B469" t="inlineStr">
        <is>
          <t>World Wine</t>
        </is>
      </c>
      <c r="C469" t="inlineStr">
        <is>
          <t>Château Palmer</t>
        </is>
      </c>
      <c r="D469" t="inlineStr">
        <is>
          <t>2006</t>
        </is>
      </c>
      <c r="E469" t="inlineStr">
        <is>
          <t>750</t>
        </is>
      </c>
      <c r="G469" s="8" t="n">
        <v>3738.24</v>
      </c>
    </row>
    <row r="470">
      <c r="A470" t="inlineStr">
        <is>
          <t>Super second</t>
        </is>
      </c>
      <c r="B470" t="inlineStr">
        <is>
          <t>Del Maipo</t>
        </is>
      </c>
      <c r="C470" t="inlineStr">
        <is>
          <t>CHATEAU COS D ESTOURNELL -  AOC - SAINT ESTEPHE GRAND CRU CLASSE</t>
        </is>
      </c>
      <c r="D470" t="inlineStr">
        <is>
          <t>1997</t>
        </is>
      </c>
      <c r="E470" t="inlineStr">
        <is>
          <t>750ml</t>
        </is>
      </c>
      <c r="G470" s="8" t="n">
        <v>3728.18</v>
      </c>
    </row>
    <row r="471">
      <c r="A471" t="inlineStr">
        <is>
          <t>Super second</t>
        </is>
      </c>
      <c r="B471" t="inlineStr">
        <is>
          <t>Del Maipo</t>
        </is>
      </c>
      <c r="C471" t="inlineStr">
        <is>
          <t>FRANCE SAINT ESTEPHE CHATEAU COS D'ESTOURNEL 1970 750ML</t>
        </is>
      </c>
      <c r="D471" t="inlineStr">
        <is>
          <t>1970</t>
        </is>
      </c>
      <c r="E471" t="inlineStr"/>
      <c r="F471" t="n">
        <v>2</v>
      </c>
      <c r="G471" s="8" t="n">
        <v>3682.56</v>
      </c>
    </row>
    <row r="472">
      <c r="A472" t="inlineStr">
        <is>
          <t>Super second</t>
        </is>
      </c>
      <c r="B472" t="inlineStr">
        <is>
          <t>Del Maipo</t>
        </is>
      </c>
      <c r="C472" t="inlineStr">
        <is>
          <t>FRANCE PAUILLAC CHATEAU LYNCH BAGES 1991 750ML</t>
        </is>
      </c>
      <c r="D472" t="inlineStr">
        <is>
          <t>1991</t>
        </is>
      </c>
      <c r="E472" t="inlineStr"/>
      <c r="F472" t="n">
        <v>1</v>
      </c>
      <c r="G472" s="8" t="n">
        <v>3580.26</v>
      </c>
    </row>
    <row r="473">
      <c r="A473" t="inlineStr">
        <is>
          <t>Super second</t>
        </is>
      </c>
      <c r="B473" t="inlineStr">
        <is>
          <t>Del Maipo</t>
        </is>
      </c>
      <c r="C473" t="inlineStr">
        <is>
          <t>FRANCE PAUILLAC CHATEAU PICHON LONGUEVILLE CONTESSE LALANDE 1993 750ML</t>
        </is>
      </c>
      <c r="D473" t="inlineStr">
        <is>
          <t>1993</t>
        </is>
      </c>
      <c r="E473" t="inlineStr"/>
      <c r="F473" t="n">
        <v>4</v>
      </c>
      <c r="G473" s="8" t="n">
        <v>3580.26</v>
      </c>
    </row>
    <row r="474">
      <c r="A474" t="inlineStr">
        <is>
          <t>Super second</t>
        </is>
      </c>
      <c r="B474" t="inlineStr">
        <is>
          <t>Del Maipo</t>
        </is>
      </c>
      <c r="C474" t="inlineStr">
        <is>
          <t>CHATEAU PICHON BARON LONGUEVILLE 2ÉME GRAND CRU CLASSE - AOC PAUILLAC</t>
        </is>
      </c>
      <c r="D474" t="inlineStr">
        <is>
          <t>2021</t>
        </is>
      </c>
      <c r="E474" t="inlineStr">
        <is>
          <t>750ml</t>
        </is>
      </c>
      <c r="G474" s="8" t="n">
        <v>3572.84</v>
      </c>
    </row>
    <row r="475">
      <c r="A475" t="inlineStr">
        <is>
          <t>Super second</t>
        </is>
      </c>
      <c r="B475" t="inlineStr">
        <is>
          <t>Del Maipo</t>
        </is>
      </c>
      <c r="C475" t="inlineStr">
        <is>
          <t>FRANCE SAINT ESTEPHE CHATEAU MONTROSE 1978 750ML TT</t>
        </is>
      </c>
      <c r="D475" t="inlineStr">
        <is>
          <t>1978</t>
        </is>
      </c>
      <c r="E475" t="inlineStr"/>
      <c r="F475" t="n">
        <v>1</v>
      </c>
      <c r="G475" s="8" t="n">
        <v>3569.67</v>
      </c>
    </row>
    <row r="476">
      <c r="A476" t="inlineStr">
        <is>
          <t>Super second</t>
        </is>
      </c>
      <c r="B476" t="inlineStr">
        <is>
          <t>World Wine</t>
        </is>
      </c>
      <c r="C476" t="inlineStr">
        <is>
          <t>Château Léoville Las Cases</t>
        </is>
      </c>
      <c r="D476" t="inlineStr">
        <is>
          <t>2010</t>
        </is>
      </c>
      <c r="E476" t="inlineStr">
        <is>
          <t>750</t>
        </is>
      </c>
      <c r="G476" s="8" t="n">
        <v>3565.44</v>
      </c>
    </row>
    <row r="477">
      <c r="A477" t="inlineStr">
        <is>
          <t>Super second</t>
        </is>
      </c>
      <c r="B477" t="inlineStr">
        <is>
          <t>World Wine</t>
        </is>
      </c>
      <c r="C477" t="inlineStr">
        <is>
          <t>Château Léoville Las Cases</t>
        </is>
      </c>
      <c r="D477" t="inlineStr">
        <is>
          <t>2020</t>
        </is>
      </c>
      <c r="E477" t="inlineStr">
        <is>
          <t>750</t>
        </is>
      </c>
      <c r="G477" s="8" t="n">
        <v>3565.44</v>
      </c>
    </row>
    <row r="478">
      <c r="A478" t="inlineStr">
        <is>
          <t>Super second</t>
        </is>
      </c>
      <c r="B478" t="inlineStr">
        <is>
          <t>World Wine</t>
        </is>
      </c>
      <c r="C478" t="inlineStr">
        <is>
          <t>Château Pichon-Longueville Comtesse de Lalande</t>
        </is>
      </c>
      <c r="D478" t="inlineStr">
        <is>
          <t>2016</t>
        </is>
      </c>
      <c r="E478" t="inlineStr">
        <is>
          <t>750</t>
        </is>
      </c>
      <c r="G478" s="8" t="n">
        <v>3559.5</v>
      </c>
    </row>
    <row r="479">
      <c r="A479" t="inlineStr">
        <is>
          <t>Super second</t>
        </is>
      </c>
      <c r="B479" t="inlineStr">
        <is>
          <t>Del Maipo</t>
        </is>
      </c>
      <c r="C479" t="inlineStr">
        <is>
          <t>FRANCE SAINT JULIEN CHATEAU LEOVILLE LAS CASES 1970 750ML</t>
        </is>
      </c>
      <c r="D479" t="inlineStr">
        <is>
          <t>1970</t>
        </is>
      </c>
      <c r="E479" t="inlineStr"/>
      <c r="F479" t="n">
        <v>6</v>
      </c>
      <c r="G479" s="8" t="n">
        <v>3375.68</v>
      </c>
    </row>
    <row r="480">
      <c r="A480" t="inlineStr">
        <is>
          <t>Super second</t>
        </is>
      </c>
      <c r="B480" t="inlineStr">
        <is>
          <t>Del Maipo</t>
        </is>
      </c>
      <c r="C480" t="inlineStr">
        <is>
          <t>FRANCE GRAVES CHATEAU PAPE CLEMENT BC 1997 750ML</t>
        </is>
      </c>
      <c r="D480" t="inlineStr">
        <is>
          <t>1997</t>
        </is>
      </c>
      <c r="E480" t="inlineStr"/>
      <c r="F480" t="n">
        <v>3</v>
      </c>
      <c r="G480" s="8" t="n">
        <v>3361.05</v>
      </c>
    </row>
    <row r="481">
      <c r="A481" t="inlineStr">
        <is>
          <t>Super second</t>
        </is>
      </c>
      <c r="B481" t="inlineStr">
        <is>
          <t>World Wine</t>
        </is>
      </c>
      <c r="C481" t="inlineStr">
        <is>
          <t>Château Palmer</t>
        </is>
      </c>
      <c r="D481" t="inlineStr">
        <is>
          <t>2019</t>
        </is>
      </c>
      <c r="E481" t="inlineStr">
        <is>
          <t>750</t>
        </is>
      </c>
      <c r="G481" s="8" t="n">
        <v>3335.04</v>
      </c>
    </row>
    <row r="482">
      <c r="A482" t="inlineStr">
        <is>
          <t>Super second</t>
        </is>
      </c>
      <c r="B482" t="inlineStr">
        <is>
          <t>Del Maipo</t>
        </is>
      </c>
      <c r="C482" t="inlineStr">
        <is>
          <t>FRANCE PAUILLAC CHATEAU PICHON LONGUEVILLE BARON 1993 750ML</t>
        </is>
      </c>
      <c r="D482" t="inlineStr">
        <is>
          <t>1993</t>
        </is>
      </c>
      <c r="E482" t="inlineStr"/>
      <c r="F482" t="n">
        <v>1</v>
      </c>
      <c r="G482" s="8" t="n">
        <v>3273.38</v>
      </c>
    </row>
    <row r="483">
      <c r="A483" t="inlineStr">
        <is>
          <t>Super second</t>
        </is>
      </c>
      <c r="B483" t="inlineStr">
        <is>
          <t>Del Maipo</t>
        </is>
      </c>
      <c r="C483" t="inlineStr">
        <is>
          <t>FRANCE PAUILLAC CHATEAU PICHON LONGUEVILLE BARON 1979 750ML</t>
        </is>
      </c>
      <c r="D483" t="inlineStr">
        <is>
          <t>1979</t>
        </is>
      </c>
      <c r="E483" t="inlineStr"/>
      <c r="F483" t="n">
        <v>1</v>
      </c>
      <c r="G483" s="8" t="n">
        <v>3263.15</v>
      </c>
    </row>
    <row r="484">
      <c r="A484" t="inlineStr">
        <is>
          <t>Super second</t>
        </is>
      </c>
      <c r="B484" t="inlineStr">
        <is>
          <t>Boisse</t>
        </is>
      </c>
      <c r="C484" t="inlineStr">
        <is>
          <t>CHATEAU SMITH HAUT LAFITTE 2014 1500ML CX MADEIRA 6 UNID</t>
        </is>
      </c>
      <c r="D484" t="inlineStr">
        <is>
          <t>2014</t>
        </is>
      </c>
      <c r="E484" t="inlineStr"/>
      <c r="G484" s="8" t="n">
        <v>3195</v>
      </c>
    </row>
    <row r="485">
      <c r="A485" t="inlineStr">
        <is>
          <t>Super second</t>
        </is>
      </c>
      <c r="B485" t="inlineStr">
        <is>
          <t>World Wine</t>
        </is>
      </c>
      <c r="C485" t="inlineStr">
        <is>
          <t>Château Figeac</t>
        </is>
      </c>
      <c r="D485" t="inlineStr">
        <is>
          <t>2020</t>
        </is>
      </c>
      <c r="E485" t="inlineStr">
        <is>
          <t>750</t>
        </is>
      </c>
      <c r="G485" s="8" t="n">
        <v>3162.24</v>
      </c>
    </row>
    <row r="486">
      <c r="A486" t="inlineStr">
        <is>
          <t>Super second</t>
        </is>
      </c>
      <c r="B486" t="inlineStr">
        <is>
          <t>Del Maipo</t>
        </is>
      </c>
      <c r="C486" t="inlineStr">
        <is>
          <t>FRANCE PAUILLAC CHATEAU PICHON LONGUEVILLE BARON 1978 750ML</t>
        </is>
      </c>
      <c r="D486" t="inlineStr">
        <is>
          <t>1978</t>
        </is>
      </c>
      <c r="E486" t="inlineStr"/>
      <c r="F486" t="n">
        <v>1</v>
      </c>
      <c r="G486" s="8" t="n">
        <v>3150.63</v>
      </c>
    </row>
    <row r="487">
      <c r="A487" t="inlineStr">
        <is>
          <t>Super second</t>
        </is>
      </c>
      <c r="B487" t="inlineStr">
        <is>
          <t>Mistral</t>
        </is>
      </c>
      <c r="C487" t="inlineStr">
        <is>
          <t>1.5L CH. DUHART-MILON-ROTHSCHILD 2023 (TTO) (CRU CLASSE (MEDOC/GRAVES)</t>
        </is>
      </c>
      <c r="D487" t="inlineStr">
        <is>
          <t>2023</t>
        </is>
      </c>
      <c r="E487" t="inlineStr">
        <is>
          <t>1500ml</t>
        </is>
      </c>
      <c r="F487" t="n">
        <v>6</v>
      </c>
      <c r="G487" s="8" t="n">
        <v>3117.32</v>
      </c>
    </row>
    <row r="488">
      <c r="A488" t="inlineStr">
        <is>
          <t>Super second</t>
        </is>
      </c>
      <c r="B488" t="inlineStr">
        <is>
          <t>Del Maipo</t>
        </is>
      </c>
      <c r="C488" t="inlineStr">
        <is>
          <t>FRANCE GRAVES CHATEAU PAPE CLEMENT TINTO 1997 750ML</t>
        </is>
      </c>
      <c r="D488" t="inlineStr">
        <is>
          <t>1997</t>
        </is>
      </c>
      <c r="E488" t="inlineStr"/>
      <c r="F488" t="n">
        <v>1</v>
      </c>
      <c r="G488" s="8" t="n">
        <v>3055.5</v>
      </c>
    </row>
    <row r="489">
      <c r="A489" t="inlineStr">
        <is>
          <t>Super second</t>
        </is>
      </c>
      <c r="B489" t="inlineStr">
        <is>
          <t>Del Maipo</t>
        </is>
      </c>
      <c r="C489" t="inlineStr">
        <is>
          <t>CHATEAU LYNCH BAGES - AOC PAUILLAC GRAND CRU CLASSE</t>
        </is>
      </c>
      <c r="D489" t="inlineStr">
        <is>
          <t>2014</t>
        </is>
      </c>
      <c r="E489" t="inlineStr">
        <is>
          <t>750ml</t>
        </is>
      </c>
      <c r="G489" s="8" t="n">
        <v>3044.68</v>
      </c>
    </row>
    <row r="490">
      <c r="A490" t="inlineStr">
        <is>
          <t>Super second</t>
        </is>
      </c>
      <c r="B490" t="inlineStr">
        <is>
          <t>World Wine</t>
        </is>
      </c>
      <c r="C490" t="inlineStr">
        <is>
          <t>Château Ducru-Beaucaillou</t>
        </is>
      </c>
      <c r="D490" t="inlineStr">
        <is>
          <t>2016</t>
        </is>
      </c>
      <c r="E490" t="inlineStr">
        <is>
          <t>750</t>
        </is>
      </c>
      <c r="G490" s="8" t="n">
        <v>2989.44</v>
      </c>
    </row>
    <row r="491">
      <c r="A491" t="inlineStr">
        <is>
          <t>Super second</t>
        </is>
      </c>
      <c r="B491" t="inlineStr">
        <is>
          <t>World Wine</t>
        </is>
      </c>
      <c r="C491" t="inlineStr">
        <is>
          <t>Château Figeac</t>
        </is>
      </c>
      <c r="D491" t="inlineStr">
        <is>
          <t>2019</t>
        </is>
      </c>
      <c r="E491" t="inlineStr">
        <is>
          <t>750</t>
        </is>
      </c>
      <c r="G491" s="8" t="n">
        <v>2989.44</v>
      </c>
    </row>
    <row r="492">
      <c r="A492" t="inlineStr">
        <is>
          <t>Super second</t>
        </is>
      </c>
      <c r="B492" t="inlineStr">
        <is>
          <t>Del Maipo</t>
        </is>
      </c>
      <c r="C492" t="inlineStr">
        <is>
          <t>FRANCE GRAVES CHATEAU PAPE CLEMENT 1984 750ML</t>
        </is>
      </c>
      <c r="D492" t="inlineStr">
        <is>
          <t>1984</t>
        </is>
      </c>
      <c r="E492" t="inlineStr"/>
      <c r="F492" t="n">
        <v>1</v>
      </c>
      <c r="G492" s="8" t="n">
        <v>2966.5</v>
      </c>
    </row>
    <row r="493">
      <c r="A493" t="inlineStr">
        <is>
          <t>Super second</t>
        </is>
      </c>
      <c r="B493" t="inlineStr">
        <is>
          <t>Del Maipo</t>
        </is>
      </c>
      <c r="C493" t="inlineStr">
        <is>
          <t>FRANCE SAINT ESTEPHE CHATEAU MONTROSE 1991 750ML</t>
        </is>
      </c>
      <c r="D493" t="inlineStr">
        <is>
          <t>1991</t>
        </is>
      </c>
      <c r="E493" t="inlineStr"/>
      <c r="F493" t="n">
        <v>10</v>
      </c>
      <c r="G493" s="8" t="n">
        <v>2966.5</v>
      </c>
    </row>
    <row r="494">
      <c r="A494" t="inlineStr">
        <is>
          <t>Super second</t>
        </is>
      </c>
      <c r="B494" t="inlineStr">
        <is>
          <t>World Wine</t>
        </is>
      </c>
      <c r="C494" t="inlineStr">
        <is>
          <t>Château Valandraud</t>
        </is>
      </c>
      <c r="D494" t="inlineStr">
        <is>
          <t>1997</t>
        </is>
      </c>
      <c r="E494" t="inlineStr">
        <is>
          <t>750</t>
        </is>
      </c>
      <c r="G494" s="8" t="n">
        <v>2955.67</v>
      </c>
    </row>
    <row r="495">
      <c r="A495" t="inlineStr">
        <is>
          <t>Super second</t>
        </is>
      </c>
      <c r="B495" t="inlineStr">
        <is>
          <t>Del Maipo</t>
        </is>
      </c>
      <c r="C495" t="inlineStr">
        <is>
          <t>CHATEAU LYNCH BAGES - AOC PAUILLAC GRAND CRU CLASSE</t>
        </is>
      </c>
      <c r="D495" t="inlineStr">
        <is>
          <t>2021</t>
        </is>
      </c>
      <c r="E495" t="inlineStr">
        <is>
          <t>750ml</t>
        </is>
      </c>
      <c r="G495" s="8" t="n">
        <v>2951.48</v>
      </c>
    </row>
    <row r="496">
      <c r="A496" t="inlineStr">
        <is>
          <t>Super second</t>
        </is>
      </c>
      <c r="B496" t="inlineStr">
        <is>
          <t>Del Maipo</t>
        </is>
      </c>
      <c r="C496" t="inlineStr">
        <is>
          <t>CHATEAU COS D ESTOURNELL -  AOC - SAINT ESTEPHE GRAND CRU CLASSE</t>
        </is>
      </c>
      <c r="D496" t="inlineStr">
        <is>
          <t>2017</t>
        </is>
      </c>
      <c r="E496" t="inlineStr">
        <is>
          <t>750ml</t>
        </is>
      </c>
      <c r="G496" s="8" t="n">
        <v>2929.25</v>
      </c>
    </row>
    <row r="497">
      <c r="A497" t="inlineStr">
        <is>
          <t>Super second</t>
        </is>
      </c>
      <c r="B497" t="inlineStr">
        <is>
          <t>World Wine</t>
        </is>
      </c>
      <c r="C497" t="inlineStr">
        <is>
          <t>Château Léoville Las Cases</t>
        </is>
      </c>
      <c r="D497" t="inlineStr">
        <is>
          <t>2015</t>
        </is>
      </c>
      <c r="E497" t="inlineStr">
        <is>
          <t>750</t>
        </is>
      </c>
      <c r="G497" s="8" t="n">
        <v>2874.24</v>
      </c>
    </row>
    <row r="498">
      <c r="A498" t="inlineStr">
        <is>
          <t>Super second</t>
        </is>
      </c>
      <c r="B498" t="inlineStr">
        <is>
          <t>Del Maipo</t>
        </is>
      </c>
      <c r="C498" t="inlineStr">
        <is>
          <t>FRANCE GRAVES CHATEAU PAPE CLEMENT 1981 750ML</t>
        </is>
      </c>
      <c r="D498" t="inlineStr">
        <is>
          <t>1981</t>
        </is>
      </c>
      <c r="E498" t="inlineStr"/>
      <c r="F498" t="n">
        <v>1</v>
      </c>
      <c r="G498" s="8" t="n">
        <v>2864.21</v>
      </c>
    </row>
    <row r="499">
      <c r="A499" t="inlineStr">
        <is>
          <t>Super second</t>
        </is>
      </c>
      <c r="B499" t="inlineStr">
        <is>
          <t>Del Maipo</t>
        </is>
      </c>
      <c r="C499" t="inlineStr">
        <is>
          <t>BERNARD MAGREZ CHATEAU PAPE CLEMENT AOC PESSAC LEOGNAN</t>
        </is>
      </c>
      <c r="D499" t="inlineStr">
        <is>
          <t>2018</t>
        </is>
      </c>
      <c r="E499" t="inlineStr">
        <is>
          <t>750ml</t>
        </is>
      </c>
      <c r="G499" s="8" t="n">
        <v>2821.95</v>
      </c>
    </row>
    <row r="500">
      <c r="A500" t="inlineStr">
        <is>
          <t>Super second</t>
        </is>
      </c>
      <c r="B500" t="inlineStr">
        <is>
          <t>World Wine</t>
        </is>
      </c>
      <c r="C500" t="inlineStr">
        <is>
          <t>Château Léoville Las Cases</t>
        </is>
      </c>
      <c r="D500" t="inlineStr">
        <is>
          <t>2019</t>
        </is>
      </c>
      <c r="E500" t="inlineStr">
        <is>
          <t>750</t>
        </is>
      </c>
      <c r="G500" s="8" t="n">
        <v>2816.64</v>
      </c>
    </row>
    <row r="501">
      <c r="A501" t="inlineStr">
        <is>
          <t>Super second</t>
        </is>
      </c>
      <c r="B501" t="inlineStr">
        <is>
          <t>World Wine</t>
        </is>
      </c>
      <c r="C501" t="inlineStr">
        <is>
          <t>Château Ducru-Beaucaillou</t>
        </is>
      </c>
      <c r="D501" t="inlineStr">
        <is>
          <t>2015</t>
        </is>
      </c>
      <c r="E501" t="inlineStr">
        <is>
          <t>750</t>
        </is>
      </c>
      <c r="G501" s="8" t="n">
        <v>2810.88</v>
      </c>
    </row>
    <row r="502">
      <c r="A502" t="inlineStr">
        <is>
          <t>Super second</t>
        </is>
      </c>
      <c r="B502" t="inlineStr">
        <is>
          <t>Del Maipo</t>
        </is>
      </c>
      <c r="C502" t="inlineStr">
        <is>
          <t>FRANCE GRAVES CHATEAU PAPE CLEMENT BRANCO 1993 750ML</t>
        </is>
      </c>
      <c r="D502" t="inlineStr">
        <is>
          <t>1993</t>
        </is>
      </c>
      <c r="E502" t="inlineStr"/>
      <c r="F502" t="n">
        <v>1</v>
      </c>
      <c r="G502" s="8" t="n">
        <v>2761.92</v>
      </c>
    </row>
    <row r="503">
      <c r="A503" t="inlineStr">
        <is>
          <t>Super second</t>
        </is>
      </c>
      <c r="B503" t="inlineStr">
        <is>
          <t>Del Maipo</t>
        </is>
      </c>
      <c r="C503" t="inlineStr">
        <is>
          <t>FRANCE GRAVES CHATEAU PAPE CLEMENT TINTO 1993 750ML</t>
        </is>
      </c>
      <c r="D503" t="inlineStr">
        <is>
          <t>1993</t>
        </is>
      </c>
      <c r="E503" t="inlineStr"/>
      <c r="F503" t="n">
        <v>1</v>
      </c>
      <c r="G503" s="8" t="n">
        <v>2761.92</v>
      </c>
    </row>
    <row r="504">
      <c r="A504" t="inlineStr">
        <is>
          <t>Super second</t>
        </is>
      </c>
      <c r="B504" t="inlineStr">
        <is>
          <t>Del Maipo</t>
        </is>
      </c>
      <c r="C504" t="inlineStr">
        <is>
          <t>FRANCE GRAVES CHATEAU PAPE CLEMENT TINTO 1994 750ML</t>
        </is>
      </c>
      <c r="D504" t="inlineStr">
        <is>
          <t>1994</t>
        </is>
      </c>
      <c r="E504" t="inlineStr"/>
      <c r="F504" t="n">
        <v>10</v>
      </c>
      <c r="G504" s="8" t="n">
        <v>2761.92</v>
      </c>
    </row>
    <row r="505">
      <c r="A505" t="inlineStr">
        <is>
          <t>Super second</t>
        </is>
      </c>
      <c r="B505" t="inlineStr">
        <is>
          <t>Del Maipo</t>
        </is>
      </c>
      <c r="C505" t="inlineStr">
        <is>
          <t>CHATEAU MONTROSE - AOC SAINT ESTEPHE</t>
        </is>
      </c>
      <c r="D505" t="inlineStr">
        <is>
          <t>2021</t>
        </is>
      </c>
      <c r="E505" t="inlineStr">
        <is>
          <t>750ml</t>
        </is>
      </c>
      <c r="G505" s="8" t="n">
        <v>2753.12</v>
      </c>
    </row>
    <row r="506">
      <c r="A506" t="inlineStr">
        <is>
          <t>Super second</t>
        </is>
      </c>
      <c r="B506" t="inlineStr">
        <is>
          <t>World Wine</t>
        </is>
      </c>
      <c r="C506" t="inlineStr">
        <is>
          <t>Château Pichon-Longueville Comtesse de Lalande</t>
        </is>
      </c>
      <c r="D506" t="inlineStr">
        <is>
          <t>2015</t>
        </is>
      </c>
      <c r="E506" t="inlineStr">
        <is>
          <t>750</t>
        </is>
      </c>
      <c r="G506" s="8" t="n">
        <v>2736</v>
      </c>
    </row>
    <row r="507">
      <c r="A507" t="inlineStr">
        <is>
          <t>Super second</t>
        </is>
      </c>
      <c r="B507" t="inlineStr">
        <is>
          <t>Del Maipo</t>
        </is>
      </c>
      <c r="C507" t="inlineStr">
        <is>
          <t>CHATEAU PICHON BARON LONGUEVILLE 2ÉME GRAND CRU CLASSE - AOC PAUILLAC</t>
        </is>
      </c>
      <c r="D507" t="inlineStr">
        <is>
          <t>2017</t>
        </is>
      </c>
      <c r="E507" t="inlineStr">
        <is>
          <t>750ml</t>
        </is>
      </c>
      <c r="G507" s="8" t="n">
        <v>2728.22</v>
      </c>
    </row>
    <row r="508">
      <c r="A508" t="inlineStr">
        <is>
          <t>Super second</t>
        </is>
      </c>
      <c r="B508" t="inlineStr">
        <is>
          <t>Del Maipo</t>
        </is>
      </c>
      <c r="C508" t="inlineStr">
        <is>
          <t>FRANCE SAINT JULIEN CHATEAU LEOVILLE POYFERRE 1992 750ML</t>
        </is>
      </c>
      <c r="D508" t="inlineStr">
        <is>
          <t>1992</t>
        </is>
      </c>
      <c r="E508" t="inlineStr"/>
      <c r="F508" t="n">
        <v>3</v>
      </c>
      <c r="G508" s="8" t="n">
        <v>2710.77</v>
      </c>
    </row>
    <row r="509">
      <c r="A509" t="inlineStr">
        <is>
          <t>Super second</t>
        </is>
      </c>
      <c r="B509" t="inlineStr">
        <is>
          <t>World Wine</t>
        </is>
      </c>
      <c r="C509" t="inlineStr">
        <is>
          <t>Château Léoville Las Cases</t>
        </is>
      </c>
      <c r="D509" t="inlineStr">
        <is>
          <t>2017</t>
        </is>
      </c>
      <c r="E509" t="inlineStr">
        <is>
          <t>750</t>
        </is>
      </c>
      <c r="G509" s="8" t="n">
        <v>2701.44</v>
      </c>
    </row>
    <row r="510">
      <c r="A510" t="inlineStr">
        <is>
          <t>Super second</t>
        </is>
      </c>
      <c r="B510" t="inlineStr">
        <is>
          <t>Tanyno</t>
        </is>
      </c>
      <c r="C510" t="inlineStr">
        <is>
          <t>COMTESSE DE LALANDE — CHATEAU PICHON LONGUEVILLE COMTESSE DE LALANDE</t>
        </is>
      </c>
      <c r="D510" t="inlineStr">
        <is>
          <t>2006</t>
        </is>
      </c>
      <c r="E510" t="inlineStr"/>
      <c r="F510" t="n">
        <v>24</v>
      </c>
      <c r="G510" s="8" t="n">
        <v>2682.37</v>
      </c>
    </row>
    <row r="511">
      <c r="A511" t="inlineStr">
        <is>
          <t>Super second</t>
        </is>
      </c>
      <c r="B511" t="inlineStr">
        <is>
          <t>Del Maipo</t>
        </is>
      </c>
      <c r="C511" t="inlineStr">
        <is>
          <t>CHATEAU PICHON LONGUEVILLE COMTESSE DE LALANDE - AOC PAUILLAC GRAND CRU CLASSE</t>
        </is>
      </c>
      <c r="D511" t="inlineStr">
        <is>
          <t>2017</t>
        </is>
      </c>
      <c r="E511" t="inlineStr">
        <is>
          <t>750ml</t>
        </is>
      </c>
      <c r="G511" s="8" t="n">
        <v>2670.79</v>
      </c>
    </row>
    <row r="512">
      <c r="A512" t="inlineStr">
        <is>
          <t>Super second</t>
        </is>
      </c>
      <c r="B512" t="inlineStr">
        <is>
          <t>Del Maipo</t>
        </is>
      </c>
      <c r="C512" t="inlineStr">
        <is>
          <t>FRANCE GRAVES CHATEAU PAPE CLEMENT TINTO 1996 750ML</t>
        </is>
      </c>
      <c r="D512" t="inlineStr">
        <is>
          <t>1996</t>
        </is>
      </c>
      <c r="E512" t="inlineStr"/>
      <c r="F512" t="n">
        <v>5</v>
      </c>
      <c r="G512" s="8" t="n">
        <v>2659.62</v>
      </c>
    </row>
    <row r="513">
      <c r="A513" t="inlineStr">
        <is>
          <t>Super second</t>
        </is>
      </c>
      <c r="B513" t="inlineStr">
        <is>
          <t>Del Maipo</t>
        </is>
      </c>
      <c r="C513" t="inlineStr">
        <is>
          <t>FRANCE SAINT JULIEN CHATEAU LEOVILLE POYFERRE 1994 750ML</t>
        </is>
      </c>
      <c r="D513" t="inlineStr">
        <is>
          <t>1994</t>
        </is>
      </c>
      <c r="E513" t="inlineStr"/>
      <c r="F513" t="n">
        <v>5</v>
      </c>
      <c r="G513" s="8" t="n">
        <v>2659.62</v>
      </c>
    </row>
    <row r="514">
      <c r="A514" t="inlineStr">
        <is>
          <t>Super second</t>
        </is>
      </c>
      <c r="B514" t="inlineStr">
        <is>
          <t>Del Maipo</t>
        </is>
      </c>
      <c r="C514" t="inlineStr">
        <is>
          <t>FRANCE SAINT JULIEN CHATEAU LEOVILLE POYFERRE 1993 750ML</t>
        </is>
      </c>
      <c r="D514" t="inlineStr">
        <is>
          <t>1993</t>
        </is>
      </c>
      <c r="E514" t="inlineStr"/>
      <c r="F514" t="n">
        <v>1</v>
      </c>
      <c r="G514" s="8" t="n">
        <v>2608.48</v>
      </c>
    </row>
    <row r="515">
      <c r="A515" t="inlineStr">
        <is>
          <t>Super second</t>
        </is>
      </c>
      <c r="B515" t="inlineStr">
        <is>
          <t>Mistral</t>
        </is>
      </c>
      <c r="C515" t="inlineStr">
        <is>
          <t>MG CH. DUHART-MILON-ROTHSCHILD 2012 (TTO) (CRU CLASSE (MEDOC/GRAVES)</t>
        </is>
      </c>
      <c r="D515" t="inlineStr">
        <is>
          <t>2012</t>
        </is>
      </c>
      <c r="E515" t="inlineStr">
        <is>
          <t>1500ml</t>
        </is>
      </c>
      <c r="F515" t="n">
        <v>4</v>
      </c>
      <c r="G515" s="8" t="n">
        <v>2607.18</v>
      </c>
    </row>
    <row r="516">
      <c r="A516" t="inlineStr">
        <is>
          <t>Super second</t>
        </is>
      </c>
      <c r="B516" t="inlineStr">
        <is>
          <t>Mistral</t>
        </is>
      </c>
      <c r="C516" t="inlineStr">
        <is>
          <t>CH. PAPE CLEMENT 2007 (TTO) (CRU CLASSE (MEDOC/GRAVES) (COM SELO)</t>
        </is>
      </c>
      <c r="D516" t="inlineStr">
        <is>
          <t>2007</t>
        </is>
      </c>
      <c r="E516" t="inlineStr">
        <is>
          <t>750ml</t>
        </is>
      </c>
      <c r="F516" t="n">
        <v>33</v>
      </c>
      <c r="G516" s="8" t="n">
        <v>2562.37</v>
      </c>
    </row>
    <row r="517">
      <c r="A517" t="inlineStr">
        <is>
          <t>Super second</t>
        </is>
      </c>
      <c r="B517" t="inlineStr">
        <is>
          <t>Mistral</t>
        </is>
      </c>
      <c r="C517" t="inlineStr">
        <is>
          <t>CH. LEOVILLE-POYFERRE 2010 (TTO) (CRU CLASSE (MEDOC/GRAVES)</t>
        </is>
      </c>
      <c r="D517" t="inlineStr">
        <is>
          <t>2010</t>
        </is>
      </c>
      <c r="E517" t="inlineStr">
        <is>
          <t>750ml</t>
        </is>
      </c>
      <c r="F517" t="n">
        <v>30</v>
      </c>
      <c r="G517" s="8" t="n">
        <v>2558.54</v>
      </c>
    </row>
    <row r="518">
      <c r="A518" t="inlineStr">
        <is>
          <t>Super second</t>
        </is>
      </c>
      <c r="B518" t="inlineStr">
        <is>
          <t>Mistral</t>
        </is>
      </c>
      <c r="C518" t="inlineStr">
        <is>
          <t>CHATEAU PICHON LONGUEVILLE COMTESSE DE LALANDE 2019 (TTO) (CRU CLASSE (MEDOC/GRAVES)</t>
        </is>
      </c>
      <c r="D518" t="inlineStr">
        <is>
          <t>2019</t>
        </is>
      </c>
      <c r="E518" t="inlineStr">
        <is>
          <t>750ml</t>
        </is>
      </c>
      <c r="F518" t="n">
        <v>1</v>
      </c>
      <c r="G518" s="8" t="n">
        <v>2558.54</v>
      </c>
    </row>
    <row r="519">
      <c r="A519" t="inlineStr">
        <is>
          <t>Super second</t>
        </is>
      </c>
      <c r="B519" t="inlineStr">
        <is>
          <t>World Wine</t>
        </is>
      </c>
      <c r="C519" t="inlineStr">
        <is>
          <t>Château Léoville Las Cases</t>
        </is>
      </c>
      <c r="D519" t="inlineStr">
        <is>
          <t>2006</t>
        </is>
      </c>
      <c r="E519" t="inlineStr">
        <is>
          <t>750</t>
        </is>
      </c>
      <c r="G519" s="8" t="n">
        <v>2528.64</v>
      </c>
    </row>
    <row r="520">
      <c r="A520" t="inlineStr">
        <is>
          <t>Super second</t>
        </is>
      </c>
      <c r="B520" t="inlineStr">
        <is>
          <t>World Wine</t>
        </is>
      </c>
      <c r="C520" t="inlineStr">
        <is>
          <t>Château Léoville Las Cases</t>
        </is>
      </c>
      <c r="D520" t="inlineStr">
        <is>
          <t>2008</t>
        </is>
      </c>
      <c r="E520" t="inlineStr">
        <is>
          <t>750</t>
        </is>
      </c>
      <c r="G520" s="8" t="n">
        <v>2528.64</v>
      </c>
    </row>
    <row r="521">
      <c r="A521" t="inlineStr">
        <is>
          <t>Super second</t>
        </is>
      </c>
      <c r="B521" t="inlineStr">
        <is>
          <t>World Wine</t>
        </is>
      </c>
      <c r="C521" t="inlineStr">
        <is>
          <t>Château Pichon Baron</t>
        </is>
      </c>
      <c r="D521" t="inlineStr">
        <is>
          <t>2010</t>
        </is>
      </c>
      <c r="E521" t="inlineStr">
        <is>
          <t>750</t>
        </is>
      </c>
      <c r="G521" s="8" t="n">
        <v>2476.06</v>
      </c>
    </row>
    <row r="522">
      <c r="A522" t="inlineStr">
        <is>
          <t>Super second</t>
        </is>
      </c>
      <c r="B522" t="inlineStr">
        <is>
          <t>World Wine</t>
        </is>
      </c>
      <c r="C522" t="inlineStr">
        <is>
          <t>Château Pichon-Longueville Comtesse de Lalande</t>
        </is>
      </c>
      <c r="D522" t="inlineStr">
        <is>
          <t>2019</t>
        </is>
      </c>
      <c r="E522" t="inlineStr">
        <is>
          <t>750</t>
        </is>
      </c>
      <c r="G522" s="8" t="n">
        <v>2471.04</v>
      </c>
    </row>
    <row r="523">
      <c r="A523" t="inlineStr">
        <is>
          <t>Super second</t>
        </is>
      </c>
      <c r="B523" t="inlineStr">
        <is>
          <t>Mistral</t>
        </is>
      </c>
      <c r="C523" t="inlineStr">
        <is>
          <t>CH. COS D ESTOURNEL 2014 (TTO) (CRU CLASSE (MEDOC/GRAVES)</t>
        </is>
      </c>
      <c r="D523" t="inlineStr">
        <is>
          <t>2014</t>
        </is>
      </c>
      <c r="E523" t="inlineStr">
        <is>
          <t>750ml</t>
        </is>
      </c>
      <c r="F523" t="n">
        <v>1</v>
      </c>
      <c r="G523" s="8" t="n">
        <v>2463.72</v>
      </c>
    </row>
    <row r="524">
      <c r="A524" t="inlineStr">
        <is>
          <t>Super second</t>
        </is>
      </c>
      <c r="B524" t="inlineStr">
        <is>
          <t>World Wine</t>
        </is>
      </c>
      <c r="C524" t="inlineStr">
        <is>
          <t>Château Ducru-Beaucaillou</t>
        </is>
      </c>
      <c r="D524" t="inlineStr">
        <is>
          <t>2010</t>
        </is>
      </c>
      <c r="E524" t="inlineStr">
        <is>
          <t>750</t>
        </is>
      </c>
      <c r="G524" s="8" t="n">
        <v>2462.68</v>
      </c>
    </row>
    <row r="525">
      <c r="A525" t="inlineStr">
        <is>
          <t>Super second</t>
        </is>
      </c>
      <c r="B525" t="inlineStr">
        <is>
          <t>Del Maipo</t>
        </is>
      </c>
      <c r="C525" t="inlineStr">
        <is>
          <t>FRANCE GRAVES CHATEAU PAPE CLEMENT 1973 750ML</t>
        </is>
      </c>
      <c r="D525" t="inlineStr">
        <is>
          <t>1973</t>
        </is>
      </c>
      <c r="E525" t="inlineStr"/>
      <c r="F525" t="n">
        <v>10</v>
      </c>
      <c r="G525" s="8" t="n">
        <v>2455.04</v>
      </c>
    </row>
    <row r="526">
      <c r="A526" t="inlineStr">
        <is>
          <t>Super second</t>
        </is>
      </c>
      <c r="B526" t="inlineStr">
        <is>
          <t>Del Maipo</t>
        </is>
      </c>
      <c r="C526" t="inlineStr">
        <is>
          <t>FRANCE GRAVES CHATEAU SMITH HAUT LAFITTE 1979 750ML</t>
        </is>
      </c>
      <c r="D526" t="inlineStr">
        <is>
          <t>1979</t>
        </is>
      </c>
      <c r="E526" t="inlineStr"/>
      <c r="F526" t="n">
        <v>1</v>
      </c>
      <c r="G526" s="8" t="n">
        <v>2455.04</v>
      </c>
    </row>
    <row r="527">
      <c r="A527" t="inlineStr">
        <is>
          <t>Super second</t>
        </is>
      </c>
      <c r="B527" t="inlineStr">
        <is>
          <t>World Wine</t>
        </is>
      </c>
      <c r="C527" t="inlineStr">
        <is>
          <t>Château Tertre Roteboeuf</t>
        </is>
      </c>
      <c r="D527" t="inlineStr">
        <is>
          <t>2006</t>
        </is>
      </c>
      <c r="E527" t="inlineStr">
        <is>
          <t>750</t>
        </is>
      </c>
      <c r="G527" s="8" t="n">
        <v>2342.23</v>
      </c>
    </row>
    <row r="528">
      <c r="A528" t="inlineStr">
        <is>
          <t>Super second</t>
        </is>
      </c>
      <c r="B528" t="inlineStr">
        <is>
          <t>World Wine</t>
        </is>
      </c>
      <c r="C528" t="inlineStr">
        <is>
          <t>Château Léoville Las Cases</t>
        </is>
      </c>
      <c r="D528" t="inlineStr">
        <is>
          <t>2011</t>
        </is>
      </c>
      <c r="E528" t="inlineStr">
        <is>
          <t>750</t>
        </is>
      </c>
      <c r="G528" s="8" t="n">
        <v>2298.24</v>
      </c>
    </row>
    <row r="529">
      <c r="A529" t="inlineStr">
        <is>
          <t>Super second</t>
        </is>
      </c>
      <c r="B529" t="inlineStr">
        <is>
          <t>World Wine</t>
        </is>
      </c>
      <c r="C529" t="inlineStr">
        <is>
          <t>Château Pichon Baron</t>
        </is>
      </c>
      <c r="D529" t="inlineStr">
        <is>
          <t>2014</t>
        </is>
      </c>
      <c r="E529" t="inlineStr">
        <is>
          <t>750</t>
        </is>
      </c>
      <c r="G529" s="8" t="n">
        <v>2298.24</v>
      </c>
    </row>
    <row r="530">
      <c r="A530" t="inlineStr">
        <is>
          <t>Super second</t>
        </is>
      </c>
      <c r="B530" t="inlineStr">
        <is>
          <t>World Wine</t>
        </is>
      </c>
      <c r="C530" t="inlineStr">
        <is>
          <t>Château Ducru-Beaucaillou</t>
        </is>
      </c>
      <c r="D530" t="inlineStr">
        <is>
          <t>2017</t>
        </is>
      </c>
      <c r="E530" t="inlineStr">
        <is>
          <t>750</t>
        </is>
      </c>
      <c r="G530" s="8" t="n">
        <v>2292.48</v>
      </c>
    </row>
    <row r="531">
      <c r="A531" t="inlineStr">
        <is>
          <t>Super second</t>
        </is>
      </c>
      <c r="B531" t="inlineStr">
        <is>
          <t>World Wine</t>
        </is>
      </c>
      <c r="C531" t="inlineStr">
        <is>
          <t>Château Pichon Baron</t>
        </is>
      </c>
      <c r="D531" t="inlineStr">
        <is>
          <t>2018</t>
        </is>
      </c>
      <c r="E531" t="inlineStr">
        <is>
          <t>750</t>
        </is>
      </c>
      <c r="G531" s="8" t="n">
        <v>2240.64</v>
      </c>
    </row>
    <row r="532">
      <c r="A532" t="inlineStr">
        <is>
          <t>Super second</t>
        </is>
      </c>
      <c r="B532" t="inlineStr">
        <is>
          <t>World Wine</t>
        </is>
      </c>
      <c r="C532" t="inlineStr">
        <is>
          <t>Château Pichon Baron</t>
        </is>
      </c>
      <c r="D532" t="inlineStr">
        <is>
          <t>2019</t>
        </is>
      </c>
      <c r="E532" t="inlineStr">
        <is>
          <t>750</t>
        </is>
      </c>
      <c r="G532" s="8" t="n">
        <v>2240.64</v>
      </c>
    </row>
    <row r="533">
      <c r="A533" t="inlineStr">
        <is>
          <t>Super second</t>
        </is>
      </c>
      <c r="B533" t="inlineStr">
        <is>
          <t>World Wine</t>
        </is>
      </c>
      <c r="C533" t="inlineStr">
        <is>
          <t>Château Pichon Baron</t>
        </is>
      </c>
      <c r="D533" t="inlineStr">
        <is>
          <t>2020</t>
        </is>
      </c>
      <c r="E533" t="inlineStr">
        <is>
          <t>750</t>
        </is>
      </c>
      <c r="G533" s="8" t="n">
        <v>2240.64</v>
      </c>
    </row>
    <row r="534">
      <c r="A534" t="inlineStr">
        <is>
          <t>Super second</t>
        </is>
      </c>
      <c r="B534" t="inlineStr">
        <is>
          <t>Boisse</t>
        </is>
      </c>
      <c r="C534" t="inlineStr">
        <is>
          <t>CH COS DESTOURNEL 2011</t>
        </is>
      </c>
      <c r="D534" t="inlineStr">
        <is>
          <t>2011</t>
        </is>
      </c>
      <c r="E534" t="inlineStr"/>
      <c r="G534" s="8" t="n">
        <v>2236.5</v>
      </c>
    </row>
    <row r="535">
      <c r="A535" t="inlineStr">
        <is>
          <t>Super second</t>
        </is>
      </c>
      <c r="B535" t="inlineStr">
        <is>
          <t>Del Maipo</t>
        </is>
      </c>
      <c r="C535" t="inlineStr">
        <is>
          <t>CHATEAU FIGEAC - AOC SINT EMILION GRAND CRU</t>
        </is>
      </c>
      <c r="D535" t="inlineStr">
        <is>
          <t>2013</t>
        </is>
      </c>
      <c r="E535" t="inlineStr">
        <is>
          <t>750ml</t>
        </is>
      </c>
      <c r="G535" s="8" t="n">
        <v>2211.3</v>
      </c>
    </row>
    <row r="536">
      <c r="A536" t="inlineStr">
        <is>
          <t>Super second</t>
        </is>
      </c>
      <c r="B536" t="inlineStr">
        <is>
          <t>Mistral</t>
        </is>
      </c>
      <c r="C536" t="inlineStr">
        <is>
          <t>CH. LEOVILLE-BARTON 2010 (TTO) (CRU CLASSE (MEDOC/GRAVES)</t>
        </is>
      </c>
      <c r="D536" t="inlineStr">
        <is>
          <t>2010</t>
        </is>
      </c>
      <c r="E536" t="inlineStr">
        <is>
          <t>750ml</t>
        </is>
      </c>
      <c r="F536" t="n">
        <v>2</v>
      </c>
      <c r="G536" s="8" t="n">
        <v>2178.5</v>
      </c>
    </row>
    <row r="537">
      <c r="A537" t="inlineStr">
        <is>
          <t>Super second</t>
        </is>
      </c>
      <c r="B537" t="inlineStr">
        <is>
          <t>World Wine</t>
        </is>
      </c>
      <c r="C537" t="inlineStr">
        <is>
          <t>Château Cos d'Estournel</t>
        </is>
      </c>
      <c r="D537" t="inlineStr">
        <is>
          <t>2017</t>
        </is>
      </c>
      <c r="E537" t="inlineStr">
        <is>
          <t>750</t>
        </is>
      </c>
      <c r="G537" s="8" t="n">
        <v>2177.28</v>
      </c>
    </row>
    <row r="538">
      <c r="A538" t="inlineStr">
        <is>
          <t>Super second</t>
        </is>
      </c>
      <c r="B538" t="inlineStr">
        <is>
          <t>World Wine</t>
        </is>
      </c>
      <c r="C538" t="inlineStr">
        <is>
          <t>Château Pichon Baron</t>
        </is>
      </c>
      <c r="D538" t="inlineStr">
        <is>
          <t>2017</t>
        </is>
      </c>
      <c r="E538" t="inlineStr">
        <is>
          <t>750</t>
        </is>
      </c>
      <c r="G538" s="8" t="n">
        <v>2125.44</v>
      </c>
    </row>
    <row r="539">
      <c r="A539" t="inlineStr">
        <is>
          <t>Super second</t>
        </is>
      </c>
      <c r="B539" t="inlineStr">
        <is>
          <t>Tanyno</t>
        </is>
      </c>
      <c r="C539" t="inlineStr">
        <is>
          <t>CHATEAU VALANDRAUD — CHÂTEAU VALANDRAUD</t>
        </is>
      </c>
      <c r="D539" t="inlineStr">
        <is>
          <t>2002</t>
        </is>
      </c>
      <c r="E539" t="inlineStr"/>
      <c r="F539" t="n">
        <v>45</v>
      </c>
      <c r="G539" s="8" t="n">
        <v>2043.63</v>
      </c>
    </row>
    <row r="540">
      <c r="A540" t="inlineStr">
        <is>
          <t>Super second</t>
        </is>
      </c>
      <c r="B540" t="inlineStr">
        <is>
          <t>World Wine</t>
        </is>
      </c>
      <c r="C540" t="inlineStr">
        <is>
          <t>Château Léoville Las Cases</t>
        </is>
      </c>
      <c r="D540" t="inlineStr">
        <is>
          <t>2007</t>
        </is>
      </c>
      <c r="E540" t="inlineStr">
        <is>
          <t>750</t>
        </is>
      </c>
      <c r="G540" s="8" t="n">
        <v>2041.08</v>
      </c>
    </row>
    <row r="541">
      <c r="A541" t="inlineStr">
        <is>
          <t>Super second</t>
        </is>
      </c>
      <c r="B541" t="inlineStr">
        <is>
          <t>World Wine</t>
        </is>
      </c>
      <c r="C541" t="inlineStr">
        <is>
          <t>Château Pichon-Longueville Comtesse de Lalande</t>
        </is>
      </c>
      <c r="D541" t="inlineStr">
        <is>
          <t>2011</t>
        </is>
      </c>
      <c r="E541" t="inlineStr">
        <is>
          <t>750</t>
        </is>
      </c>
      <c r="G541" s="8" t="n">
        <v>2010.24</v>
      </c>
    </row>
    <row r="542">
      <c r="A542" t="inlineStr">
        <is>
          <t>Super second</t>
        </is>
      </c>
      <c r="B542" t="inlineStr">
        <is>
          <t>World Wine</t>
        </is>
      </c>
      <c r="C542" t="inlineStr">
        <is>
          <t>Château Pichon Baron</t>
        </is>
      </c>
      <c r="D542" t="inlineStr">
        <is>
          <t>2008</t>
        </is>
      </c>
      <c r="E542" t="inlineStr">
        <is>
          <t>750</t>
        </is>
      </c>
      <c r="G542" s="8" t="n">
        <v>2007.62</v>
      </c>
    </row>
    <row r="543">
      <c r="A543" t="inlineStr">
        <is>
          <t>Super second</t>
        </is>
      </c>
      <c r="B543" t="inlineStr">
        <is>
          <t>Del Maipo</t>
        </is>
      </c>
      <c r="C543" t="inlineStr">
        <is>
          <t>FRANCE PAUILLAC CHATEAU LYNCH BAGES 1969 375ML</t>
        </is>
      </c>
      <c r="D543" t="inlineStr">
        <is>
          <t>1969</t>
        </is>
      </c>
      <c r="E543" t="inlineStr"/>
      <c r="F543" t="n">
        <v>29</v>
      </c>
      <c r="G543" s="8" t="n">
        <v>1997.21</v>
      </c>
    </row>
    <row r="544">
      <c r="A544" t="inlineStr">
        <is>
          <t>Super second</t>
        </is>
      </c>
      <c r="B544" t="inlineStr">
        <is>
          <t>Mistral</t>
        </is>
      </c>
      <c r="C544" t="inlineStr">
        <is>
          <t>CH. DUHART-MILON-ROTHSCHILD 2010 (TTO) (CRU CLASSE (MEDOC/GRAVES)</t>
        </is>
      </c>
      <c r="D544" t="inlineStr">
        <is>
          <t>2010</t>
        </is>
      </c>
      <c r="E544" t="inlineStr">
        <is>
          <t>750ml</t>
        </is>
      </c>
      <c r="F544" t="n">
        <v>10</v>
      </c>
      <c r="G544" s="8" t="n">
        <v>1946.62</v>
      </c>
    </row>
    <row r="545">
      <c r="A545" t="inlineStr">
        <is>
          <t>Super second</t>
        </is>
      </c>
      <c r="B545" t="inlineStr">
        <is>
          <t>Mistral</t>
        </is>
      </c>
      <c r="C545" t="inlineStr">
        <is>
          <t>CH. PAPE CLEMENT 2011 (TTO) (CRU CLASSE (MEDOC/GRAVES)</t>
        </is>
      </c>
      <c r="D545" t="inlineStr">
        <is>
          <t>2011</t>
        </is>
      </c>
      <c r="E545" t="inlineStr">
        <is>
          <t>750ml</t>
        </is>
      </c>
      <c r="F545" t="n">
        <v>18</v>
      </c>
      <c r="G545" s="8" t="n">
        <v>1934.93</v>
      </c>
    </row>
    <row r="546">
      <c r="A546" t="inlineStr">
        <is>
          <t>Super second</t>
        </is>
      </c>
      <c r="B546" t="inlineStr">
        <is>
          <t>World Wine</t>
        </is>
      </c>
      <c r="C546" t="inlineStr">
        <is>
          <t>Château Ducru-Beaucaillou</t>
        </is>
      </c>
      <c r="D546" t="inlineStr">
        <is>
          <t>2011</t>
        </is>
      </c>
      <c r="E546" t="inlineStr">
        <is>
          <t>750</t>
        </is>
      </c>
      <c r="G546" s="8" t="n">
        <v>1934.01</v>
      </c>
    </row>
    <row r="547">
      <c r="A547" t="inlineStr">
        <is>
          <t>Super second</t>
        </is>
      </c>
      <c r="B547" t="inlineStr">
        <is>
          <t>Del Maipo</t>
        </is>
      </c>
      <c r="C547" t="inlineStr">
        <is>
          <t>CHATEAU SMITH HAUT LAFITTE - AOC GRAVES</t>
        </is>
      </c>
      <c r="D547" t="inlineStr">
        <is>
          <t>2017</t>
        </is>
      </c>
      <c r="E547" t="inlineStr">
        <is>
          <t>750ml</t>
        </is>
      </c>
      <c r="G547" s="8" t="n">
        <v>1927.18</v>
      </c>
    </row>
    <row r="548">
      <c r="A548" t="inlineStr">
        <is>
          <t>Super second</t>
        </is>
      </c>
      <c r="B548" t="inlineStr">
        <is>
          <t>World Wine</t>
        </is>
      </c>
      <c r="C548" t="inlineStr">
        <is>
          <t>Château Pichon-Longueville Comtesse de Lalande</t>
        </is>
      </c>
      <c r="D548" t="inlineStr">
        <is>
          <t>2017</t>
        </is>
      </c>
      <c r="E548" t="inlineStr">
        <is>
          <t>750</t>
        </is>
      </c>
      <c r="G548" s="8" t="n">
        <v>1895.04</v>
      </c>
    </row>
    <row r="549">
      <c r="A549" t="inlineStr">
        <is>
          <t>Super second</t>
        </is>
      </c>
      <c r="B549" t="inlineStr">
        <is>
          <t>World Wine</t>
        </is>
      </c>
      <c r="C549" t="inlineStr">
        <is>
          <t>Château Cos d'Estournel</t>
        </is>
      </c>
      <c r="D549" t="inlineStr">
        <is>
          <t>2011</t>
        </is>
      </c>
      <c r="E549" t="inlineStr">
        <is>
          <t>750</t>
        </is>
      </c>
      <c r="G549" s="8" t="n">
        <v>1873.78</v>
      </c>
    </row>
    <row r="550">
      <c r="A550" t="inlineStr">
        <is>
          <t>Super second</t>
        </is>
      </c>
      <c r="B550" t="inlineStr">
        <is>
          <t>Boisse</t>
        </is>
      </c>
      <c r="C550" t="inlineStr">
        <is>
          <t>CH LYNCH BAGES 2021 CB 06 750 ML</t>
        </is>
      </c>
      <c r="D550" t="inlineStr">
        <is>
          <t>2021</t>
        </is>
      </c>
      <c r="E550" t="inlineStr"/>
      <c r="G550" s="8" t="n">
        <v>1863.75</v>
      </c>
    </row>
    <row r="551">
      <c r="A551" t="inlineStr">
        <is>
          <t>Super second</t>
        </is>
      </c>
      <c r="B551" t="inlineStr">
        <is>
          <t>World Wine</t>
        </is>
      </c>
      <c r="C551" t="inlineStr">
        <is>
          <t>Château Montrose</t>
        </is>
      </c>
      <c r="D551" t="inlineStr">
        <is>
          <t>2014</t>
        </is>
      </c>
      <c r="E551" t="inlineStr">
        <is>
          <t>750</t>
        </is>
      </c>
      <c r="G551" s="8" t="n">
        <v>1860.4</v>
      </c>
    </row>
    <row r="552">
      <c r="A552" t="inlineStr">
        <is>
          <t>Super second</t>
        </is>
      </c>
      <c r="B552" t="inlineStr">
        <is>
          <t>World Wine</t>
        </is>
      </c>
      <c r="C552" t="inlineStr">
        <is>
          <t>Le Petit Lion du Marquis de Las Cases (2° Ch. Léoville Las Cases) (1500ml)</t>
        </is>
      </c>
      <c r="D552" t="inlineStr">
        <is>
          <t>2019</t>
        </is>
      </c>
      <c r="E552" t="inlineStr">
        <is>
          <t>1500</t>
        </is>
      </c>
      <c r="G552" s="8" t="n">
        <v>1837.44</v>
      </c>
    </row>
    <row r="553">
      <c r="A553" t="inlineStr">
        <is>
          <t>Super second</t>
        </is>
      </c>
      <c r="B553" t="inlineStr">
        <is>
          <t>Mistral</t>
        </is>
      </c>
      <c r="C553" t="inlineStr">
        <is>
          <t>CH. DUHART-MILON-ROTHSCHILD 2011 (TTO) (CRU CLASSE (MEDOC/GRAVES)</t>
        </is>
      </c>
      <c r="D553" t="inlineStr">
        <is>
          <t>2011</t>
        </is>
      </c>
      <c r="E553" t="inlineStr">
        <is>
          <t>750ml</t>
        </is>
      </c>
      <c r="F553" t="n">
        <v>147</v>
      </c>
      <c r="G553" s="8" t="n">
        <v>1814.12</v>
      </c>
    </row>
    <row r="554">
      <c r="A554" t="inlineStr">
        <is>
          <t>Super second</t>
        </is>
      </c>
      <c r="B554" t="inlineStr">
        <is>
          <t>Del Maipo</t>
        </is>
      </c>
      <c r="C554" t="inlineStr">
        <is>
          <t>BLANC DE LYNCH BAGES - AOC BORDEAUX</t>
        </is>
      </c>
      <c r="D554" t="inlineStr">
        <is>
          <t>2021</t>
        </is>
      </c>
      <c r="E554" t="inlineStr">
        <is>
          <t>750ml</t>
        </is>
      </c>
      <c r="G554" s="8" t="n">
        <v>1801.95</v>
      </c>
    </row>
    <row r="555">
      <c r="A555" t="inlineStr">
        <is>
          <t>Super second</t>
        </is>
      </c>
      <c r="B555" t="inlineStr">
        <is>
          <t>Mistral</t>
        </is>
      </c>
      <c r="C555" t="inlineStr">
        <is>
          <t>CH. LEOVILLE-POYFERRE 2021 (TTO) (CRU CLASSE (MEDOC/GRAVES)</t>
        </is>
      </c>
      <c r="D555" t="inlineStr">
        <is>
          <t>2021</t>
        </is>
      </c>
      <c r="E555" t="inlineStr">
        <is>
          <t>750ml</t>
        </is>
      </c>
      <c r="F555" t="n">
        <v>46</v>
      </c>
      <c r="G555" s="8" t="n">
        <v>1780.09</v>
      </c>
    </row>
    <row r="556">
      <c r="A556" t="inlineStr">
        <is>
          <t>Super second</t>
        </is>
      </c>
      <c r="B556" t="inlineStr">
        <is>
          <t>World Wine</t>
        </is>
      </c>
      <c r="C556" t="inlineStr">
        <is>
          <t>Château Cos d'Estournel</t>
        </is>
      </c>
      <c r="D556" t="inlineStr">
        <is>
          <t>2012</t>
        </is>
      </c>
      <c r="E556" t="inlineStr">
        <is>
          <t>750</t>
        </is>
      </c>
      <c r="G556" s="8" t="n">
        <v>1739.94</v>
      </c>
    </row>
    <row r="557">
      <c r="A557" t="inlineStr">
        <is>
          <t>Super second</t>
        </is>
      </c>
      <c r="B557" t="inlineStr">
        <is>
          <t>World Wine</t>
        </is>
      </c>
      <c r="C557" t="inlineStr">
        <is>
          <t>Alter Ego de Château Palmer</t>
        </is>
      </c>
      <c r="D557" t="inlineStr">
        <is>
          <t>2009</t>
        </is>
      </c>
      <c r="E557" t="inlineStr">
        <is>
          <t>750</t>
        </is>
      </c>
      <c r="G557" s="8" t="n">
        <v>1722.24</v>
      </c>
    </row>
    <row r="558">
      <c r="A558" t="inlineStr">
        <is>
          <t>Super second</t>
        </is>
      </c>
      <c r="B558" t="inlineStr">
        <is>
          <t>Del Maipo</t>
        </is>
      </c>
      <c r="C558" t="inlineStr">
        <is>
          <t>BERNARD MAGREZ CHATEAU PAPE CLEMENT AOC PESSAC LEOGNAN</t>
        </is>
      </c>
      <c r="D558" t="inlineStr">
        <is>
          <t>2019</t>
        </is>
      </c>
      <c r="E558" t="inlineStr">
        <is>
          <t>750ml</t>
        </is>
      </c>
      <c r="G558" s="8" t="n">
        <v>1720.7</v>
      </c>
    </row>
    <row r="559">
      <c r="A559" t="inlineStr">
        <is>
          <t>Super second</t>
        </is>
      </c>
      <c r="B559" t="inlineStr">
        <is>
          <t>Mistral</t>
        </is>
      </c>
      <c r="C559" t="inlineStr">
        <is>
          <t>CH. PAPE CLEMENT 2011 (TTO) (CRU CLASSE (MEDOC/GRAVES)</t>
        </is>
      </c>
      <c r="D559" t="inlineStr">
        <is>
          <t>2011</t>
        </is>
      </c>
      <c r="E559" t="inlineStr">
        <is>
          <t>750ml</t>
        </is>
      </c>
      <c r="F559" t="n">
        <v>18</v>
      </c>
      <c r="G559" s="8" t="n">
        <v>1693.06</v>
      </c>
    </row>
    <row r="560">
      <c r="A560" t="inlineStr">
        <is>
          <t>Super second</t>
        </is>
      </c>
      <c r="B560" t="inlineStr">
        <is>
          <t>Del Maipo</t>
        </is>
      </c>
      <c r="C560" t="inlineStr">
        <is>
          <t>BERNARD MAGREZ CHATEAU PAPE CLEMENT AOC PESSAC LEOGNAN</t>
        </is>
      </c>
      <c r="D560" t="inlineStr">
        <is>
          <t>2017</t>
        </is>
      </c>
      <c r="E560" t="inlineStr">
        <is>
          <t>750ml</t>
        </is>
      </c>
      <c r="G560" s="8" t="n">
        <v>1692.02</v>
      </c>
    </row>
    <row r="561">
      <c r="A561" t="inlineStr">
        <is>
          <t>Super second</t>
        </is>
      </c>
      <c r="B561" t="inlineStr">
        <is>
          <t>World Wine</t>
        </is>
      </c>
      <c r="C561" t="inlineStr">
        <is>
          <t>Château Pichon Baron</t>
        </is>
      </c>
      <c r="D561" t="inlineStr">
        <is>
          <t>2011</t>
        </is>
      </c>
      <c r="E561" t="inlineStr">
        <is>
          <t>750</t>
        </is>
      </c>
      <c r="G561" s="8" t="n">
        <v>1673.02</v>
      </c>
    </row>
    <row r="562">
      <c r="A562" t="inlineStr">
        <is>
          <t>Super second</t>
        </is>
      </c>
      <c r="B562" t="inlineStr">
        <is>
          <t>World Wine</t>
        </is>
      </c>
      <c r="C562" t="inlineStr">
        <is>
          <t>Château Smith Haut Lafitte</t>
        </is>
      </c>
      <c r="D562" t="inlineStr">
        <is>
          <t>2016</t>
        </is>
      </c>
      <c r="E562" t="inlineStr">
        <is>
          <t>750</t>
        </is>
      </c>
      <c r="G562" s="8" t="n">
        <v>1673.02</v>
      </c>
    </row>
    <row r="563">
      <c r="A563" t="inlineStr">
        <is>
          <t>Super second</t>
        </is>
      </c>
      <c r="B563" t="inlineStr">
        <is>
          <t>World Wine</t>
        </is>
      </c>
      <c r="C563" t="inlineStr">
        <is>
          <t>Alter Ego de Château Palmer</t>
        </is>
      </c>
      <c r="D563" t="inlineStr">
        <is>
          <t>2008</t>
        </is>
      </c>
      <c r="E563" t="inlineStr">
        <is>
          <t>750</t>
        </is>
      </c>
      <c r="G563" s="8" t="n">
        <v>1664.64</v>
      </c>
    </row>
    <row r="564">
      <c r="A564" t="inlineStr">
        <is>
          <t>Super second</t>
        </is>
      </c>
      <c r="B564" t="inlineStr">
        <is>
          <t>Mistral</t>
        </is>
      </c>
      <c r="C564" t="inlineStr">
        <is>
          <t>DUHART MILON 2022 - GRAND CRU CLASSE (TTO)</t>
        </is>
      </c>
      <c r="D564" t="inlineStr">
        <is>
          <t>2022</t>
        </is>
      </c>
      <c r="E564" t="inlineStr">
        <is>
          <t>750ml</t>
        </is>
      </c>
      <c r="F564" t="n">
        <v>96</v>
      </c>
      <c r="G564" s="8" t="n">
        <v>1636.41</v>
      </c>
    </row>
    <row r="565">
      <c r="A565" t="inlineStr">
        <is>
          <t>Super second</t>
        </is>
      </c>
      <c r="B565" t="inlineStr">
        <is>
          <t>World Wine</t>
        </is>
      </c>
      <c r="C565" t="inlineStr">
        <is>
          <t>Château Montrose</t>
        </is>
      </c>
      <c r="D565" t="inlineStr">
        <is>
          <t>2011</t>
        </is>
      </c>
      <c r="E565" t="inlineStr">
        <is>
          <t>750</t>
        </is>
      </c>
      <c r="G565" s="8" t="n">
        <v>1607.04</v>
      </c>
    </row>
    <row r="566">
      <c r="A566" t="inlineStr">
        <is>
          <t>Super second</t>
        </is>
      </c>
      <c r="B566" t="inlineStr">
        <is>
          <t>World Wine</t>
        </is>
      </c>
      <c r="C566" t="inlineStr">
        <is>
          <t>Alter Ego de Château Palmer</t>
        </is>
      </c>
      <c r="D566" t="inlineStr">
        <is>
          <t>2006</t>
        </is>
      </c>
      <c r="E566" t="inlineStr">
        <is>
          <t>750</t>
        </is>
      </c>
      <c r="G566" s="8" t="n">
        <v>1607.04</v>
      </c>
    </row>
    <row r="567">
      <c r="A567" t="inlineStr">
        <is>
          <t>Super second</t>
        </is>
      </c>
      <c r="B567" t="inlineStr">
        <is>
          <t>Mistral</t>
        </is>
      </c>
      <c r="C567" t="inlineStr">
        <is>
          <t>CH. DUHART-MILON 2023 (TTO) (CRU CLASSE (MEDOC/GRAVES)</t>
        </is>
      </c>
      <c r="D567" t="inlineStr">
        <is>
          <t>2023</t>
        </is>
      </c>
      <c r="E567" t="inlineStr">
        <is>
          <t>750ml</t>
        </is>
      </c>
      <c r="F567" t="n">
        <v>60</v>
      </c>
      <c r="G567" s="8" t="n">
        <v>1558.46</v>
      </c>
    </row>
    <row r="568">
      <c r="A568" t="inlineStr">
        <is>
          <t>Super second</t>
        </is>
      </c>
      <c r="B568" t="inlineStr">
        <is>
          <t>World Wine</t>
        </is>
      </c>
      <c r="C568" t="inlineStr">
        <is>
          <t>Réserve de la Comtesse (2º Ch. Pichon Lalande)</t>
        </is>
      </c>
      <c r="D568" t="inlineStr">
        <is>
          <t>2020</t>
        </is>
      </c>
      <c r="E568" t="inlineStr">
        <is>
          <t>1500</t>
        </is>
      </c>
      <c r="G568" s="8" t="n">
        <v>1549.44</v>
      </c>
    </row>
    <row r="569">
      <c r="A569" t="inlineStr">
        <is>
          <t>Super second</t>
        </is>
      </c>
      <c r="B569" t="inlineStr">
        <is>
          <t>Mistral</t>
        </is>
      </c>
      <c r="C569" t="inlineStr">
        <is>
          <t>CH. LEOVILLE-BARTON 2011 (TTO) (CRU CLASSE (MEDOC/GRAVES)</t>
        </is>
      </c>
      <c r="D569" t="inlineStr">
        <is>
          <t>2011</t>
        </is>
      </c>
      <c r="E569" t="inlineStr">
        <is>
          <t>750ml</t>
        </is>
      </c>
      <c r="F569" t="n">
        <v>54</v>
      </c>
      <c r="G569" s="8" t="n">
        <v>1514.04</v>
      </c>
    </row>
    <row r="570">
      <c r="A570" t="inlineStr">
        <is>
          <t>Super second</t>
        </is>
      </c>
      <c r="B570" t="inlineStr">
        <is>
          <t>World Wine</t>
        </is>
      </c>
      <c r="C570" t="inlineStr">
        <is>
          <t>Château Montrose</t>
        </is>
      </c>
      <c r="D570" t="inlineStr">
        <is>
          <t>2007</t>
        </is>
      </c>
      <c r="E570" t="inlineStr">
        <is>
          <t>750</t>
        </is>
      </c>
      <c r="G570" s="8" t="n">
        <v>1491.84</v>
      </c>
    </row>
    <row r="571">
      <c r="A571" t="inlineStr">
        <is>
          <t>Super second</t>
        </is>
      </c>
      <c r="B571" t="inlineStr">
        <is>
          <t>World Wine</t>
        </is>
      </c>
      <c r="C571" t="inlineStr">
        <is>
          <t>Château Smith Haut Lafitte Blanc</t>
        </is>
      </c>
      <c r="D571" t="inlineStr">
        <is>
          <t>2014</t>
        </is>
      </c>
      <c r="E571" t="inlineStr">
        <is>
          <t>750</t>
        </is>
      </c>
      <c r="G571" s="8" t="n">
        <v>1491.84</v>
      </c>
    </row>
    <row r="572">
      <c r="A572" t="inlineStr">
        <is>
          <t>Super second</t>
        </is>
      </c>
      <c r="B572" t="inlineStr">
        <is>
          <t>World Wine</t>
        </is>
      </c>
      <c r="C572" t="inlineStr">
        <is>
          <t>La Dame de Montrose (2° Ch. Montrose)</t>
        </is>
      </c>
      <c r="D572" t="inlineStr">
        <is>
          <t>2020</t>
        </is>
      </c>
      <c r="E572" t="inlineStr">
        <is>
          <t>1500</t>
        </is>
      </c>
      <c r="G572" s="8" t="n">
        <v>1474.56</v>
      </c>
    </row>
    <row r="573">
      <c r="A573" t="inlineStr">
        <is>
          <t>Super second</t>
        </is>
      </c>
      <c r="B573" t="inlineStr">
        <is>
          <t>Mistral</t>
        </is>
      </c>
      <c r="C573" t="inlineStr">
        <is>
          <t>CHATEAU LEOVILLE-POYFERRE 2006 CRU CLASSE (MEDOC/GRAVES) - TTO</t>
        </is>
      </c>
      <c r="D573" t="inlineStr">
        <is>
          <t>2006</t>
        </is>
      </c>
      <c r="E573" t="inlineStr">
        <is>
          <t>750ml</t>
        </is>
      </c>
      <c r="F573" t="n">
        <v>2</v>
      </c>
      <c r="G573" s="8" t="n">
        <v>1461.42</v>
      </c>
    </row>
    <row r="574">
      <c r="A574" t="inlineStr">
        <is>
          <t>Super second</t>
        </is>
      </c>
      <c r="B574" t="inlineStr">
        <is>
          <t>Boisse</t>
        </is>
      </c>
      <c r="C574" t="inlineStr">
        <is>
          <t>CHATEAU SMITH HAUT LAFITTE 2014 750ML CX DE MADEIRA 6 UNID</t>
        </is>
      </c>
      <c r="D574" t="inlineStr">
        <is>
          <t>2014</t>
        </is>
      </c>
      <c r="E574" t="inlineStr"/>
      <c r="G574" s="8" t="n">
        <v>1459.05</v>
      </c>
    </row>
    <row r="575">
      <c r="A575" t="inlineStr">
        <is>
          <t>Super second</t>
        </is>
      </c>
      <c r="B575" t="inlineStr">
        <is>
          <t>World Wine</t>
        </is>
      </c>
      <c r="C575" t="inlineStr">
        <is>
          <t>Château Léoville Poyferré</t>
        </is>
      </c>
      <c r="D575" t="inlineStr">
        <is>
          <t>2020</t>
        </is>
      </c>
      <c r="E575" t="inlineStr">
        <is>
          <t>750</t>
        </is>
      </c>
      <c r="G575" s="8" t="n">
        <v>1434.24</v>
      </c>
    </row>
    <row r="576">
      <c r="A576" t="inlineStr">
        <is>
          <t>Super second</t>
        </is>
      </c>
      <c r="B576" t="inlineStr">
        <is>
          <t>World Wine</t>
        </is>
      </c>
      <c r="C576" t="inlineStr">
        <is>
          <t>Alter Ego de Château Palmer</t>
        </is>
      </c>
      <c r="D576" t="inlineStr">
        <is>
          <t>2020</t>
        </is>
      </c>
      <c r="E576" t="inlineStr">
        <is>
          <t>750</t>
        </is>
      </c>
      <c r="G576" s="8" t="n">
        <v>1434.24</v>
      </c>
    </row>
    <row r="577">
      <c r="A577" t="inlineStr">
        <is>
          <t>Super second</t>
        </is>
      </c>
      <c r="B577" t="inlineStr">
        <is>
          <t>World Wine</t>
        </is>
      </c>
      <c r="C577" t="inlineStr">
        <is>
          <t>Château Duhart-Milon-Rothschild</t>
        </is>
      </c>
      <c r="D577" t="inlineStr">
        <is>
          <t>2006</t>
        </is>
      </c>
      <c r="E577" t="inlineStr">
        <is>
          <t>750</t>
        </is>
      </c>
      <c r="G577" s="8" t="n">
        <v>1376.64</v>
      </c>
    </row>
    <row r="578">
      <c r="A578" t="inlineStr">
        <is>
          <t>Super second</t>
        </is>
      </c>
      <c r="B578" t="inlineStr">
        <is>
          <t>World Wine</t>
        </is>
      </c>
      <c r="C578" t="inlineStr">
        <is>
          <t>Alter Ego de Château Palmer</t>
        </is>
      </c>
      <c r="D578" t="inlineStr">
        <is>
          <t>2019</t>
        </is>
      </c>
      <c r="E578" t="inlineStr">
        <is>
          <t>750</t>
        </is>
      </c>
      <c r="G578" s="8" t="n">
        <v>1376.64</v>
      </c>
    </row>
    <row r="579">
      <c r="A579" t="inlineStr">
        <is>
          <t>Super second</t>
        </is>
      </c>
      <c r="B579" t="inlineStr">
        <is>
          <t>World Wine</t>
        </is>
      </c>
      <c r="C579" t="inlineStr">
        <is>
          <t>Château Pape Clément</t>
        </is>
      </c>
      <c r="D579" t="inlineStr">
        <is>
          <t>2017</t>
        </is>
      </c>
      <c r="E579" t="inlineStr">
        <is>
          <t>750</t>
        </is>
      </c>
      <c r="G579" s="8" t="n">
        <v>1376.64</v>
      </c>
    </row>
    <row r="580">
      <c r="A580" t="inlineStr">
        <is>
          <t>Super second</t>
        </is>
      </c>
      <c r="B580" t="inlineStr">
        <is>
          <t>World Wine</t>
        </is>
      </c>
      <c r="C580" t="inlineStr">
        <is>
          <t>Château Pape Clément</t>
        </is>
      </c>
      <c r="D580" t="inlineStr">
        <is>
          <t>2020</t>
        </is>
      </c>
      <c r="E580" t="inlineStr">
        <is>
          <t>750</t>
        </is>
      </c>
      <c r="G580" s="8" t="n">
        <v>1376.64</v>
      </c>
    </row>
    <row r="581">
      <c r="A581" t="inlineStr">
        <is>
          <t>Super second</t>
        </is>
      </c>
      <c r="B581" t="inlineStr">
        <is>
          <t>Mistral</t>
        </is>
      </c>
      <c r="C581" t="inlineStr">
        <is>
          <t>CH. LEOVILLE-POYFERRE 2011 (TTO) (CRU CLASSE (MEDOC/GRAVES)</t>
        </is>
      </c>
      <c r="D581" t="inlineStr">
        <is>
          <t>2011</t>
        </is>
      </c>
      <c r="E581" t="inlineStr">
        <is>
          <t>750ml</t>
        </is>
      </c>
      <c r="F581" t="n">
        <v>98</v>
      </c>
      <c r="G581" s="8" t="n">
        <v>1366.02</v>
      </c>
    </row>
    <row r="582">
      <c r="A582" t="inlineStr">
        <is>
          <t>Super second</t>
        </is>
      </c>
      <c r="B582" t="inlineStr">
        <is>
          <t>Mistral</t>
        </is>
      </c>
      <c r="C582" t="inlineStr">
        <is>
          <t>CH. DUHART-MILON-ROTHSCHILD 2012 (TTO) (CRU CLASSE (MEDOC/GRAVES)</t>
        </is>
      </c>
      <c r="D582" t="inlineStr">
        <is>
          <t>2012</t>
        </is>
      </c>
      <c r="E582" t="inlineStr">
        <is>
          <t>750ml</t>
        </is>
      </c>
      <c r="F582" t="n">
        <v>147</v>
      </c>
      <c r="G582" s="8" t="n">
        <v>1360.1</v>
      </c>
    </row>
    <row r="583">
      <c r="A583" t="inlineStr">
        <is>
          <t>Super second</t>
        </is>
      </c>
      <c r="B583" t="inlineStr">
        <is>
          <t>World Wine</t>
        </is>
      </c>
      <c r="C583" t="inlineStr">
        <is>
          <t>La Dame de Montrose (2° Ch. Montrose)</t>
        </is>
      </c>
      <c r="D583" t="inlineStr">
        <is>
          <t>2019</t>
        </is>
      </c>
      <c r="E583" t="inlineStr">
        <is>
          <t>1500</t>
        </is>
      </c>
      <c r="G583" s="8" t="n">
        <v>1347.84</v>
      </c>
    </row>
    <row r="584">
      <c r="A584" t="inlineStr">
        <is>
          <t>Super second</t>
        </is>
      </c>
      <c r="B584" t="inlineStr">
        <is>
          <t>World Wine</t>
        </is>
      </c>
      <c r="C584" t="inlineStr">
        <is>
          <t>Château Léoville Poyferré</t>
        </is>
      </c>
      <c r="D584" t="inlineStr">
        <is>
          <t>2010</t>
        </is>
      </c>
      <c r="E584" t="inlineStr">
        <is>
          <t>750</t>
        </is>
      </c>
      <c r="G584" s="8" t="n">
        <v>1338.41</v>
      </c>
    </row>
    <row r="585">
      <c r="A585" t="inlineStr">
        <is>
          <t>Super second</t>
        </is>
      </c>
      <c r="B585" t="inlineStr">
        <is>
          <t>World Wine</t>
        </is>
      </c>
      <c r="C585" t="inlineStr">
        <is>
          <t>Château Duhart-Milon-Rothschild</t>
        </is>
      </c>
      <c r="D585" t="inlineStr">
        <is>
          <t>2004</t>
        </is>
      </c>
      <c r="E585" t="inlineStr">
        <is>
          <t>750</t>
        </is>
      </c>
      <c r="G585" s="8" t="n">
        <v>1319.04</v>
      </c>
    </row>
    <row r="586">
      <c r="A586" t="inlineStr">
        <is>
          <t>Super second</t>
        </is>
      </c>
      <c r="B586" t="inlineStr">
        <is>
          <t>World Wine</t>
        </is>
      </c>
      <c r="C586" t="inlineStr">
        <is>
          <t>Château Duhart-Milon-Rothschild</t>
        </is>
      </c>
      <c r="D586" t="inlineStr">
        <is>
          <t>2020</t>
        </is>
      </c>
      <c r="E586" t="inlineStr">
        <is>
          <t>750</t>
        </is>
      </c>
      <c r="G586" s="8" t="n">
        <v>1319.04</v>
      </c>
    </row>
    <row r="587">
      <c r="A587" t="inlineStr">
        <is>
          <t>Super second</t>
        </is>
      </c>
      <c r="B587" t="inlineStr">
        <is>
          <t>World Wine</t>
        </is>
      </c>
      <c r="C587" t="inlineStr">
        <is>
          <t>Château Pape Clément</t>
        </is>
      </c>
      <c r="D587" t="inlineStr">
        <is>
          <t>2019</t>
        </is>
      </c>
      <c r="E587" t="inlineStr">
        <is>
          <t>750</t>
        </is>
      </c>
      <c r="G587" s="8" t="n">
        <v>1319.04</v>
      </c>
    </row>
    <row r="588">
      <c r="A588" t="inlineStr">
        <is>
          <t>Super second</t>
        </is>
      </c>
      <c r="B588" t="inlineStr">
        <is>
          <t>Mistral</t>
        </is>
      </c>
      <c r="C588" t="inlineStr">
        <is>
          <t>CH. DUHART-MILON 2021 (TTO) (CRU CLASSE (MEDOC/GRAVES)</t>
        </is>
      </c>
      <c r="D588" t="inlineStr">
        <is>
          <t>2021</t>
        </is>
      </c>
      <c r="E588" t="inlineStr">
        <is>
          <t>750ml</t>
        </is>
      </c>
      <c r="F588" t="n">
        <v>112</v>
      </c>
      <c r="G588" s="8" t="n">
        <v>1305.15</v>
      </c>
    </row>
    <row r="589">
      <c r="A589" t="inlineStr">
        <is>
          <t>Super second</t>
        </is>
      </c>
      <c r="B589" t="inlineStr">
        <is>
          <t>Mistral</t>
        </is>
      </c>
      <c r="C589" t="inlineStr">
        <is>
          <t>CH. LEOVILLE-POYFERRE 2007 (TTO)</t>
        </is>
      </c>
      <c r="D589" t="inlineStr">
        <is>
          <t>2007</t>
        </is>
      </c>
      <c r="E589" t="inlineStr">
        <is>
          <t>750ml</t>
        </is>
      </c>
      <c r="F589" t="n">
        <v>72</v>
      </c>
      <c r="G589" s="8" t="n">
        <v>1287.34</v>
      </c>
    </row>
    <row r="590">
      <c r="A590" t="inlineStr">
        <is>
          <t>Super second</t>
        </is>
      </c>
      <c r="B590" t="inlineStr">
        <is>
          <t>World Wine</t>
        </is>
      </c>
      <c r="C590" t="inlineStr">
        <is>
          <t>Château Léoville Poyferré</t>
        </is>
      </c>
      <c r="D590" t="inlineStr">
        <is>
          <t>2017</t>
        </is>
      </c>
      <c r="E590" t="inlineStr">
        <is>
          <t>750</t>
        </is>
      </c>
      <c r="G590" s="8" t="n">
        <v>1261.44</v>
      </c>
    </row>
    <row r="591">
      <c r="A591" t="inlineStr">
        <is>
          <t>Super second</t>
        </is>
      </c>
      <c r="B591" t="inlineStr">
        <is>
          <t>World Wine</t>
        </is>
      </c>
      <c r="C591" t="inlineStr">
        <is>
          <t>Château Léoville Poyferré</t>
        </is>
      </c>
      <c r="D591" t="inlineStr">
        <is>
          <t>2019</t>
        </is>
      </c>
      <c r="E591" t="inlineStr">
        <is>
          <t>750</t>
        </is>
      </c>
      <c r="G591" s="8" t="n">
        <v>1261.44</v>
      </c>
    </row>
    <row r="592">
      <c r="A592" t="inlineStr">
        <is>
          <t>Super second</t>
        </is>
      </c>
      <c r="B592" t="inlineStr">
        <is>
          <t>Mistral</t>
        </is>
      </c>
      <c r="C592" t="inlineStr">
        <is>
          <t>CH. DUHART-MILON 2019 (TTO) (CRU CLASSE (MEDOC/GRAVES)</t>
        </is>
      </c>
      <c r="D592" t="inlineStr">
        <is>
          <t>2019</t>
        </is>
      </c>
      <c r="E592" t="inlineStr">
        <is>
          <t>750ml</t>
        </is>
      </c>
      <c r="F592" t="n">
        <v>43</v>
      </c>
      <c r="G592" s="8" t="n">
        <v>1243.19</v>
      </c>
    </row>
    <row r="593">
      <c r="A593" t="inlineStr">
        <is>
          <t>Super second</t>
        </is>
      </c>
      <c r="B593" t="inlineStr">
        <is>
          <t>World Wine</t>
        </is>
      </c>
      <c r="C593" t="inlineStr">
        <is>
          <t>Alter Ego de Château Palmer</t>
        </is>
      </c>
      <c r="D593" t="inlineStr">
        <is>
          <t>2017</t>
        </is>
      </c>
      <c r="E593" t="inlineStr">
        <is>
          <t>750</t>
        </is>
      </c>
      <c r="G593" s="8" t="n">
        <v>1203.84</v>
      </c>
    </row>
    <row r="594">
      <c r="A594" t="inlineStr">
        <is>
          <t>Super second</t>
        </is>
      </c>
      <c r="B594" t="inlineStr">
        <is>
          <t>World Wine</t>
        </is>
      </c>
      <c r="C594" t="inlineStr">
        <is>
          <t>Alter Ego de Château Palmer</t>
        </is>
      </c>
      <c r="D594" t="inlineStr">
        <is>
          <t>2010</t>
        </is>
      </c>
      <c r="E594" t="inlineStr">
        <is>
          <t>750</t>
        </is>
      </c>
      <c r="G594" s="8" t="n">
        <v>1191.19</v>
      </c>
    </row>
    <row r="595">
      <c r="A595" t="inlineStr">
        <is>
          <t>Super second</t>
        </is>
      </c>
      <c r="B595" t="inlineStr">
        <is>
          <t>Mistral</t>
        </is>
      </c>
      <c r="C595" t="inlineStr">
        <is>
          <t>CH. DUHART-MILON-ROTHSCHILD 2014 (TTO) (CRU CLASSE (MEDOC/GRAVES)</t>
        </is>
      </c>
      <c r="D595" t="inlineStr">
        <is>
          <t>2014</t>
        </is>
      </c>
      <c r="E595" t="inlineStr">
        <is>
          <t>750ml</t>
        </is>
      </c>
      <c r="F595" t="n">
        <v>75</v>
      </c>
      <c r="G595" s="8" t="n">
        <v>1165.24</v>
      </c>
    </row>
    <row r="596">
      <c r="A596" t="inlineStr">
        <is>
          <t>Super second</t>
        </is>
      </c>
      <c r="B596" t="inlineStr">
        <is>
          <t>World Wine</t>
        </is>
      </c>
      <c r="C596" t="inlineStr">
        <is>
          <t>Les Pagodes de Cos (2° Ch. Cos d'Estournel)</t>
        </is>
      </c>
      <c r="D596" t="inlineStr">
        <is>
          <t>2010</t>
        </is>
      </c>
      <c r="E596" t="inlineStr">
        <is>
          <t>750</t>
        </is>
      </c>
      <c r="G596" s="8" t="n">
        <v>1146.24</v>
      </c>
    </row>
    <row r="597">
      <c r="A597" t="inlineStr">
        <is>
          <t>Super second</t>
        </is>
      </c>
      <c r="B597" t="inlineStr">
        <is>
          <t>World Wine</t>
        </is>
      </c>
      <c r="C597" t="inlineStr">
        <is>
          <t>Château Duhart-Milon-Rothschild</t>
        </is>
      </c>
      <c r="D597" t="inlineStr">
        <is>
          <t>2018</t>
        </is>
      </c>
      <c r="E597" t="inlineStr">
        <is>
          <t>750</t>
        </is>
      </c>
      <c r="G597" s="8" t="n">
        <v>1146.24</v>
      </c>
    </row>
    <row r="598">
      <c r="A598" t="inlineStr">
        <is>
          <t>Super second</t>
        </is>
      </c>
      <c r="B598" t="inlineStr">
        <is>
          <t>World Wine</t>
        </is>
      </c>
      <c r="C598" t="inlineStr">
        <is>
          <t>Château Duhart-Milon-Rothschild</t>
        </is>
      </c>
      <c r="D598" t="inlineStr">
        <is>
          <t>2019</t>
        </is>
      </c>
      <c r="E598" t="inlineStr">
        <is>
          <t>750</t>
        </is>
      </c>
      <c r="G598" s="8" t="n">
        <v>1146.24</v>
      </c>
    </row>
    <row r="599">
      <c r="A599" t="inlineStr">
        <is>
          <t>Super second</t>
        </is>
      </c>
      <c r="B599" t="inlineStr">
        <is>
          <t>World Wine</t>
        </is>
      </c>
      <c r="C599" t="inlineStr">
        <is>
          <t>Blanc de Lynch Bages</t>
        </is>
      </c>
      <c r="D599" t="inlineStr">
        <is>
          <t>2020</t>
        </is>
      </c>
      <c r="E599" t="inlineStr">
        <is>
          <t>750</t>
        </is>
      </c>
      <c r="G599" s="8" t="n">
        <v>1146.24</v>
      </c>
    </row>
    <row r="600">
      <c r="A600" t="inlineStr">
        <is>
          <t>Super second</t>
        </is>
      </c>
      <c r="B600" t="inlineStr">
        <is>
          <t>World Wine</t>
        </is>
      </c>
      <c r="C600" t="inlineStr">
        <is>
          <t>Château Léoville Barton</t>
        </is>
      </c>
      <c r="D600" t="inlineStr">
        <is>
          <t>2017</t>
        </is>
      </c>
      <c r="E600" t="inlineStr">
        <is>
          <t>750</t>
        </is>
      </c>
      <c r="G600" s="8" t="n">
        <v>1088.64</v>
      </c>
    </row>
    <row r="601">
      <c r="A601" t="inlineStr">
        <is>
          <t>Super second</t>
        </is>
      </c>
      <c r="B601" t="inlineStr">
        <is>
          <t>World Wine</t>
        </is>
      </c>
      <c r="C601" t="inlineStr">
        <is>
          <t>Château Léoville Poyferré</t>
        </is>
      </c>
      <c r="D601" t="inlineStr">
        <is>
          <t>2011</t>
        </is>
      </c>
      <c r="E601" t="inlineStr">
        <is>
          <t>750</t>
        </is>
      </c>
      <c r="G601" s="8" t="n">
        <v>1059.58</v>
      </c>
    </row>
    <row r="602">
      <c r="A602" t="inlineStr">
        <is>
          <t>Super second</t>
        </is>
      </c>
      <c r="B602" t="inlineStr">
        <is>
          <t>World Wine</t>
        </is>
      </c>
      <c r="C602" t="inlineStr">
        <is>
          <t>Le Petit Lion du Marquis de Las Cases (2° Ch. Léoville Las Cases)</t>
        </is>
      </c>
      <c r="D602" t="inlineStr">
        <is>
          <t>2010</t>
        </is>
      </c>
      <c r="E602" t="inlineStr">
        <is>
          <t>750</t>
        </is>
      </c>
      <c r="G602" s="8" t="n">
        <v>1031.04</v>
      </c>
    </row>
    <row r="603">
      <c r="A603" t="inlineStr">
        <is>
          <t>Super second</t>
        </is>
      </c>
      <c r="B603" t="inlineStr">
        <is>
          <t>World Wine</t>
        </is>
      </c>
      <c r="C603" t="inlineStr">
        <is>
          <t>Château Duhart-Milon-Rothschild</t>
        </is>
      </c>
      <c r="D603" t="inlineStr">
        <is>
          <t>2008</t>
        </is>
      </c>
      <c r="E603" t="inlineStr">
        <is>
          <t>750</t>
        </is>
      </c>
      <c r="G603" s="8" t="n">
        <v>990.4299999999999</v>
      </c>
    </row>
    <row r="604">
      <c r="A604" t="inlineStr">
        <is>
          <t>Super second</t>
        </is>
      </c>
      <c r="B604" t="inlineStr">
        <is>
          <t>World Wine</t>
        </is>
      </c>
      <c r="C604" t="inlineStr">
        <is>
          <t>La Croix de Beaucaillou (2° Ch. Ducru-Beaucaillou)</t>
        </is>
      </c>
      <c r="D604" t="inlineStr">
        <is>
          <t>2010</t>
        </is>
      </c>
      <c r="E604" t="inlineStr">
        <is>
          <t>750</t>
        </is>
      </c>
      <c r="G604" s="8" t="n">
        <v>973.4400000000001</v>
      </c>
    </row>
    <row r="605">
      <c r="A605" t="inlineStr">
        <is>
          <t>Super second</t>
        </is>
      </c>
      <c r="B605" t="inlineStr">
        <is>
          <t>World Wine</t>
        </is>
      </c>
      <c r="C605" t="inlineStr">
        <is>
          <t>Blanc de Lynch Bages</t>
        </is>
      </c>
      <c r="D605" t="inlineStr">
        <is>
          <t>2019</t>
        </is>
      </c>
      <c r="E605" t="inlineStr">
        <is>
          <t>750</t>
        </is>
      </c>
      <c r="G605" s="8" t="n">
        <v>973.4400000000001</v>
      </c>
    </row>
    <row r="606">
      <c r="A606" t="inlineStr">
        <is>
          <t>Super second</t>
        </is>
      </c>
      <c r="B606" t="inlineStr">
        <is>
          <t>Boisse</t>
        </is>
      </c>
      <c r="C606" t="inlineStr">
        <is>
          <t>LA DAME DE MONTROSE 2014 1500ML CX DE MADEIRA 3 UNID</t>
        </is>
      </c>
      <c r="D606" t="inlineStr">
        <is>
          <t>2014</t>
        </is>
      </c>
      <c r="E606" t="inlineStr"/>
      <c r="G606" s="8" t="n">
        <v>958.5</v>
      </c>
    </row>
    <row r="607">
      <c r="A607" t="inlineStr">
        <is>
          <t>Super second</t>
        </is>
      </c>
      <c r="B607" t="inlineStr">
        <is>
          <t>World Wine</t>
        </is>
      </c>
      <c r="C607" t="inlineStr">
        <is>
          <t>Goulée by Cos d'Estournel (1500ml)</t>
        </is>
      </c>
      <c r="D607" t="inlineStr">
        <is>
          <t>2016</t>
        </is>
      </c>
      <c r="E607" t="inlineStr">
        <is>
          <t>1500</t>
        </is>
      </c>
      <c r="G607" s="8" t="n">
        <v>936.89</v>
      </c>
    </row>
    <row r="608">
      <c r="A608" t="inlineStr">
        <is>
          <t>Super second</t>
        </is>
      </c>
      <c r="B608" t="inlineStr">
        <is>
          <t>World Wine</t>
        </is>
      </c>
      <c r="C608" t="inlineStr">
        <is>
          <t>Le Petit Lion du Marquis de Las Cases (2° Ch. Léoville Las Cases)</t>
        </is>
      </c>
      <c r="D608" t="inlineStr">
        <is>
          <t>2019</t>
        </is>
      </c>
      <c r="E608" t="inlineStr">
        <is>
          <t>750</t>
        </is>
      </c>
      <c r="G608" s="8" t="n">
        <v>915.84</v>
      </c>
    </row>
    <row r="609">
      <c r="A609" t="inlineStr">
        <is>
          <t>Super second</t>
        </is>
      </c>
      <c r="B609" t="inlineStr">
        <is>
          <t>World Wine</t>
        </is>
      </c>
      <c r="C609" t="inlineStr">
        <is>
          <t>La Dame de Montrose (2° Ch. Montrose)</t>
        </is>
      </c>
      <c r="D609" t="inlineStr">
        <is>
          <t>2010</t>
        </is>
      </c>
      <c r="E609" t="inlineStr">
        <is>
          <t>750</t>
        </is>
      </c>
      <c r="G609" s="8" t="n">
        <v>915.84</v>
      </c>
    </row>
    <row r="610">
      <c r="A610" t="inlineStr">
        <is>
          <t>Super second</t>
        </is>
      </c>
      <c r="B610" t="inlineStr">
        <is>
          <t>Vila Porto</t>
        </is>
      </c>
      <c r="C610" t="inlineStr">
        <is>
          <t>VINHO FRA LE PETIT LION DU MARQUIS DE LAS CASES A.O.C SAINT JULIEN 2010 TTO 750ML</t>
        </is>
      </c>
      <c r="D610" t="inlineStr">
        <is>
          <t>2010</t>
        </is>
      </c>
      <c r="E610" t="inlineStr"/>
      <c r="G610" s="8" t="n">
        <v>885.41</v>
      </c>
    </row>
    <row r="611">
      <c r="A611" t="inlineStr">
        <is>
          <t>Super second</t>
        </is>
      </c>
      <c r="B611" t="inlineStr">
        <is>
          <t>World Wine</t>
        </is>
      </c>
      <c r="C611" t="inlineStr">
        <is>
          <t>Château Duhart-Milon-Rothschild</t>
        </is>
      </c>
      <c r="D611" t="inlineStr">
        <is>
          <t>2011</t>
        </is>
      </c>
      <c r="E611" t="inlineStr">
        <is>
          <t>750</t>
        </is>
      </c>
      <c r="G611" s="8" t="n">
        <v>861.05</v>
      </c>
    </row>
    <row r="612">
      <c r="A612" t="inlineStr">
        <is>
          <t>Super second</t>
        </is>
      </c>
      <c r="B612" t="inlineStr">
        <is>
          <t>World Wine</t>
        </is>
      </c>
      <c r="C612" t="inlineStr">
        <is>
          <t>Les Pagodes de Cos (2° Ch. Cos d'Estournel)</t>
        </is>
      </c>
      <c r="D612" t="inlineStr">
        <is>
          <t>2016</t>
        </is>
      </c>
      <c r="E612" t="inlineStr">
        <is>
          <t>750</t>
        </is>
      </c>
      <c r="G612" s="8" t="n">
        <v>858.24</v>
      </c>
    </row>
    <row r="613">
      <c r="A613" t="inlineStr">
        <is>
          <t>Super second</t>
        </is>
      </c>
      <c r="B613" t="inlineStr">
        <is>
          <t>World Wine</t>
        </is>
      </c>
      <c r="C613" t="inlineStr">
        <is>
          <t>Le Petit Lion du Marquis de Las Cases (2° Ch. Léoville Las Cases)</t>
        </is>
      </c>
      <c r="D613" t="inlineStr">
        <is>
          <t>2011</t>
        </is>
      </c>
      <c r="E613" t="inlineStr">
        <is>
          <t>750</t>
        </is>
      </c>
      <c r="G613" s="8" t="n">
        <v>858.24</v>
      </c>
    </row>
    <row r="614">
      <c r="A614" t="inlineStr">
        <is>
          <t>Super second</t>
        </is>
      </c>
      <c r="B614" t="inlineStr">
        <is>
          <t>Del Maipo</t>
        </is>
      </c>
      <c r="C614" t="inlineStr">
        <is>
          <t>PETIT FIGEAC - SECOND VIN - AOC SAINT EMILION GRAND CRU</t>
        </is>
      </c>
      <c r="D614" t="inlineStr">
        <is>
          <t>2013</t>
        </is>
      </c>
      <c r="E614" t="inlineStr">
        <is>
          <t>750ml</t>
        </is>
      </c>
      <c r="G614" s="8" t="n">
        <v>847.1900000000001</v>
      </c>
    </row>
    <row r="615">
      <c r="A615" t="inlineStr">
        <is>
          <t>Super second</t>
        </is>
      </c>
      <c r="B615" t="inlineStr">
        <is>
          <t>Del Maipo</t>
        </is>
      </c>
      <c r="C615" t="inlineStr">
        <is>
          <t>LES GRIFFONS DE PICHON BARON - SECOND VIN - AOC PAUILLAC</t>
        </is>
      </c>
      <c r="D615" t="inlineStr">
        <is>
          <t>2020</t>
        </is>
      </c>
      <c r="E615" t="inlineStr">
        <is>
          <t>750ml</t>
        </is>
      </c>
      <c r="G615" s="8" t="n">
        <v>802.99</v>
      </c>
    </row>
    <row r="616">
      <c r="A616" t="inlineStr">
        <is>
          <t>Super second</t>
        </is>
      </c>
      <c r="B616" t="inlineStr">
        <is>
          <t>World Wine</t>
        </is>
      </c>
      <c r="C616" t="inlineStr">
        <is>
          <t>Les Pagodes de Cos (2° Ch. Cos d'Estournel)</t>
        </is>
      </c>
      <c r="D616" t="inlineStr">
        <is>
          <t>2014</t>
        </is>
      </c>
      <c r="E616" t="inlineStr">
        <is>
          <t>750</t>
        </is>
      </c>
      <c r="G616" s="8" t="n">
        <v>800.64</v>
      </c>
    </row>
    <row r="617">
      <c r="A617" t="inlineStr">
        <is>
          <t>Super second</t>
        </is>
      </c>
      <c r="B617" t="inlineStr">
        <is>
          <t>World Wine</t>
        </is>
      </c>
      <c r="C617" t="inlineStr">
        <is>
          <t>Réserve de la Comtesse (2º Ch. Pichon Lalande)</t>
        </is>
      </c>
      <c r="D617" t="inlineStr">
        <is>
          <t>2008</t>
        </is>
      </c>
      <c r="E617" t="inlineStr">
        <is>
          <t>750</t>
        </is>
      </c>
      <c r="G617" s="8" t="n">
        <v>800.64</v>
      </c>
    </row>
    <row r="618">
      <c r="A618" t="inlineStr">
        <is>
          <t>Super second</t>
        </is>
      </c>
      <c r="B618" t="inlineStr">
        <is>
          <t>World Wine</t>
        </is>
      </c>
      <c r="C618" t="inlineStr">
        <is>
          <t>Réserve de la Comtesse (2º Ch. Pichon Lalande)</t>
        </is>
      </c>
      <c r="D618" t="inlineStr">
        <is>
          <t>2016</t>
        </is>
      </c>
      <c r="E618" t="inlineStr">
        <is>
          <t>750</t>
        </is>
      </c>
      <c r="G618" s="8" t="n">
        <v>800.64</v>
      </c>
    </row>
    <row r="619">
      <c r="A619" t="inlineStr">
        <is>
          <t>Super second</t>
        </is>
      </c>
      <c r="B619" t="inlineStr">
        <is>
          <t>Del Maipo</t>
        </is>
      </c>
      <c r="C619" t="inlineStr">
        <is>
          <t>PICHON COMTESSE RESERVE - AOC PAUILLAC</t>
        </is>
      </c>
      <c r="D619" t="inlineStr">
        <is>
          <t>2019</t>
        </is>
      </c>
      <c r="E619" t="inlineStr">
        <is>
          <t>750ml</t>
        </is>
      </c>
      <c r="G619" s="8" t="n">
        <v>775.39</v>
      </c>
    </row>
    <row r="620">
      <c r="A620" t="inlineStr">
        <is>
          <t>Super second</t>
        </is>
      </c>
      <c r="B620" t="inlineStr">
        <is>
          <t>Del Maipo</t>
        </is>
      </c>
      <c r="C620" t="inlineStr">
        <is>
          <t>BERNARD MAGREZ CLEMENTIN DE PAPE CLEMENT AOC PESSAC LEOGNAN</t>
        </is>
      </c>
      <c r="D620" t="inlineStr">
        <is>
          <t>2020</t>
        </is>
      </c>
      <c r="E620" t="inlineStr">
        <is>
          <t>750ml</t>
        </is>
      </c>
      <c r="G620" s="8" t="n">
        <v>774.3099999999999</v>
      </c>
    </row>
    <row r="621">
      <c r="A621" t="inlineStr">
        <is>
          <t>Super second</t>
        </is>
      </c>
      <c r="B621" t="inlineStr">
        <is>
          <t>World Wine</t>
        </is>
      </c>
      <c r="C621" t="inlineStr">
        <is>
          <t>Les Pagodes de Cos (2° Ch. Cos d'Estournel)</t>
        </is>
      </c>
      <c r="D621" t="inlineStr">
        <is>
          <t>2011</t>
        </is>
      </c>
      <c r="E621" t="inlineStr">
        <is>
          <t>750</t>
        </is>
      </c>
      <c r="G621" s="8" t="n">
        <v>771.84</v>
      </c>
    </row>
    <row r="622">
      <c r="A622" t="inlineStr">
        <is>
          <t>Super second</t>
        </is>
      </c>
      <c r="B622" t="inlineStr">
        <is>
          <t>Del Maipo</t>
        </is>
      </c>
      <c r="C622" t="inlineStr">
        <is>
          <t>DAME DE MONTROSE - SECOND VIN - AOC SAINT ESTEPHE</t>
        </is>
      </c>
      <c r="D622" t="inlineStr">
        <is>
          <t>2011</t>
        </is>
      </c>
      <c r="E622" t="inlineStr">
        <is>
          <t>750ml</t>
        </is>
      </c>
      <c r="G622" s="8" t="n">
        <v>758.16</v>
      </c>
    </row>
    <row r="623">
      <c r="A623" t="inlineStr">
        <is>
          <t>Super second</t>
        </is>
      </c>
      <c r="B623" t="inlineStr">
        <is>
          <t>World Wine</t>
        </is>
      </c>
      <c r="C623" t="inlineStr">
        <is>
          <t>Les Pagodes de Cos (2° Ch. Cos d'Estournel)</t>
        </is>
      </c>
      <c r="D623" t="inlineStr">
        <is>
          <t>2019</t>
        </is>
      </c>
      <c r="E623" t="inlineStr">
        <is>
          <t>750</t>
        </is>
      </c>
      <c r="G623" s="8" t="n">
        <v>743.04</v>
      </c>
    </row>
    <row r="624">
      <c r="A624" t="inlineStr">
        <is>
          <t>Super second</t>
        </is>
      </c>
      <c r="B624" t="inlineStr">
        <is>
          <t>World Wine</t>
        </is>
      </c>
      <c r="C624" t="inlineStr">
        <is>
          <t>La Croix de Beaucaillou (2° Ch. Ducru-Beaucaillou)</t>
        </is>
      </c>
      <c r="D624" t="inlineStr">
        <is>
          <t>2015</t>
        </is>
      </c>
      <c r="E624" t="inlineStr">
        <is>
          <t>750</t>
        </is>
      </c>
      <c r="G624" s="8" t="n">
        <v>743.04</v>
      </c>
    </row>
    <row r="625">
      <c r="A625" t="inlineStr">
        <is>
          <t>Super second</t>
        </is>
      </c>
      <c r="B625" t="inlineStr">
        <is>
          <t>World Wine</t>
        </is>
      </c>
      <c r="C625" t="inlineStr">
        <is>
          <t>La Croix de Beaucaillou (2° Ch. Ducru-Beaucaillou)</t>
        </is>
      </c>
      <c r="D625" t="inlineStr">
        <is>
          <t>2016</t>
        </is>
      </c>
      <c r="E625" t="inlineStr">
        <is>
          <t>750</t>
        </is>
      </c>
      <c r="G625" s="8" t="n">
        <v>743.04</v>
      </c>
    </row>
    <row r="626">
      <c r="A626" t="inlineStr">
        <is>
          <t>Super second</t>
        </is>
      </c>
      <c r="B626" t="inlineStr">
        <is>
          <t>World Wine</t>
        </is>
      </c>
      <c r="C626" t="inlineStr">
        <is>
          <t>Les Griffons de Pichon Baron (2º Ch. Pichon Baron)</t>
        </is>
      </c>
      <c r="D626" t="inlineStr">
        <is>
          <t>2015</t>
        </is>
      </c>
      <c r="E626" t="inlineStr">
        <is>
          <t>750</t>
        </is>
      </c>
      <c r="G626" s="8" t="n">
        <v>743.04</v>
      </c>
    </row>
    <row r="627">
      <c r="A627" t="inlineStr">
        <is>
          <t>Super second</t>
        </is>
      </c>
      <c r="B627" t="inlineStr">
        <is>
          <t>World Wine</t>
        </is>
      </c>
      <c r="C627" t="inlineStr">
        <is>
          <t>Réserve de la Comtesse (2º Ch. Pichon Lalande)</t>
        </is>
      </c>
      <c r="D627" t="inlineStr">
        <is>
          <t>2006</t>
        </is>
      </c>
      <c r="E627" t="inlineStr">
        <is>
          <t>750</t>
        </is>
      </c>
      <c r="G627" s="8" t="n">
        <v>743.04</v>
      </c>
    </row>
    <row r="628">
      <c r="A628" t="inlineStr">
        <is>
          <t>Super second</t>
        </is>
      </c>
      <c r="B628" t="inlineStr">
        <is>
          <t>World Wine</t>
        </is>
      </c>
      <c r="C628" t="inlineStr">
        <is>
          <t>Réserve de la Comtesse (2º Ch. Pichon Lalande)</t>
        </is>
      </c>
      <c r="D628" t="inlineStr">
        <is>
          <t>2009</t>
        </is>
      </c>
      <c r="E628" t="inlineStr">
        <is>
          <t>750</t>
        </is>
      </c>
      <c r="G628" s="8" t="n">
        <v>743.04</v>
      </c>
    </row>
    <row r="629">
      <c r="A629" t="inlineStr">
        <is>
          <t>Super second</t>
        </is>
      </c>
      <c r="B629" t="inlineStr">
        <is>
          <t>World Wine</t>
        </is>
      </c>
      <c r="C629" t="inlineStr">
        <is>
          <t>Réserve de la Comtesse (2º Ch. Pichon Lalande)</t>
        </is>
      </c>
      <c r="D629" t="inlineStr">
        <is>
          <t>2015</t>
        </is>
      </c>
      <c r="E629" t="inlineStr">
        <is>
          <t>750</t>
        </is>
      </c>
      <c r="G629" s="8" t="n">
        <v>743.04</v>
      </c>
    </row>
    <row r="630">
      <c r="A630" t="inlineStr">
        <is>
          <t>Super second</t>
        </is>
      </c>
      <c r="B630" t="inlineStr">
        <is>
          <t>World Wine</t>
        </is>
      </c>
      <c r="C630" t="inlineStr">
        <is>
          <t>Réserve de la Comtesse (2º Ch. Pichon Lalande)</t>
        </is>
      </c>
      <c r="D630" t="inlineStr">
        <is>
          <t>2020</t>
        </is>
      </c>
      <c r="E630" t="inlineStr">
        <is>
          <t>750</t>
        </is>
      </c>
      <c r="G630" s="8" t="n">
        <v>743.04</v>
      </c>
    </row>
    <row r="631">
      <c r="A631" t="inlineStr">
        <is>
          <t>Super second</t>
        </is>
      </c>
      <c r="B631" t="inlineStr">
        <is>
          <t>World Wine</t>
        </is>
      </c>
      <c r="C631" t="inlineStr">
        <is>
          <t>Alter Ego de Château Palmer</t>
        </is>
      </c>
      <c r="D631" t="inlineStr">
        <is>
          <t>2007</t>
        </is>
      </c>
      <c r="E631" t="inlineStr">
        <is>
          <t>750</t>
        </is>
      </c>
      <c r="G631" s="8" t="n">
        <v>736.13</v>
      </c>
    </row>
    <row r="632">
      <c r="A632" t="inlineStr">
        <is>
          <t>Super second</t>
        </is>
      </c>
      <c r="B632" t="inlineStr">
        <is>
          <t>Del Maipo</t>
        </is>
      </c>
      <c r="C632" t="inlineStr">
        <is>
          <t>ECHO DE LYNCH BAGES - SECOND VIN - AOC PAUILLAC GRAND CRU CLASSE</t>
        </is>
      </c>
      <c r="D632" t="inlineStr">
        <is>
          <t>2017</t>
        </is>
      </c>
      <c r="E632" t="inlineStr">
        <is>
          <t>750ml</t>
        </is>
      </c>
      <c r="G632" s="8" t="n">
        <v>723.7</v>
      </c>
    </row>
    <row r="633">
      <c r="A633" t="inlineStr">
        <is>
          <t>Super second</t>
        </is>
      </c>
      <c r="B633" t="inlineStr">
        <is>
          <t>World Wine</t>
        </is>
      </c>
      <c r="C633" t="inlineStr">
        <is>
          <t>La Croix de Beaucaillou (2° Ch. Ducru-Beaucaillou)</t>
        </is>
      </c>
      <c r="D633" t="inlineStr">
        <is>
          <t>2011</t>
        </is>
      </c>
      <c r="E633" t="inlineStr">
        <is>
          <t>750</t>
        </is>
      </c>
      <c r="G633" s="8" t="n">
        <v>691.51</v>
      </c>
    </row>
    <row r="634">
      <c r="A634" t="inlineStr">
        <is>
          <t>Super second</t>
        </is>
      </c>
      <c r="B634" t="inlineStr">
        <is>
          <t>World Wine</t>
        </is>
      </c>
      <c r="C634" t="inlineStr">
        <is>
          <t>Goulée by Cos d'Estournel</t>
        </is>
      </c>
      <c r="D634" t="inlineStr">
        <is>
          <t>2009</t>
        </is>
      </c>
      <c r="E634" t="inlineStr">
        <is>
          <t>750</t>
        </is>
      </c>
      <c r="G634" s="8" t="n">
        <v>691.51</v>
      </c>
    </row>
    <row r="635">
      <c r="A635" t="inlineStr">
        <is>
          <t>Super second</t>
        </is>
      </c>
      <c r="B635" t="inlineStr">
        <is>
          <t>World Wine</t>
        </is>
      </c>
      <c r="C635" t="inlineStr">
        <is>
          <t>La Dame de Montrose (2° Ch. Montrose)</t>
        </is>
      </c>
      <c r="D635" t="inlineStr">
        <is>
          <t>2020</t>
        </is>
      </c>
      <c r="E635" t="inlineStr">
        <is>
          <t>750</t>
        </is>
      </c>
      <c r="G635" s="8" t="n">
        <v>685.4400000000001</v>
      </c>
    </row>
    <row r="636">
      <c r="A636" t="inlineStr">
        <is>
          <t>Super second</t>
        </is>
      </c>
      <c r="B636" t="inlineStr">
        <is>
          <t>World Wine</t>
        </is>
      </c>
      <c r="C636" t="inlineStr">
        <is>
          <t>La Dame de Montrose (2° Ch. Montrose)</t>
        </is>
      </c>
      <c r="D636" t="inlineStr">
        <is>
          <t>2016</t>
        </is>
      </c>
      <c r="E636" t="inlineStr">
        <is>
          <t>750</t>
        </is>
      </c>
      <c r="G636" s="8" t="n">
        <v>685.4400000000001</v>
      </c>
    </row>
    <row r="637">
      <c r="A637" t="inlineStr">
        <is>
          <t>Super second</t>
        </is>
      </c>
      <c r="B637" t="inlineStr">
        <is>
          <t>World Wine</t>
        </is>
      </c>
      <c r="C637" t="inlineStr">
        <is>
          <t>Les Griffons de Pichon Baron (2º Ch. Pichon Baron)</t>
        </is>
      </c>
      <c r="D637" t="inlineStr">
        <is>
          <t>2014</t>
        </is>
      </c>
      <c r="E637" t="inlineStr">
        <is>
          <t>750</t>
        </is>
      </c>
      <c r="G637" s="8" t="n">
        <v>685.4400000000001</v>
      </c>
    </row>
    <row r="638">
      <c r="A638" t="inlineStr">
        <is>
          <t>Super second</t>
        </is>
      </c>
      <c r="B638" t="inlineStr">
        <is>
          <t>World Wine</t>
        </is>
      </c>
      <c r="C638" t="inlineStr">
        <is>
          <t>Réserve de la Comtesse (2º Ch. Pichon Lalande)</t>
        </is>
      </c>
      <c r="D638" t="inlineStr">
        <is>
          <t>2019</t>
        </is>
      </c>
      <c r="E638" t="inlineStr">
        <is>
          <t>750</t>
        </is>
      </c>
      <c r="G638" s="8" t="n">
        <v>685.4400000000001</v>
      </c>
    </row>
    <row r="639">
      <c r="A639" t="inlineStr">
        <is>
          <t>Super second</t>
        </is>
      </c>
      <c r="B639" t="inlineStr">
        <is>
          <t>Mistral</t>
        </is>
      </c>
      <c r="C639" t="inlineStr">
        <is>
          <t>DAME DE MONTROSE 2011 (TTO) (DEUXIEME VIN)</t>
        </is>
      </c>
      <c r="D639" t="inlineStr">
        <is>
          <t>2011</t>
        </is>
      </c>
      <c r="E639" t="inlineStr">
        <is>
          <t>750ml</t>
        </is>
      </c>
      <c r="F639" t="n">
        <v>24</v>
      </c>
      <c r="G639" s="8" t="n">
        <v>682.8</v>
      </c>
    </row>
    <row r="640">
      <c r="A640" t="inlineStr">
        <is>
          <t>Super second</t>
        </is>
      </c>
      <c r="B640" t="inlineStr">
        <is>
          <t>World Wine</t>
        </is>
      </c>
      <c r="C640" t="inlineStr">
        <is>
          <t>La Croix de Beaucaillou (2° Ch. Ducru-Beaucaillou)</t>
        </is>
      </c>
      <c r="D640" t="inlineStr">
        <is>
          <t>2008</t>
        </is>
      </c>
      <c r="E640" t="inlineStr">
        <is>
          <t>750</t>
        </is>
      </c>
      <c r="G640" s="8" t="n">
        <v>658.05</v>
      </c>
    </row>
    <row r="641">
      <c r="A641" t="inlineStr">
        <is>
          <t>Super second</t>
        </is>
      </c>
      <c r="B641" t="inlineStr">
        <is>
          <t>Del Maipo</t>
        </is>
      </c>
      <c r="C641" t="inlineStr">
        <is>
          <t>BERNARD MAGREZ CLEMENTIN DE PAPE CLEMENT AOC PESSAC LEOGNAN</t>
        </is>
      </c>
      <c r="D641" t="inlineStr">
        <is>
          <t>2019</t>
        </is>
      </c>
      <c r="E641" t="inlineStr">
        <is>
          <t>750ml</t>
        </is>
      </c>
      <c r="G641" s="8" t="n">
        <v>645.75</v>
      </c>
    </row>
    <row r="642">
      <c r="A642" t="inlineStr">
        <is>
          <t>Super second</t>
        </is>
      </c>
      <c r="B642" t="inlineStr">
        <is>
          <t>Del Maipo</t>
        </is>
      </c>
      <c r="C642" t="inlineStr">
        <is>
          <t>LE PETIT DUCRU BEAUCAILLOU - AOC SAINT JULIEN</t>
        </is>
      </c>
      <c r="D642" t="inlineStr">
        <is>
          <t>2021</t>
        </is>
      </c>
      <c r="E642" t="inlineStr">
        <is>
          <t>750ml</t>
        </is>
      </c>
      <c r="G642" s="8" t="n">
        <v>633.79</v>
      </c>
    </row>
    <row r="643">
      <c r="A643" t="inlineStr">
        <is>
          <t>Super second</t>
        </is>
      </c>
      <c r="B643" t="inlineStr">
        <is>
          <t>World Wine</t>
        </is>
      </c>
      <c r="C643" t="inlineStr">
        <is>
          <t>La Dame de Montrose (2° Ch. Montrose)</t>
        </is>
      </c>
      <c r="D643" t="inlineStr">
        <is>
          <t>2019</t>
        </is>
      </c>
      <c r="E643" t="inlineStr">
        <is>
          <t>750</t>
        </is>
      </c>
      <c r="G643" s="8" t="n">
        <v>627.84</v>
      </c>
    </row>
    <row r="644">
      <c r="A644" t="inlineStr">
        <is>
          <t>Super second</t>
        </is>
      </c>
      <c r="B644" t="inlineStr">
        <is>
          <t>World Wine</t>
        </is>
      </c>
      <c r="C644" t="inlineStr">
        <is>
          <t>La Dame de Montrose (2° Ch. Montrose)</t>
        </is>
      </c>
      <c r="D644" t="inlineStr">
        <is>
          <t>2008</t>
        </is>
      </c>
      <c r="E644" t="inlineStr">
        <is>
          <t>750</t>
        </is>
      </c>
      <c r="G644" s="8" t="n">
        <v>627.84</v>
      </c>
    </row>
    <row r="645">
      <c r="A645" t="inlineStr">
        <is>
          <t>Super second</t>
        </is>
      </c>
      <c r="B645" t="inlineStr">
        <is>
          <t>World Wine</t>
        </is>
      </c>
      <c r="C645" t="inlineStr">
        <is>
          <t>La Dame de Montrose (2° Ch. Montrose)</t>
        </is>
      </c>
      <c r="D645" t="inlineStr">
        <is>
          <t>2011</t>
        </is>
      </c>
      <c r="E645" t="inlineStr">
        <is>
          <t>750</t>
        </is>
      </c>
      <c r="G645" s="8" t="n">
        <v>627.84</v>
      </c>
    </row>
    <row r="646">
      <c r="A646" t="inlineStr">
        <is>
          <t>Super second</t>
        </is>
      </c>
      <c r="B646" t="inlineStr">
        <is>
          <t>World Wine</t>
        </is>
      </c>
      <c r="C646" t="inlineStr">
        <is>
          <t>La Dame de Montrose (2° Ch. Montrose)</t>
        </is>
      </c>
      <c r="D646" t="inlineStr">
        <is>
          <t>2015</t>
        </is>
      </c>
      <c r="E646" t="inlineStr">
        <is>
          <t>750</t>
        </is>
      </c>
      <c r="G646" s="8" t="n">
        <v>627.84</v>
      </c>
    </row>
    <row r="647">
      <c r="A647" t="inlineStr">
        <is>
          <t>Super second</t>
        </is>
      </c>
      <c r="B647" t="inlineStr">
        <is>
          <t>World Wine</t>
        </is>
      </c>
      <c r="C647" t="inlineStr">
        <is>
          <t>Réserve de la Comtesse (2º Ch. Pichon Lalande)</t>
        </is>
      </c>
      <c r="D647" t="inlineStr">
        <is>
          <t>2007</t>
        </is>
      </c>
      <c r="E647" t="inlineStr">
        <is>
          <t>750</t>
        </is>
      </c>
      <c r="G647" s="8" t="n">
        <v>627.84</v>
      </c>
    </row>
    <row r="648">
      <c r="A648" t="inlineStr">
        <is>
          <t>Super second</t>
        </is>
      </c>
      <c r="B648" t="inlineStr">
        <is>
          <t>Boisse</t>
        </is>
      </c>
      <c r="C648" t="inlineStr">
        <is>
          <t>ECHO LYNCH BAGES 2022 750ML CX DE MADEIRA 6 UNID</t>
        </is>
      </c>
      <c r="D648" t="inlineStr">
        <is>
          <t>2022</t>
        </is>
      </c>
      <c r="E648" t="inlineStr"/>
      <c r="G648" s="8" t="n">
        <v>617.7</v>
      </c>
    </row>
    <row r="649">
      <c r="A649" t="inlineStr">
        <is>
          <t>Super second</t>
        </is>
      </c>
      <c r="B649" t="inlineStr">
        <is>
          <t>World Wine</t>
        </is>
      </c>
      <c r="C649" t="inlineStr">
        <is>
          <t>Goulée by Cos d'Estournel</t>
        </is>
      </c>
      <c r="D649" t="inlineStr">
        <is>
          <t>2010</t>
        </is>
      </c>
      <c r="E649" t="inlineStr">
        <is>
          <t>750</t>
        </is>
      </c>
      <c r="G649" s="8" t="n">
        <v>575.42</v>
      </c>
    </row>
    <row r="650">
      <c r="A650" t="inlineStr">
        <is>
          <t>Super second</t>
        </is>
      </c>
      <c r="B650" t="inlineStr">
        <is>
          <t>World Wine</t>
        </is>
      </c>
      <c r="C650" t="inlineStr">
        <is>
          <t>La Dame de Montrose (2° Ch. Montrose)</t>
        </is>
      </c>
      <c r="D650" t="inlineStr">
        <is>
          <t>2017</t>
        </is>
      </c>
      <c r="E650" t="inlineStr">
        <is>
          <t>750</t>
        </is>
      </c>
      <c r="G650" s="8" t="n">
        <v>575.36</v>
      </c>
    </row>
    <row r="651">
      <c r="A651" t="inlineStr">
        <is>
          <t>Super second</t>
        </is>
      </c>
      <c r="B651" t="inlineStr">
        <is>
          <t>World Wine</t>
        </is>
      </c>
      <c r="C651" t="inlineStr">
        <is>
          <t>Clémentin de Pape Clément (2° Ch. Pape Clément)</t>
        </is>
      </c>
      <c r="D651" t="inlineStr">
        <is>
          <t>2015</t>
        </is>
      </c>
      <c r="E651" t="inlineStr">
        <is>
          <t>750</t>
        </is>
      </c>
      <c r="G651" s="8" t="n">
        <v>575.36</v>
      </c>
    </row>
    <row r="652">
      <c r="A652" t="inlineStr">
        <is>
          <t>Super second</t>
        </is>
      </c>
      <c r="B652" t="inlineStr">
        <is>
          <t>Mistral</t>
        </is>
      </c>
      <c r="C652" t="inlineStr">
        <is>
          <t>LA RESERVE DE LEOVILLE-BARTON 2007 (TTO) (COM SELO)</t>
        </is>
      </c>
      <c r="D652" t="inlineStr">
        <is>
          <t>2007</t>
        </is>
      </c>
      <c r="E652" t="inlineStr">
        <is>
          <t>750ml</t>
        </is>
      </c>
      <c r="F652" t="n">
        <v>99</v>
      </c>
      <c r="G652" s="8" t="n">
        <v>566.86</v>
      </c>
    </row>
    <row r="653">
      <c r="A653" t="inlineStr">
        <is>
          <t>Super second</t>
        </is>
      </c>
      <c r="B653" t="inlineStr">
        <is>
          <t>World Wine</t>
        </is>
      </c>
      <c r="C653" t="inlineStr">
        <is>
          <t>Clémentin de Pape Clément (2° Ch. Pape Clément)</t>
        </is>
      </c>
      <c r="D653" t="inlineStr">
        <is>
          <t>2018</t>
        </is>
      </c>
      <c r="E653" t="inlineStr">
        <is>
          <t>750</t>
        </is>
      </c>
      <c r="G653" s="8" t="n">
        <v>517.76</v>
      </c>
    </row>
    <row r="654">
      <c r="A654" t="inlineStr">
        <is>
          <t>Super second</t>
        </is>
      </c>
      <c r="B654" t="inlineStr">
        <is>
          <t>World Wine</t>
        </is>
      </c>
      <c r="C654" t="inlineStr">
        <is>
          <t>Le Petit Haut Lafitte (2º Ch. Smith Haut Lafitte)</t>
        </is>
      </c>
      <c r="D654" t="inlineStr">
        <is>
          <t>2020</t>
        </is>
      </c>
      <c r="E654" t="inlineStr">
        <is>
          <t>750</t>
        </is>
      </c>
      <c r="G654" s="8" t="n">
        <v>494.72</v>
      </c>
    </row>
    <row r="655">
      <c r="A655" t="inlineStr">
        <is>
          <t>Super second</t>
        </is>
      </c>
      <c r="B655" t="inlineStr">
        <is>
          <t>World Wine</t>
        </is>
      </c>
      <c r="C655" t="inlineStr">
        <is>
          <t>Réserve de la Comtesse (2º Ch. Pichon Lalande)</t>
        </is>
      </c>
      <c r="D655" t="inlineStr">
        <is>
          <t>2010</t>
        </is>
      </c>
      <c r="E655" t="inlineStr">
        <is>
          <t>750</t>
        </is>
      </c>
      <c r="G655" s="8" t="n">
        <v>474.02</v>
      </c>
    </row>
    <row r="656">
      <c r="A656" t="inlineStr">
        <is>
          <t>Super second</t>
        </is>
      </c>
      <c r="B656" t="inlineStr">
        <is>
          <t>World Wine</t>
        </is>
      </c>
      <c r="C656" t="inlineStr">
        <is>
          <t>Le Petit Ducru de Ducru-Beaucaillou</t>
        </is>
      </c>
      <c r="D656" t="inlineStr">
        <is>
          <t>2018</t>
        </is>
      </c>
      <c r="E656" t="inlineStr">
        <is>
          <t>750</t>
        </is>
      </c>
      <c r="G656" s="8" t="n">
        <v>460.22</v>
      </c>
    </row>
    <row r="657">
      <c r="A657" t="inlineStr">
        <is>
          <t>Super second</t>
        </is>
      </c>
      <c r="B657" t="inlineStr">
        <is>
          <t>World Wine</t>
        </is>
      </c>
      <c r="C657" t="inlineStr">
        <is>
          <t>Le Petit Haut Lafitte (2º Ch. Smith Haut Lafitte)</t>
        </is>
      </c>
      <c r="D657" t="inlineStr">
        <is>
          <t>2016</t>
        </is>
      </c>
      <c r="E657" t="inlineStr">
        <is>
          <t>750</t>
        </is>
      </c>
      <c r="G657" s="8" t="n">
        <v>460.22</v>
      </c>
    </row>
    <row r="658">
      <c r="A658" t="inlineStr">
        <is>
          <t>Super second</t>
        </is>
      </c>
      <c r="B658" t="inlineStr">
        <is>
          <t>World Wine</t>
        </is>
      </c>
      <c r="C658" t="inlineStr">
        <is>
          <t>Le Petit Haut Lafitte (2º Ch. Smith Haut Lafitte)</t>
        </is>
      </c>
      <c r="D658" t="inlineStr">
        <is>
          <t>2018</t>
        </is>
      </c>
      <c r="E658" t="inlineStr">
        <is>
          <t>750</t>
        </is>
      </c>
      <c r="G658" s="8" t="n">
        <v>460.16</v>
      </c>
    </row>
    <row r="659">
      <c r="A659" t="inlineStr">
        <is>
          <t>Super second</t>
        </is>
      </c>
      <c r="B659" t="inlineStr">
        <is>
          <t>Boisse</t>
        </is>
      </c>
      <c r="C659" t="inlineStr">
        <is>
          <t>DAME DE MONTROSE 2013 CX MADEIRA C /6</t>
        </is>
      </c>
      <c r="D659" t="inlineStr">
        <is>
          <t>2013</t>
        </is>
      </c>
      <c r="E659" t="inlineStr"/>
      <c r="G659" s="8" t="n">
        <v>426</v>
      </c>
    </row>
    <row r="660">
      <c r="A660" t="inlineStr">
        <is>
          <t>Super second</t>
        </is>
      </c>
      <c r="B660" t="inlineStr">
        <is>
          <t>World Wine</t>
        </is>
      </c>
      <c r="C660" t="inlineStr">
        <is>
          <t>Goulée by Cos d'Estournel</t>
        </is>
      </c>
      <c r="D660" t="inlineStr">
        <is>
          <t>2018</t>
        </is>
      </c>
      <c r="E660" t="inlineStr">
        <is>
          <t>750</t>
        </is>
      </c>
      <c r="G660" s="8" t="n">
        <v>391.1</v>
      </c>
    </row>
    <row r="661">
      <c r="A661" t="inlineStr">
        <is>
          <t>Super second</t>
        </is>
      </c>
      <c r="B661" t="inlineStr">
        <is>
          <t>World Wine</t>
        </is>
      </c>
      <c r="C661" t="inlineStr">
        <is>
          <t>Château Yon Figeac</t>
        </is>
      </c>
      <c r="D661" t="inlineStr">
        <is>
          <t>2020</t>
        </is>
      </c>
      <c r="E661" t="inlineStr">
        <is>
          <t>750</t>
        </is>
      </c>
      <c r="G661" s="8" t="n">
        <v>391.04</v>
      </c>
    </row>
    <row r="662">
      <c r="A662" t="inlineStr">
        <is>
          <t>Super second</t>
        </is>
      </c>
      <c r="B662" t="inlineStr">
        <is>
          <t>Del Maipo</t>
        </is>
      </c>
      <c r="C662" t="inlineStr">
        <is>
          <t>BERNARD MAGREZ L'AME DE PAPE CLEMENT AOP GRAVES</t>
        </is>
      </c>
      <c r="D662" t="inlineStr">
        <is>
          <t>2019</t>
        </is>
      </c>
      <c r="E662" t="inlineStr">
        <is>
          <t>750ml</t>
        </is>
      </c>
      <c r="G662" s="8" t="n">
        <v>373.34</v>
      </c>
    </row>
    <row r="663">
      <c r="A663" t="inlineStr">
        <is>
          <t>Super second</t>
        </is>
      </c>
      <c r="B663" t="inlineStr">
        <is>
          <t>Del Maipo</t>
        </is>
      </c>
      <c r="C663" t="inlineStr">
        <is>
          <t>BERNARD MAGREZ L'AME DE PAPE CLEMENT AOP GRAVES</t>
        </is>
      </c>
      <c r="D663" t="inlineStr">
        <is>
          <t>2020</t>
        </is>
      </c>
      <c r="E663" t="inlineStr">
        <is>
          <t>750ml</t>
        </is>
      </c>
      <c r="G663" s="8" t="n">
        <v>373.34</v>
      </c>
    </row>
    <row r="664">
      <c r="A664" t="inlineStr">
        <is>
          <t>Super second</t>
        </is>
      </c>
      <c r="B664" t="inlineStr">
        <is>
          <t>Boisse</t>
        </is>
      </c>
      <c r="C664" t="inlineStr">
        <is>
          <t>PETIT SMITH HAUT LAFITTE 2019 750ML CX DE MADEIRA 6 UNID</t>
        </is>
      </c>
      <c r="D664" t="inlineStr">
        <is>
          <t>2019</t>
        </is>
      </c>
      <c r="E664" t="inlineStr"/>
      <c r="G664" s="8" t="n">
        <v>362.1</v>
      </c>
    </row>
    <row r="665">
      <c r="A665" t="inlineStr">
        <is>
          <t>Super second</t>
        </is>
      </c>
      <c r="B665" t="inlineStr">
        <is>
          <t>Boisse</t>
        </is>
      </c>
      <c r="C665" t="inlineStr">
        <is>
          <t>ST EM GRAND CRU  LAMARZELLE FIGEAC  2019 CB 06 750 ML</t>
        </is>
      </c>
      <c r="D665" t="inlineStr">
        <is>
          <t>2019</t>
        </is>
      </c>
      <c r="E665" t="inlineStr"/>
      <c r="G665" s="8" t="n">
        <v>266.25</v>
      </c>
    </row>
    <row r="666">
      <c r="A666" t="inlineStr">
        <is>
          <t>Super second</t>
        </is>
      </c>
      <c r="B666" t="inlineStr">
        <is>
          <t>Boisse</t>
        </is>
      </c>
      <c r="C666" t="inlineStr">
        <is>
          <t>ST EM GRAND CRU LAMARZELLECFIGEAC  2013 CB 06 750 ML</t>
        </is>
      </c>
      <c r="D666" t="inlineStr">
        <is>
          <t>2013</t>
        </is>
      </c>
      <c r="E666" t="inlineStr"/>
      <c r="G666" s="8" t="n">
        <v>191.7</v>
      </c>
    </row>
    <row r="667">
      <c r="A667" t="inlineStr">
        <is>
          <t>Yquem</t>
        </is>
      </c>
      <c r="B667" t="inlineStr">
        <is>
          <t>Tanyno</t>
        </is>
      </c>
      <c r="C667" t="inlineStr">
        <is>
          <t>CHATEAU D YQUEM — VERTICAL CHATEAU D YQUEM (91 | 97 | 98 | 00 | 04 | 05 | 06 | 08 | 10 | 11 | 14 | 15 | 16)</t>
        </is>
      </c>
      <c r="D667" t="inlineStr"/>
      <c r="E667" t="inlineStr"/>
      <c r="F667" t="n">
        <v>3</v>
      </c>
      <c r="G667" s="8" t="n">
        <v>73517.02</v>
      </c>
    </row>
    <row r="668">
      <c r="A668" t="inlineStr">
        <is>
          <t>Yquem</t>
        </is>
      </c>
      <c r="B668" t="inlineStr">
        <is>
          <t>Del Maipo</t>
        </is>
      </c>
      <c r="C668" t="inlineStr">
        <is>
          <t>FRANCE SAUTERNES CHATEAU D'YQUEM BRANCO 1943 750ML</t>
        </is>
      </c>
      <c r="D668" t="inlineStr">
        <is>
          <t>1943</t>
        </is>
      </c>
      <c r="E668" t="inlineStr"/>
      <c r="F668" t="n">
        <v>1</v>
      </c>
      <c r="G668" s="8" t="n">
        <v>41941.44</v>
      </c>
    </row>
    <row r="669">
      <c r="A669" t="inlineStr">
        <is>
          <t>Yquem</t>
        </is>
      </c>
      <c r="B669" t="inlineStr">
        <is>
          <t>Del Maipo</t>
        </is>
      </c>
      <c r="C669" t="inlineStr">
        <is>
          <t>FRANCE SAUTERNES CHATEAU D'YQUEM BRANCO 1949 750ML</t>
        </is>
      </c>
      <c r="D669" t="inlineStr">
        <is>
          <t>1949</t>
        </is>
      </c>
      <c r="E669" t="inlineStr"/>
      <c r="F669" t="n">
        <v>2</v>
      </c>
      <c r="G669" s="8" t="n">
        <v>37947.02</v>
      </c>
    </row>
    <row r="670">
      <c r="A670" t="inlineStr">
        <is>
          <t>Yquem</t>
        </is>
      </c>
      <c r="B670" t="inlineStr">
        <is>
          <t>Del Maipo</t>
        </is>
      </c>
      <c r="C670" t="inlineStr">
        <is>
          <t>FRANCE SAUTERNES CHATEAU D'YQUEM BRANCO 1986 750ML</t>
        </is>
      </c>
      <c r="D670" t="inlineStr">
        <is>
          <t>1986</t>
        </is>
      </c>
      <c r="E670" t="inlineStr"/>
      <c r="F670" t="n">
        <v>1</v>
      </c>
      <c r="G670" s="8" t="n">
        <v>16805.25</v>
      </c>
    </row>
    <row r="671">
      <c r="A671" t="inlineStr">
        <is>
          <t>Yquem</t>
        </is>
      </c>
      <c r="B671" t="inlineStr">
        <is>
          <t>Del Maipo</t>
        </is>
      </c>
      <c r="C671" t="inlineStr">
        <is>
          <t>FRANCE SAUTERNES CHATEAU D'YQUEM BRANCO 1962 750ML</t>
        </is>
      </c>
      <c r="D671" t="inlineStr">
        <is>
          <t>1962</t>
        </is>
      </c>
      <c r="E671" t="inlineStr"/>
      <c r="F671" t="n">
        <v>1</v>
      </c>
      <c r="G671" s="8" t="n">
        <v>13318.58</v>
      </c>
    </row>
    <row r="672">
      <c r="A672" t="inlineStr">
        <is>
          <t>Yquem</t>
        </is>
      </c>
      <c r="B672" t="inlineStr">
        <is>
          <t>Del Maipo</t>
        </is>
      </c>
      <c r="C672" t="inlineStr">
        <is>
          <t>FRANCE SAUTERNES CHATEAU D'YQUEM BRANCO 2002 750ML</t>
        </is>
      </c>
      <c r="D672" t="inlineStr">
        <is>
          <t>2002</t>
        </is>
      </c>
      <c r="E672" t="inlineStr"/>
      <c r="F672" t="n">
        <v>3</v>
      </c>
      <c r="G672" s="8" t="n">
        <v>9766.959999999999</v>
      </c>
    </row>
    <row r="673">
      <c r="A673" t="inlineStr">
        <is>
          <t>Yquem</t>
        </is>
      </c>
      <c r="B673" t="inlineStr">
        <is>
          <t>Mistral</t>
        </is>
      </c>
      <c r="C673" t="inlineStr">
        <is>
          <t>CH. D YQUEM 2018 (BCO/DCE) (COM SELO)</t>
        </is>
      </c>
      <c r="D673" t="inlineStr">
        <is>
          <t>2018</t>
        </is>
      </c>
      <c r="E673" t="inlineStr">
        <is>
          <t>750ml</t>
        </is>
      </c>
      <c r="F673" t="n">
        <v>3</v>
      </c>
      <c r="G673" s="8" t="n">
        <v>8724.709999999999</v>
      </c>
    </row>
    <row r="674">
      <c r="A674" t="inlineStr">
        <is>
          <t>Yquem</t>
        </is>
      </c>
      <c r="B674" t="inlineStr">
        <is>
          <t>Tanyno</t>
        </is>
      </c>
      <c r="C674" t="inlineStr">
        <is>
          <t>CHATEAU D YQUEM — CHATEAU D YQUEM</t>
        </is>
      </c>
      <c r="D674" t="inlineStr">
        <is>
          <t>2014</t>
        </is>
      </c>
      <c r="E674" t="inlineStr"/>
      <c r="F674" t="n">
        <v>1</v>
      </c>
      <c r="G674" s="8" t="n">
        <v>5758.27</v>
      </c>
    </row>
    <row r="675">
      <c r="A675" t="inlineStr">
        <is>
          <t>Yquem</t>
        </is>
      </c>
      <c r="B675" t="inlineStr">
        <is>
          <t>Tanyno</t>
        </is>
      </c>
      <c r="C675" t="inlineStr">
        <is>
          <t>CHATEAU D YQUEM — CHATEAU D'YQUEM</t>
        </is>
      </c>
      <c r="D675" t="inlineStr">
        <is>
          <t>2004</t>
        </is>
      </c>
      <c r="E675" t="inlineStr"/>
      <c r="F675" t="n">
        <v>1</v>
      </c>
      <c r="G675" s="8" t="n">
        <v>5758.27</v>
      </c>
    </row>
    <row r="676">
      <c r="A676" t="inlineStr">
        <is>
          <t>Yquem</t>
        </is>
      </c>
      <c r="B676" t="inlineStr">
        <is>
          <t>World Wine</t>
        </is>
      </c>
      <c r="C676" t="inlineStr">
        <is>
          <t>Château d'Yquem</t>
        </is>
      </c>
      <c r="D676" t="inlineStr">
        <is>
          <t>2006</t>
        </is>
      </c>
      <c r="E676" t="inlineStr">
        <is>
          <t>750</t>
        </is>
      </c>
      <c r="G676" s="8" t="n">
        <v>5754.24</v>
      </c>
    </row>
    <row r="677">
      <c r="A677" t="inlineStr">
        <is>
          <t>Yquem</t>
        </is>
      </c>
      <c r="B677" t="inlineStr">
        <is>
          <t>World Wine</t>
        </is>
      </c>
      <c r="C677" t="inlineStr">
        <is>
          <t>Château d'Yquem</t>
        </is>
      </c>
      <c r="D677" t="inlineStr">
        <is>
          <t>2020</t>
        </is>
      </c>
      <c r="E677" t="inlineStr">
        <is>
          <t>750</t>
        </is>
      </c>
      <c r="G677" s="8" t="n">
        <v>5293.44</v>
      </c>
    </row>
    <row r="678">
      <c r="A678" t="inlineStr">
        <is>
          <t>Yquem</t>
        </is>
      </c>
      <c r="B678" t="inlineStr">
        <is>
          <t>Boisse</t>
        </is>
      </c>
      <c r="C678" t="inlineStr">
        <is>
          <t>CHATEAU D'YQUEM 2020 750ML CX DE MADEIRA 6 UNID</t>
        </is>
      </c>
      <c r="D678" t="inlineStr">
        <is>
          <t>2020</t>
        </is>
      </c>
      <c r="E678" t="inlineStr"/>
      <c r="G678" s="8" t="n">
        <v>5165.25</v>
      </c>
    </row>
    <row r="679">
      <c r="A679" t="inlineStr">
        <is>
          <t>Yquem</t>
        </is>
      </c>
      <c r="B679" t="inlineStr">
        <is>
          <t>World Wine</t>
        </is>
      </c>
      <c r="C679" t="inlineStr">
        <is>
          <t>Château d'Yquem</t>
        </is>
      </c>
      <c r="D679" t="inlineStr">
        <is>
          <t>2016</t>
        </is>
      </c>
      <c r="E679" t="inlineStr">
        <is>
          <t>750</t>
        </is>
      </c>
      <c r="G679" s="8" t="n">
        <v>4429.44</v>
      </c>
    </row>
    <row r="680">
      <c r="A680" t="inlineStr">
        <is>
          <t>Yquem</t>
        </is>
      </c>
      <c r="B680" t="inlineStr">
        <is>
          <t>Mistral</t>
        </is>
      </c>
      <c r="C680" t="inlineStr">
        <is>
          <t>375ml CH. D YQUEM 2021 (BCO/DCE)</t>
        </is>
      </c>
      <c r="D680" t="inlineStr">
        <is>
          <t>2021</t>
        </is>
      </c>
      <c r="E680" t="inlineStr">
        <is>
          <t>375ml</t>
        </is>
      </c>
      <c r="F680" t="n">
        <v>17</v>
      </c>
      <c r="G680" s="8" t="n">
        <v>4379.89</v>
      </c>
    </row>
    <row r="681">
      <c r="A681" t="inlineStr">
        <is>
          <t>Yquem</t>
        </is>
      </c>
      <c r="B681" t="inlineStr">
        <is>
          <t>World Wine</t>
        </is>
      </c>
      <c r="C681" t="inlineStr">
        <is>
          <t>Château d'Yquem</t>
        </is>
      </c>
      <c r="D681" t="inlineStr">
        <is>
          <t>2018</t>
        </is>
      </c>
      <c r="E681" t="inlineStr">
        <is>
          <t>750</t>
        </is>
      </c>
      <c r="G681" s="8" t="n">
        <v>4371.84</v>
      </c>
    </row>
    <row r="682">
      <c r="A682" t="inlineStr">
        <is>
          <t>Yquem</t>
        </is>
      </c>
      <c r="B682" t="inlineStr">
        <is>
          <t>Tanyno</t>
        </is>
      </c>
      <c r="C682" t="inlineStr">
        <is>
          <t>CHATEAU D YQUEM — CHATEAU D YQUEM HALF BOTTLE</t>
        </is>
      </c>
      <c r="D682" t="inlineStr">
        <is>
          <t>2010</t>
        </is>
      </c>
      <c r="E682" t="inlineStr"/>
      <c r="F682" t="n">
        <v>17</v>
      </c>
      <c r="G682" s="8" t="n">
        <v>3598.12</v>
      </c>
    </row>
    <row r="683">
      <c r="A683" t="inlineStr">
        <is>
          <t>Yquem</t>
        </is>
      </c>
      <c r="B683" t="inlineStr">
        <is>
          <t>Tanyno</t>
        </is>
      </c>
      <c r="C683" t="inlineStr">
        <is>
          <t>CHATEAU D YQUEM — CHATEAU D YQUEM HALF BOTTLE</t>
        </is>
      </c>
      <c r="D683" t="inlineStr">
        <is>
          <t>2016</t>
        </is>
      </c>
      <c r="E683" t="inlineStr"/>
      <c r="F683" t="n">
        <v>20</v>
      </c>
      <c r="G683" s="8" t="n">
        <v>3055.82</v>
      </c>
    </row>
    <row r="684">
      <c r="A684" t="inlineStr">
        <is>
          <t>Yquem</t>
        </is>
      </c>
      <c r="B684" t="inlineStr">
        <is>
          <t>Tanyno</t>
        </is>
      </c>
      <c r="C684" t="inlineStr">
        <is>
          <t>CHATEAU D YQUEM — CHATEAU D'YQUEM HALF BOTTLE</t>
        </is>
      </c>
      <c r="D684" t="inlineStr">
        <is>
          <t>2019</t>
        </is>
      </c>
      <c r="E684" t="inlineStr"/>
      <c r="F684" t="n">
        <v>12</v>
      </c>
      <c r="G684" s="8" t="n">
        <v>2882.74</v>
      </c>
    </row>
    <row r="685">
      <c r="A685" t="inlineStr">
        <is>
          <t>Yquem</t>
        </is>
      </c>
      <c r="B685" t="inlineStr">
        <is>
          <t>World Wine</t>
        </is>
      </c>
      <c r="C685" t="inlineStr">
        <is>
          <t>Y d'Yquem</t>
        </is>
      </c>
      <c r="D685" t="inlineStr">
        <is>
          <t>2021</t>
        </is>
      </c>
      <c r="E685" t="inlineStr">
        <is>
          <t>750</t>
        </is>
      </c>
      <c r="G685" s="8" t="n">
        <v>2816.64</v>
      </c>
    </row>
    <row r="686">
      <c r="A686" t="inlineStr">
        <is>
          <t>Yquem</t>
        </is>
      </c>
      <c r="B686" t="inlineStr">
        <is>
          <t>World Wine</t>
        </is>
      </c>
      <c r="C686" t="inlineStr">
        <is>
          <t>Y d'Yquem</t>
        </is>
      </c>
      <c r="D686" t="inlineStr">
        <is>
          <t>2020</t>
        </is>
      </c>
      <c r="E686" t="inlineStr">
        <is>
          <t>750</t>
        </is>
      </c>
      <c r="G686" s="8" t="n">
        <v>2759.04</v>
      </c>
    </row>
    <row r="687">
      <c r="A687" t="inlineStr">
        <is>
          <t>Yquem</t>
        </is>
      </c>
      <c r="B687" t="inlineStr">
        <is>
          <t>Boisse</t>
        </is>
      </c>
      <c r="C687" t="inlineStr">
        <is>
          <t>CHATEAU D'YQUEM 2020 375ML CX DE MADEIRA 6 UNID</t>
        </is>
      </c>
      <c r="D687" t="inlineStr">
        <is>
          <t>2020</t>
        </is>
      </c>
      <c r="E687" t="inlineStr"/>
      <c r="G687" s="8" t="n">
        <v>2582.63</v>
      </c>
    </row>
  </sheetData>
  <autoFilter ref="A1:G6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2026-09-28T11:34:25Z</dcterms:created>
  <dcterms:modified xsi:type="dcterms:W3CDTF">2026-09-28T11:34:25Z</dcterms:modified>
</cp:coreProperties>
</file>