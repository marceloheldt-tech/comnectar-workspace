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ço final" state="visible" r:id="rId4"/>
  </sheets>
  <calcPr calcId="171027"/>
</workbook>
</file>

<file path=xl/sharedStrings.xml><?xml version="1.0" encoding="utf-8"?>
<sst xmlns="http://schemas.openxmlformats.org/spreadsheetml/2006/main" count="71" uniqueCount="60">
  <si>
    <t>Fator sobre A37</t>
  </si>
  <si>
    <t>Simples Nacional (sobre a venda, no cálculo do preço de venda)</t>
  </si>
  <si>
    <t>Acréscimo sobre o preço de venda</t>
  </si>
  <si>
    <t>Vinho</t>
  </si>
  <si>
    <t>Produtor</t>
  </si>
  <si>
    <t>Safra</t>
  </si>
  <si>
    <t>Estoque</t>
  </si>
  <si>
    <t>A37 (site Tanyno)</t>
  </si>
  <si>
    <t>Custo (A37 × 1,13)</t>
  </si>
  <si>
    <t>Markup</t>
  </si>
  <si>
    <t>Preço de venda (custo × markup ÷ 0,92)</t>
  </si>
  <si>
    <t>Acréscimo 8%</t>
  </si>
  <si>
    <t>Preço final (venda + 8%)</t>
  </si>
  <si>
    <t>Le Serre Nuove dell'Ornellaia magnum</t>
  </si>
  <si>
    <t>Ornellaia</t>
  </si>
  <si>
    <t>Barolo Paiagallo magnum</t>
  </si>
  <si>
    <t>Mauro Veglio</t>
  </si>
  <si>
    <t>Chassagne-Montrachet 1er Cru En Remilly</t>
  </si>
  <si>
    <t>Xavier Monnot</t>
  </si>
  <si>
    <t>Puligny-Montrachet 1er Cru Les Folatières</t>
  </si>
  <si>
    <t>Nuits-Saint-Georges magnum</t>
  </si>
  <si>
    <t>Les Petits Lieux</t>
  </si>
  <si>
    <t>Vougeot 1er Cru Les Crâs</t>
  </si>
  <si>
    <t>Mongeard-Mugneret</t>
  </si>
  <si>
    <t>Château Valandraud</t>
  </si>
  <si>
    <t>Gevrey-Chambertin 1er Cru Les Cazetiers</t>
  </si>
  <si>
    <t>Domaine Sérafin</t>
  </si>
  <si>
    <t>Gevrey-Chambertin 1er Cru Les Corbeaux</t>
  </si>
  <si>
    <t>Jane Eyre</t>
  </si>
  <si>
    <t>Nuits-Saint-Georges 1er Cru Aux Boudots</t>
  </si>
  <si>
    <t>Domaine Jean Grivot</t>
  </si>
  <si>
    <t>Cirsion</t>
  </si>
  <si>
    <t>Bodegas Roda</t>
  </si>
  <si>
    <t>Volnay 1er Cru Clos des 60 Ouvrées magnum</t>
  </si>
  <si>
    <t>La Pousse d'Or</t>
  </si>
  <si>
    <t>Nuits-Saint-Georges Les Plateaux magnum</t>
  </si>
  <si>
    <t>Pichon Longueville Comtesse de Lalande</t>
  </si>
  <si>
    <t>Comtesse de Lalande</t>
  </si>
  <si>
    <t>Château Les Carmes Haut-Brion</t>
  </si>
  <si>
    <t>Les Carmes Haut-Brion</t>
  </si>
  <si>
    <t>Meursault Charmes 1er Cru magnum</t>
  </si>
  <si>
    <t>Domaine Guy Bocard</t>
  </si>
  <si>
    <t>Charmes-Chambertin Grand Cru</t>
  </si>
  <si>
    <t>Le Serre Nuove dell'Ornellaia double magnum</t>
  </si>
  <si>
    <t>Corton-Charlemagne</t>
  </si>
  <si>
    <t>Michel Juillot</t>
  </si>
  <si>
    <t>Clos de Vougeot</t>
  </si>
  <si>
    <t>Bonnes Mares Grand Cru</t>
  </si>
  <si>
    <t>J.P. Marchand</t>
  </si>
  <si>
    <t>Lodovico</t>
  </si>
  <si>
    <t>Tenuta di Biserno</t>
  </si>
  <si>
    <t>Le Petit Mouton de Mouton Rothschild</t>
  </si>
  <si>
    <t>Mouton Rothschild</t>
  </si>
  <si>
    <t>Bâtard-Montrachet</t>
  </si>
  <si>
    <t>Jean Chartron</t>
  </si>
  <si>
    <t>Chevalier-Montrachet Grand Cru Clos des Chevaliers</t>
  </si>
  <si>
    <t>Château Haut-Brion</t>
  </si>
  <si>
    <t>Clarence Dillon</t>
  </si>
  <si>
    <t>Chambertin Grand Cru</t>
  </si>
  <si>
    <t>Domaine Trapet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</si>
</sst>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991356"/>
      </patternFill>
    </fill>
    <fill>
      <patternFill patternType="solid">
        <fgColor rgb="FFF7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64" fontId="1" fillId="0" borderId="0" xfId="0" applyNumberFormat="1" applyFont="1"/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0" applyNumberFormat="1" applyFill="1"/>
    <xf numFmtId="2" fontId="0" fillId="3" borderId="0" xfId="0" applyNumberFormat="1" applyFill="1" applyAlignment="1">
      <alignment horizontal="center"/>
    </xf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46" customWidth="1"/>
    <col min="2" max="2" width="24" customWidth="1"/>
    <col min="3" max="3" width="8" customWidth="1"/>
    <col min="5" max="6" width="17" customWidth="1"/>
    <col min="8" max="8" width="24" customWidth="1"/>
    <col min="9" max="9" width="15" customWidth="1"/>
    <col min="10" max="10" width="20" customWidth="1"/>
  </cols>
  <sheetData>
    <row r="1" spans="1:2" x14ac:dyDescent="0.25">
      <c r="A1" s="1" t="s">
        <v>0</v>
      </c>
      <c r="B1">
        <v>1.13</v>
      </c>
    </row>
    <row r="2" spans="1:2" x14ac:dyDescent="0.25">
      <c r="A2" s="1" t="s">
        <v>1</v>
      </c>
      <c r="B2" s="2">
        <v>0.08</v>
      </c>
    </row>
    <row r="3" spans="1:2" x14ac:dyDescent="0.25">
      <c r="A3" s="1" t="s">
        <v>2</v>
      </c>
      <c r="B3" s="2">
        <v>0.08</v>
      </c>
    </row>
    <row r="5" ht="48" customHeight="1" spans="1:10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x14ac:dyDescent="0.25">
      <c r="A6" t="s">
        <v>13</v>
      </c>
      <c r="B6" t="s">
        <v>14</v>
      </c>
      <c r="C6" s="4">
        <v>2022</v>
      </c>
      <c r="D6" s="4">
        <v>20</v>
      </c>
      <c r="E6" s="5">
        <v>1505.11125</v>
      </c>
      <c r="F6" s="5">
        <f>E6*$B$1</f>
        <v>1700.7757124999998</v>
      </c>
      <c r="G6" s="6">
        <v>1.4</v>
      </c>
      <c r="H6" s="5">
        <f>F6*G6/(1-$B$2)</f>
        <v>2588.136953804347</v>
      </c>
      <c r="I6" s="5">
        <f>H6*$B$3</f>
        <v>207.05095630434775</v>
      </c>
      <c r="J6" s="7">
        <f>H6+I6</f>
        <v>2795.1879101086947</v>
      </c>
    </row>
    <row r="7" spans="1:10" x14ac:dyDescent="0.25">
      <c r="A7" s="8" t="s">
        <v>15</v>
      </c>
      <c r="B7" s="8" t="s">
        <v>16</v>
      </c>
      <c r="C7" s="9">
        <v>2021</v>
      </c>
      <c r="D7" s="9">
        <v>3</v>
      </c>
      <c r="E7" s="10">
        <v>1579.4269499999998</v>
      </c>
      <c r="F7" s="10">
        <f>E7*$B$1</f>
        <v>1784.7524534999995</v>
      </c>
      <c r="G7" s="11">
        <v>1.4</v>
      </c>
      <c r="H7" s="10">
        <f>F7*G7/(1-$B$2)</f>
        <v>2715.927646630434</v>
      </c>
      <c r="I7" s="10">
        <f>H7*$B$3</f>
        <v>217.27421173043473</v>
      </c>
      <c r="J7" s="12">
        <f>H7+I7</f>
        <v>2933.201858360869</v>
      </c>
    </row>
    <row r="8" spans="1:10" x14ac:dyDescent="0.25">
      <c r="A8" t="s">
        <v>17</v>
      </c>
      <c r="B8" t="s">
        <v>18</v>
      </c>
      <c r="C8" s="4">
        <v>2023</v>
      </c>
      <c r="D8" s="4">
        <v>45</v>
      </c>
      <c r="E8" s="5">
        <v>1588.4368499999998</v>
      </c>
      <c r="F8" s="5">
        <f>E8*$B$1</f>
        <v>1794.9336404999997</v>
      </c>
      <c r="G8" s="6">
        <v>1.4</v>
      </c>
      <c r="H8" s="5">
        <f>F8*G8/(1-$B$2)</f>
        <v>2731.420757282608</v>
      </c>
      <c r="I8" s="5">
        <f>H8*$B$3</f>
        <v>218.51366058260865</v>
      </c>
      <c r="J8" s="7">
        <f>H8+I8</f>
        <v>2949.934417865217</v>
      </c>
    </row>
    <row r="9" spans="1:10" x14ac:dyDescent="0.25">
      <c r="A9" s="8" t="s">
        <v>19</v>
      </c>
      <c r="B9" s="8" t="s">
        <v>18</v>
      </c>
      <c r="C9" s="9">
        <v>2023</v>
      </c>
      <c r="D9" s="9">
        <v>36</v>
      </c>
      <c r="E9" s="10">
        <v>1588.4368499999998</v>
      </c>
      <c r="F9" s="10">
        <f>E9*$B$1</f>
        <v>1794.9336404999997</v>
      </c>
      <c r="G9" s="11">
        <v>1.4</v>
      </c>
      <c r="H9" s="10">
        <f>F9*G9/(1-$B$2)</f>
        <v>2731.420757282608</v>
      </c>
      <c r="I9" s="10">
        <f>H9*$B$3</f>
        <v>218.51366058260865</v>
      </c>
      <c r="J9" s="12">
        <f>H9+I9</f>
        <v>2949.934417865217</v>
      </c>
    </row>
    <row r="10" spans="1:10" x14ac:dyDescent="0.25">
      <c r="A10" t="s">
        <v>20</v>
      </c>
      <c r="B10" t="s">
        <v>21</v>
      </c>
      <c r="C10" s="4">
        <v>2023</v>
      </c>
      <c r="D10" s="4">
        <v>1</v>
      </c>
      <c r="E10" s="5">
        <v>1701.8380499999998</v>
      </c>
      <c r="F10" s="5">
        <f>E10*$B$1</f>
        <v>1923.0769964999997</v>
      </c>
      <c r="G10" s="6">
        <v>1.4</v>
      </c>
      <c r="H10" s="5">
        <f>F10*G10/(1-$B$2)</f>
        <v>2926.421516413043</v>
      </c>
      <c r="I10" s="5">
        <f>H10*$B$3</f>
        <v>234.11372131304344</v>
      </c>
      <c r="J10" s="7">
        <f>H10+I10</f>
        <v>3160.5352377260865</v>
      </c>
    </row>
    <row r="11" spans="1:10" x14ac:dyDescent="0.25">
      <c r="A11" s="8" t="s">
        <v>22</v>
      </c>
      <c r="B11" s="8" t="s">
        <v>23</v>
      </c>
      <c r="C11" s="9">
        <v>2022</v>
      </c>
      <c r="D11" s="9">
        <v>4</v>
      </c>
      <c r="E11" s="10">
        <v>1760.4662999999998</v>
      </c>
      <c r="F11" s="10">
        <f>E11*$B$1</f>
        <v>1989.3269189999996</v>
      </c>
      <c r="G11" s="11">
        <v>1.4</v>
      </c>
      <c r="H11" s="10">
        <f>F11*G11/(1-$B$2)</f>
        <v>3027.236615869564</v>
      </c>
      <c r="I11" s="10">
        <f>H11*$B$3</f>
        <v>242.17892926956512</v>
      </c>
      <c r="J11" s="12">
        <f>H11+I11</f>
        <v>3269.4155451391293</v>
      </c>
    </row>
    <row r="12" spans="1:10" x14ac:dyDescent="0.25">
      <c r="A12" t="s">
        <v>24</v>
      </c>
      <c r="B12" t="s">
        <v>24</v>
      </c>
      <c r="C12" s="4">
        <v>2002</v>
      </c>
      <c r="D12" s="4">
        <v>39</v>
      </c>
      <c r="E12" s="5">
        <v>1808.5191</v>
      </c>
      <c r="F12" s="5">
        <f>E12*$B$1</f>
        <v>2043.6265829999998</v>
      </c>
      <c r="G12" s="6">
        <v>1.4</v>
      </c>
      <c r="H12" s="5">
        <f>F12*G12/(1-$B$2)</f>
        <v>3109.8665393478254</v>
      </c>
      <c r="I12" s="5">
        <f>H12*$B$3</f>
        <v>248.78932314782605</v>
      </c>
      <c r="J12" s="7">
        <f>H12+I12</f>
        <v>3358.6558624956515</v>
      </c>
    </row>
    <row r="13" spans="1:10" x14ac:dyDescent="0.25">
      <c r="A13" s="8" t="s">
        <v>25</v>
      </c>
      <c r="B13" s="8" t="s">
        <v>26</v>
      </c>
      <c r="C13" s="9">
        <v>2022</v>
      </c>
      <c r="D13" s="9">
        <v>28</v>
      </c>
      <c r="E13" s="10">
        <v>1809.8290499999998</v>
      </c>
      <c r="F13" s="10">
        <f>E13*$B$1</f>
        <v>2045.1068264999997</v>
      </c>
      <c r="G13" s="11">
        <v>1.4</v>
      </c>
      <c r="H13" s="10">
        <f>F13*G13/(1-$B$2)</f>
        <v>3112.119083804347</v>
      </c>
      <c r="I13" s="10">
        <f>H13*$B$3</f>
        <v>248.96952670434777</v>
      </c>
      <c r="J13" s="12">
        <f>H13+I13</f>
        <v>3361.088610508695</v>
      </c>
    </row>
    <row r="14" spans="1:10" x14ac:dyDescent="0.25">
      <c r="A14" t="s">
        <v>27</v>
      </c>
      <c r="B14" t="s">
        <v>28</v>
      </c>
      <c r="C14" s="4">
        <v>2023</v>
      </c>
      <c r="D14" s="4">
        <v>9</v>
      </c>
      <c r="E14" s="5">
        <v>1852.79115</v>
      </c>
      <c r="F14" s="5">
        <f>E14*$B$1</f>
        <v>2093.6539995</v>
      </c>
      <c r="G14" s="6">
        <v>1.4</v>
      </c>
      <c r="H14" s="5">
        <f>F14*G14/(1-$B$2)</f>
        <v>3185.9952166304342</v>
      </c>
      <c r="I14" s="5">
        <f>H14*$B$3</f>
        <v>254.87961733043474</v>
      </c>
      <c r="J14" s="7">
        <f>H14+I14</f>
        <v>3440.874833960869</v>
      </c>
    </row>
    <row r="15" spans="1:10" x14ac:dyDescent="0.25">
      <c r="A15" s="8" t="s">
        <v>29</v>
      </c>
      <c r="B15" s="8" t="s">
        <v>30</v>
      </c>
      <c r="C15" s="9">
        <v>2022</v>
      </c>
      <c r="D15" s="9">
        <v>5</v>
      </c>
      <c r="E15" s="10">
        <v>2067.87855</v>
      </c>
      <c r="F15" s="10">
        <f>E15*$B$1</f>
        <v>2336.7027614999997</v>
      </c>
      <c r="G15" s="11">
        <v>1.33</v>
      </c>
      <c r="H15" s="10">
        <f>F15*G15/(1-$B$2)</f>
        <v>3378.0594269510866</v>
      </c>
      <c r="I15" s="10">
        <f>H15*$B$3</f>
        <v>270.2447541560869</v>
      </c>
      <c r="J15" s="12">
        <f>H15+I15</f>
        <v>3648.304181107174</v>
      </c>
    </row>
    <row r="16" spans="1:10" x14ac:dyDescent="0.25">
      <c r="A16" t="s">
        <v>31</v>
      </c>
      <c r="B16" t="s">
        <v>32</v>
      </c>
      <c r="C16" s="4">
        <v>2019</v>
      </c>
      <c r="D16" s="4">
        <v>23</v>
      </c>
      <c r="E16" s="5">
        <v>2120.40435</v>
      </c>
      <c r="F16" s="5">
        <f>E16*$B$1</f>
        <v>2396.0569154999994</v>
      </c>
      <c r="G16" s="6">
        <v>1.33</v>
      </c>
      <c r="H16" s="5">
        <f>F16*G16/(1-$B$2)</f>
        <v>3463.8648887119557</v>
      </c>
      <c r="I16" s="5">
        <f>H16*$B$3</f>
        <v>277.10919109695647</v>
      </c>
      <c r="J16" s="7">
        <f>H16+I16</f>
        <v>3740.9740798089124</v>
      </c>
    </row>
    <row r="17" spans="1:10" x14ac:dyDescent="0.25">
      <c r="A17" s="8" t="s">
        <v>14</v>
      </c>
      <c r="B17" s="8" t="s">
        <v>14</v>
      </c>
      <c r="C17" s="9">
        <v>2022</v>
      </c>
      <c r="D17" s="9">
        <v>52</v>
      </c>
      <c r="E17" s="10">
        <v>2172.46155</v>
      </c>
      <c r="F17" s="10">
        <f>E17*$B$1</f>
        <v>2454.8815514999997</v>
      </c>
      <c r="G17" s="11">
        <v>1.33</v>
      </c>
      <c r="H17" s="10">
        <f>F17*G17/(1-$B$2)</f>
        <v>3548.9048516249995</v>
      </c>
      <c r="I17" s="10">
        <f>H17*$B$3</f>
        <v>283.91238812999995</v>
      </c>
      <c r="J17" s="12">
        <f>H17+I17</f>
        <v>3832.8172397549997</v>
      </c>
    </row>
    <row r="18" spans="1:10" x14ac:dyDescent="0.25">
      <c r="A18" t="s">
        <v>33</v>
      </c>
      <c r="B18" t="s">
        <v>34</v>
      </c>
      <c r="C18" s="4">
        <v>2023</v>
      </c>
      <c r="D18" s="4">
        <v>1</v>
      </c>
      <c r="E18" s="5">
        <v>2181.68445</v>
      </c>
      <c r="F18" s="5">
        <f>E18*$B$1</f>
        <v>2465.3034285</v>
      </c>
      <c r="G18" s="6">
        <v>1.33</v>
      </c>
      <c r="H18" s="5">
        <f>F18*G18/(1-$B$2)</f>
        <v>3563.971260766304</v>
      </c>
      <c r="I18" s="5">
        <f>H18*$B$3</f>
        <v>285.11770086130434</v>
      </c>
      <c r="J18" s="7">
        <f>H18+I18</f>
        <v>3849.0889616276086</v>
      </c>
    </row>
    <row r="19" spans="1:10" x14ac:dyDescent="0.25">
      <c r="A19" s="8" t="s">
        <v>35</v>
      </c>
      <c r="B19" s="8" t="s">
        <v>23</v>
      </c>
      <c r="C19" s="9">
        <v>2022</v>
      </c>
      <c r="D19" s="9">
        <v>1</v>
      </c>
      <c r="E19" s="10">
        <v>2212.54815</v>
      </c>
      <c r="F19" s="10">
        <f>E19*$B$1</f>
        <v>2500.1794095</v>
      </c>
      <c r="G19" s="11">
        <v>1.33</v>
      </c>
      <c r="H19" s="10">
        <f>F19*G19/(1-$B$2)</f>
        <v>3614.389798516305</v>
      </c>
      <c r="I19" s="10">
        <f>H19*$B$3</f>
        <v>289.1511838813044</v>
      </c>
      <c r="J19" s="12">
        <f>H19+I19</f>
        <v>3903.5409823976097</v>
      </c>
    </row>
    <row r="20" spans="1:10" x14ac:dyDescent="0.25">
      <c r="A20" t="s">
        <v>36</v>
      </c>
      <c r="B20" t="s">
        <v>37</v>
      </c>
      <c r="C20" s="4">
        <v>2006</v>
      </c>
      <c r="D20" s="4">
        <v>24</v>
      </c>
      <c r="E20" s="5">
        <v>2373.7785</v>
      </c>
      <c r="F20" s="5">
        <f>E20*$B$1</f>
        <v>2682.3697049999996</v>
      </c>
      <c r="G20" s="6">
        <v>1.33</v>
      </c>
      <c r="H20" s="5">
        <f>F20*G20/(1-$B$2)</f>
        <v>3877.7735952717385</v>
      </c>
      <c r="I20" s="5">
        <f>H20*$B$3</f>
        <v>310.2218876217391</v>
      </c>
      <c r="J20" s="7">
        <f>H20+I20</f>
        <v>4187.995482893478</v>
      </c>
    </row>
    <row r="21" spans="1:10" x14ac:dyDescent="0.25">
      <c r="A21" s="8" t="s">
        <v>38</v>
      </c>
      <c r="B21" s="8" t="s">
        <v>39</v>
      </c>
      <c r="C21" s="9">
        <v>2016</v>
      </c>
      <c r="D21" s="9">
        <v>2</v>
      </c>
      <c r="E21" s="10">
        <v>2437.90215</v>
      </c>
      <c r="F21" s="10">
        <f>E21*$B$1</f>
        <v>2754.8294294999996</v>
      </c>
      <c r="G21" s="11">
        <v>1.33</v>
      </c>
      <c r="H21" s="10">
        <f>F21*G21/(1-$B$2)</f>
        <v>3982.525153516304</v>
      </c>
      <c r="I21" s="10">
        <f>H21*$B$3</f>
        <v>318.6020122813043</v>
      </c>
      <c r="J21" s="12">
        <f>H21+I21</f>
        <v>4301.1271657976085</v>
      </c>
    </row>
    <row r="22" spans="1:10" x14ac:dyDescent="0.25">
      <c r="A22" t="s">
        <v>40</v>
      </c>
      <c r="B22" t="s">
        <v>41</v>
      </c>
      <c r="C22" s="4">
        <v>2023</v>
      </c>
      <c r="D22" s="4">
        <v>3</v>
      </c>
      <c r="E22" s="5">
        <v>2497.7445000000002</v>
      </c>
      <c r="F22" s="5">
        <f>E22*$B$1</f>
        <v>2822.451285</v>
      </c>
      <c r="G22" s="6">
        <v>1.33</v>
      </c>
      <c r="H22" s="5">
        <f>F22*G22/(1-$B$2)</f>
        <v>4080.2828359239134</v>
      </c>
      <c r="I22" s="5">
        <f>H22*$B$3</f>
        <v>326.4226268739131</v>
      </c>
      <c r="J22" s="7">
        <f>H22+I22</f>
        <v>4406.705462797827</v>
      </c>
    </row>
    <row r="23" spans="1:10" x14ac:dyDescent="0.25">
      <c r="A23" s="8" t="s">
        <v>42</v>
      </c>
      <c r="B23" s="8" t="s">
        <v>26</v>
      </c>
      <c r="C23" s="9">
        <v>2022</v>
      </c>
      <c r="D23" s="9">
        <v>23</v>
      </c>
      <c r="E23" s="10">
        <v>2683.66155</v>
      </c>
      <c r="F23" s="10">
        <f>E23*$B$1</f>
        <v>3032.5375514999996</v>
      </c>
      <c r="G23" s="11">
        <v>1.33</v>
      </c>
      <c r="H23" s="10">
        <f>F23*G23/(1-$B$2)</f>
        <v>4383.994503798913</v>
      </c>
      <c r="I23" s="10">
        <f>H23*$B$3</f>
        <v>350.71956030391306</v>
      </c>
      <c r="J23" s="12">
        <f>H23+I23</f>
        <v>4734.714064102826</v>
      </c>
    </row>
    <row r="24" spans="1:10" x14ac:dyDescent="0.25">
      <c r="A24" t="s">
        <v>43</v>
      </c>
      <c r="B24" t="s">
        <v>14</v>
      </c>
      <c r="C24" s="4">
        <v>2022</v>
      </c>
      <c r="D24" s="4">
        <v>2</v>
      </c>
      <c r="E24" s="5">
        <v>2909.3244</v>
      </c>
      <c r="F24" s="5">
        <f>E24*$B$1</f>
        <v>3287.5365719999995</v>
      </c>
      <c r="G24" s="6">
        <v>1.33</v>
      </c>
      <c r="H24" s="5">
        <f>F24*G24/(1-$B$2)</f>
        <v>4752.634392130433</v>
      </c>
      <c r="I24" s="5">
        <f>H24*$B$3</f>
        <v>380.21075137043465</v>
      </c>
      <c r="J24" s="7">
        <f>H24+I24</f>
        <v>5132.845143500868</v>
      </c>
    </row>
    <row r="25" spans="1:10" x14ac:dyDescent="0.25">
      <c r="A25" s="8" t="s">
        <v>44</v>
      </c>
      <c r="B25" s="8" t="s">
        <v>45</v>
      </c>
      <c r="C25" s="9">
        <v>2022</v>
      </c>
      <c r="D25" s="9">
        <v>33</v>
      </c>
      <c r="E25" s="10">
        <v>3057.1250999999997</v>
      </c>
      <c r="F25" s="10">
        <f>E25*$B$1</f>
        <v>3454.5513629999996</v>
      </c>
      <c r="G25" s="11">
        <v>1.33</v>
      </c>
      <c r="H25" s="10">
        <f>F25*G25/(1-$B$2)</f>
        <v>4994.079687815217</v>
      </c>
      <c r="I25" s="10">
        <f>H25*$B$3</f>
        <v>399.52637502521736</v>
      </c>
      <c r="J25" s="12">
        <f>H25+I25</f>
        <v>5393.606062840435</v>
      </c>
    </row>
    <row r="26" spans="1:10" x14ac:dyDescent="0.25">
      <c r="A26" t="s">
        <v>46</v>
      </c>
      <c r="B26" t="s">
        <v>23</v>
      </c>
      <c r="C26" s="4">
        <v>2022</v>
      </c>
      <c r="D26" s="4">
        <v>13</v>
      </c>
      <c r="E26" s="5">
        <v>3460.2915</v>
      </c>
      <c r="F26" s="5">
        <f>E26*$B$1</f>
        <v>3910.1293949999995</v>
      </c>
      <c r="G26" s="6">
        <v>1.25</v>
      </c>
      <c r="H26" s="5">
        <f>F26*G26/(1-$B$2)</f>
        <v>5312.675808423912</v>
      </c>
      <c r="I26" s="5">
        <f>H26*$B$3</f>
        <v>425.01406467391297</v>
      </c>
      <c r="J26" s="7">
        <f>H26+I26</f>
        <v>5737.6898730978255</v>
      </c>
    </row>
    <row r="27" spans="1:10" x14ac:dyDescent="0.25">
      <c r="A27" s="8" t="s">
        <v>46</v>
      </c>
      <c r="B27" s="8" t="s">
        <v>30</v>
      </c>
      <c r="C27" s="9">
        <v>2022</v>
      </c>
      <c r="D27" s="9">
        <v>4</v>
      </c>
      <c r="E27" s="10">
        <v>3633.5989499999996</v>
      </c>
      <c r="F27" s="10">
        <f>E27*$B$1</f>
        <v>4105.966813499999</v>
      </c>
      <c r="G27" s="11">
        <v>1.25</v>
      </c>
      <c r="H27" s="10">
        <f>F27*G27/(1-$B$2)</f>
        <v>5578.759257472825</v>
      </c>
      <c r="I27" s="10">
        <f>H27*$B$3</f>
        <v>446.300740597826</v>
      </c>
      <c r="J27" s="12">
        <f>H27+I27</f>
        <v>6025.059998070651</v>
      </c>
    </row>
    <row r="28" spans="1:10" x14ac:dyDescent="0.25">
      <c r="A28" t="s">
        <v>47</v>
      </c>
      <c r="B28" t="s">
        <v>48</v>
      </c>
      <c r="C28" s="4">
        <v>2019</v>
      </c>
      <c r="D28" s="4">
        <v>16</v>
      </c>
      <c r="E28" s="5">
        <v>3900.4559999999997</v>
      </c>
      <c r="F28" s="5">
        <f>E28*$B$1</f>
        <v>4407.51528</v>
      </c>
      <c r="G28" s="6">
        <v>1.25</v>
      </c>
      <c r="H28" s="5">
        <f>F28*G28/(1-$B$2)</f>
        <v>5988.471847826087</v>
      </c>
      <c r="I28" s="5">
        <f>H28*$B$3</f>
        <v>479.0777478260869</v>
      </c>
      <c r="J28" s="7">
        <f>H28+I28</f>
        <v>6467.549595652174</v>
      </c>
    </row>
    <row r="29" spans="1:10" x14ac:dyDescent="0.25">
      <c r="A29" s="8" t="s">
        <v>49</v>
      </c>
      <c r="B29" s="8" t="s">
        <v>50</v>
      </c>
      <c r="C29" s="9">
        <v>2020</v>
      </c>
      <c r="D29" s="9">
        <v>14</v>
      </c>
      <c r="E29" s="10">
        <v>4406.89545</v>
      </c>
      <c r="F29" s="10">
        <f>E29*$B$1</f>
        <v>4979.7918585</v>
      </c>
      <c r="G29" s="11">
        <v>1.25</v>
      </c>
      <c r="H29" s="10">
        <f>F29*G29/(1-$B$2)</f>
        <v>6766.021546874999</v>
      </c>
      <c r="I29" s="10">
        <f>H29*$B$3</f>
        <v>541.28172375</v>
      </c>
      <c r="J29" s="12">
        <f>H29+I29</f>
        <v>7307.303270625</v>
      </c>
    </row>
    <row r="30" spans="1:10" x14ac:dyDescent="0.25">
      <c r="A30" t="s">
        <v>51</v>
      </c>
      <c r="B30" t="s">
        <v>52</v>
      </c>
      <c r="C30" s="4">
        <v>2016</v>
      </c>
      <c r="D30" s="4">
        <v>1</v>
      </c>
      <c r="E30" s="5">
        <v>4502.04255</v>
      </c>
      <c r="F30" s="5">
        <f>E30*$B$1</f>
        <v>5087.308081499999</v>
      </c>
      <c r="G30" s="6">
        <v>1.25</v>
      </c>
      <c r="H30" s="5">
        <f>F30*G30/(1-$B$2)</f>
        <v>6912.10337160326</v>
      </c>
      <c r="I30" s="5">
        <f>H30*$B$3</f>
        <v>552.9682697282608</v>
      </c>
      <c r="J30" s="7">
        <f>H30+I30</f>
        <v>7465.071641331521</v>
      </c>
    </row>
    <row r="31" spans="1:10" x14ac:dyDescent="0.25">
      <c r="A31" s="8" t="s">
        <v>53</v>
      </c>
      <c r="B31" s="8" t="s">
        <v>54</v>
      </c>
      <c r="C31" s="9">
        <v>2023</v>
      </c>
      <c r="D31" s="9">
        <v>22</v>
      </c>
      <c r="E31" s="10">
        <v>4886.8377</v>
      </c>
      <c r="F31" s="10">
        <f>E31*$B$1</f>
        <v>5522.126601</v>
      </c>
      <c r="G31" s="11">
        <v>1.2</v>
      </c>
      <c r="H31" s="10">
        <f>F31*G31/(1-$B$2)</f>
        <v>7202.773827391304</v>
      </c>
      <c r="I31" s="10">
        <f>H31*$B$3</f>
        <v>576.2219061913044</v>
      </c>
      <c r="J31" s="12">
        <f>H31+I31</f>
        <v>7778.995733582608</v>
      </c>
    </row>
    <row r="32" spans="1:10" x14ac:dyDescent="0.25">
      <c r="A32" t="s">
        <v>55</v>
      </c>
      <c r="B32" t="s">
        <v>54</v>
      </c>
      <c r="C32" s="4">
        <v>2023</v>
      </c>
      <c r="D32" s="4">
        <v>25</v>
      </c>
      <c r="E32" s="5">
        <v>6398.3922</v>
      </c>
      <c r="F32" s="5">
        <f>E32*$B$1</f>
        <v>7230.183185999999</v>
      </c>
      <c r="G32" s="6">
        <v>1.2</v>
      </c>
      <c r="H32" s="5">
        <f>F32*G32/(1-$B$2)</f>
        <v>9430.673720869563</v>
      </c>
      <c r="I32" s="5">
        <f>H32*$B$3</f>
        <v>754.4538976695651</v>
      </c>
      <c r="J32" s="7">
        <f>H32+I32</f>
        <v>10185.127618539129</v>
      </c>
    </row>
    <row r="33" spans="1:10" x14ac:dyDescent="0.25">
      <c r="A33" s="8" t="s">
        <v>56</v>
      </c>
      <c r="B33" s="8" t="s">
        <v>57</v>
      </c>
      <c r="C33" s="9">
        <v>2006</v>
      </c>
      <c r="D33" s="9">
        <v>2</v>
      </c>
      <c r="E33" s="10">
        <v>7386.0518999999995</v>
      </c>
      <c r="F33" s="10">
        <f>E33*$B$1</f>
        <v>8346.238646999998</v>
      </c>
      <c r="G33" s="11">
        <v>1.2</v>
      </c>
      <c r="H33" s="10">
        <f>F33*G33/(1-$B$2)</f>
        <v>10886.39823521739</v>
      </c>
      <c r="I33" s="10">
        <f>H33*$B$3</f>
        <v>870.9118588173912</v>
      </c>
      <c r="J33" s="12">
        <f>H33+I33</f>
        <v>11757.310094034781</v>
      </c>
    </row>
    <row r="34" spans="1:10" x14ac:dyDescent="0.25">
      <c r="A34" t="s">
        <v>58</v>
      </c>
      <c r="B34" t="s">
        <v>59</v>
      </c>
      <c r="C34" s="4">
        <v>2022</v>
      </c>
      <c r="D34" s="4">
        <v>17</v>
      </c>
      <c r="E34" s="5">
        <v>7479.5269499999995</v>
      </c>
      <c r="F34" s="5">
        <f>E34*$B$1</f>
        <v>8451.865453499999</v>
      </c>
      <c r="G34" s="6">
        <v>1.2</v>
      </c>
      <c r="H34" s="5">
        <f>F34*G34/(1-$B$2)</f>
        <v>11024.17233065217</v>
      </c>
      <c r="I34" s="5">
        <f>H34*$B$3</f>
        <v>881.9337864521736</v>
      </c>
      <c r="J34" s="7">
        <f>H34+I34</f>
        <v>11906.106117104346</v>
      </c>
    </row>
  </sheetData>
  <autoFilter ref="A5:J3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Preço final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2026-09-23T21:20:34Z</dcterms:created>
  <dcterms:modified xsi:type="dcterms:W3CDTF">2026-09-23T21:20:34Z</dcterms:modified>
</cp:coreProperties>
</file>