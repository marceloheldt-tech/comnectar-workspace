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64011"/>
  <bookViews>
    <workbookView xWindow="0" yWindow="0" windowWidth="2172" windowHeight="0"/>
  </bookViews>
  <sheets>
    <sheet name="Autoral" sheetId="1" r:id="rId1"/>
    <sheet name="Signature" sheetId="2" r:id="rId2"/>
  </sheets>
  <definedNames>
    <definedName name="_xlnm._FilterDatabase" localSheetId="0" hidden="1">Autoral!$A$1:$L$1</definedName>
  </definedNames>
  <calcPr calcId="162913"/>
</workbook>
</file>

<file path=xl/calcChain.xml><?xml version="1.0" encoding="utf-8"?>
<calcChain xmlns="http://schemas.openxmlformats.org/spreadsheetml/2006/main">
  <c r="K6" i="1" l="1"/>
  <c r="K10" i="1"/>
  <c r="K11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J3" i="1"/>
  <c r="K3" i="1" s="1"/>
  <c r="J6" i="1"/>
  <c r="J10" i="1"/>
  <c r="J11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H2" i="1"/>
  <c r="I3" i="1"/>
  <c r="I4" i="1"/>
  <c r="J4" i="1" s="1"/>
  <c r="K4" i="1" s="1"/>
  <c r="I5" i="1"/>
  <c r="J5" i="1" s="1"/>
  <c r="K5" i="1" s="1"/>
  <c r="I6" i="1"/>
  <c r="I7" i="1"/>
  <c r="J7" i="1" s="1"/>
  <c r="K7" i="1" s="1"/>
  <c r="I8" i="1"/>
  <c r="J8" i="1" s="1"/>
  <c r="K8" i="1" s="1"/>
  <c r="I9" i="1"/>
  <c r="J9" i="1" s="1"/>
  <c r="K9" i="1" s="1"/>
  <c r="I10" i="1"/>
  <c r="I11" i="1"/>
  <c r="I12" i="1"/>
  <c r="J12" i="1" s="1"/>
  <c r="K12" i="1" s="1"/>
  <c r="I13" i="1"/>
  <c r="J13" i="1" s="1"/>
  <c r="K13" i="1" s="1"/>
  <c r="I14" i="1"/>
  <c r="J14" i="1" s="1"/>
  <c r="K14" i="1" s="1"/>
  <c r="I15" i="1"/>
  <c r="J15" i="1" s="1"/>
  <c r="K15" i="1" s="1"/>
  <c r="I16" i="1"/>
  <c r="J16" i="1" s="1"/>
  <c r="K16" i="1" s="1"/>
  <c r="I17" i="1"/>
  <c r="J17" i="1" s="1"/>
  <c r="K17" i="1" s="1"/>
  <c r="I18" i="1"/>
  <c r="J18" i="1" s="1"/>
  <c r="K18" i="1" s="1"/>
  <c r="I19" i="1"/>
  <c r="J19" i="1" s="1"/>
  <c r="K19" i="1" s="1"/>
  <c r="I20" i="1"/>
  <c r="J20" i="1" s="1"/>
  <c r="K20" i="1" s="1"/>
  <c r="I21" i="1"/>
  <c r="J21" i="1" s="1"/>
  <c r="K21" i="1" s="1"/>
  <c r="I22" i="1"/>
  <c r="J22" i="1" s="1"/>
  <c r="K22" i="1" s="1"/>
  <c r="I23" i="1"/>
  <c r="J23" i="1" s="1"/>
  <c r="K23" i="1" s="1"/>
  <c r="I24" i="1"/>
  <c r="J24" i="1" s="1"/>
  <c r="K24" i="1" s="1"/>
  <c r="I25" i="1"/>
  <c r="J25" i="1" s="1"/>
  <c r="K25" i="1" s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" i="1"/>
  <c r="J2" i="1" s="1"/>
  <c r="K2" i="1" s="1"/>
</calcChain>
</file>

<file path=xl/sharedStrings.xml><?xml version="1.0" encoding="utf-8"?>
<sst xmlns="http://schemas.openxmlformats.org/spreadsheetml/2006/main" count="2279" uniqueCount="526">
  <si>
    <t>Vinho</t>
  </si>
  <si>
    <t>Produtor</t>
  </si>
  <si>
    <t>Safra</t>
  </si>
  <si>
    <t>Tipo</t>
  </si>
  <si>
    <t>País</t>
  </si>
  <si>
    <t>Região</t>
  </si>
  <si>
    <t>Preço (A37)</t>
  </si>
  <si>
    <t>Estoque</t>
  </si>
  <si>
    <t>KIRCHENSTÜCK SPÄTBURGUNDER GG</t>
  </si>
  <si>
    <t>BATTENFELD SPANIER</t>
  </si>
  <si>
    <t>2022</t>
  </si>
  <si>
    <t>TINTO</t>
  </si>
  <si>
    <t>ALEMANHA</t>
  </si>
  <si>
    <t>RHEINHESSEN</t>
  </si>
  <si>
    <t>MÖLSHEIM RIESLING</t>
  </si>
  <si>
    <t>2023</t>
  </si>
  <si>
    <t>BRANCO</t>
  </si>
  <si>
    <t>BALSA DE PIEDRA</t>
  </si>
  <si>
    <t>MICHELINI I MUFATTO</t>
  </si>
  <si>
    <t>ARGENTINA</t>
  </si>
  <si>
    <t>MENDOZA</t>
  </si>
  <si>
    <t>CERTEZAS</t>
  </si>
  <si>
    <t>CONVICCIONES</t>
  </si>
  <si>
    <t>GUALTA</t>
  </si>
  <si>
    <t>GY</t>
  </si>
  <si>
    <t>LA CAUTIVA</t>
  </si>
  <si>
    <t>LA CAUTIVA OLEO</t>
  </si>
  <si>
    <t>LA CUNI</t>
  </si>
  <si>
    <t>PLOP! MANIFIESTOS</t>
  </si>
  <si>
    <t>PROPÓSITOS</t>
  </si>
  <si>
    <t>AKUTAIN COSECHA</t>
  </si>
  <si>
    <t>BODEGA AKUTAIN</t>
  </si>
  <si>
    <t>ESPANHA</t>
  </si>
  <si>
    <t>RIOJA</t>
  </si>
  <si>
    <t>AKUTAIN CRIANZA</t>
  </si>
  <si>
    <t>2020</t>
  </si>
  <si>
    <t>AKUTAIN RESERVA SELECCIÓN</t>
  </si>
  <si>
    <t>2014</t>
  </si>
  <si>
    <t>CLOS DE L'OBAC</t>
  </si>
  <si>
    <t>CLOS DE L’OBAC</t>
  </si>
  <si>
    <t>2015</t>
  </si>
  <si>
    <t>PRIORAT</t>
  </si>
  <si>
    <t>CLOS DE L'OBAC MAGNUM</t>
  </si>
  <si>
    <t>2007</t>
  </si>
  <si>
    <t>DOLÇ DE L'OBAC</t>
  </si>
  <si>
    <t>2010</t>
  </si>
  <si>
    <t>DOLÇ DE L'OBAC 500ML</t>
  </si>
  <si>
    <t>2011</t>
  </si>
  <si>
    <t>KYRIE</t>
  </si>
  <si>
    <t>2009</t>
  </si>
  <si>
    <t>2024</t>
  </si>
  <si>
    <t>L'ESCARPAT</t>
  </si>
  <si>
    <t>MISERERE</t>
  </si>
  <si>
    <t>2005</t>
  </si>
  <si>
    <t>USATGES</t>
  </si>
  <si>
    <t>USATGES BLANC</t>
  </si>
  <si>
    <t>CAMINO DE RIBAS PARCELA LA CÓNCOVA</t>
  </si>
  <si>
    <t>JOSE GIL</t>
  </si>
  <si>
    <t>JOSE GIL VIÑEDOS EN SAN VICENTE DE LA SONSIERRA</t>
  </si>
  <si>
    <t>CLOS DAMIANA</t>
  </si>
  <si>
    <t>MESTRES</t>
  </si>
  <si>
    <t>2013</t>
  </si>
  <si>
    <t>ESPUMANTE BRANCO</t>
  </si>
  <si>
    <t>ALT PENEDÉS</t>
  </si>
  <si>
    <t>ELENA DE MESTRES</t>
  </si>
  <si>
    <t>ESPUMANTE ROSE</t>
  </si>
  <si>
    <t>ROSAT</t>
  </si>
  <si>
    <t>2021</t>
  </si>
  <si>
    <t>VISOL</t>
  </si>
  <si>
    <t>2018</t>
  </si>
  <si>
    <t>LA QUINTA CRUZ</t>
  </si>
  <si>
    <t>MIGUEL MERINO</t>
  </si>
  <si>
    <t>MIGUEL MERINO BLANCO</t>
  </si>
  <si>
    <t>MIGUEL MERINO GRAN RESERVA</t>
  </si>
  <si>
    <t>2019</t>
  </si>
  <si>
    <t>MIGUEL MERINO LA LOMA</t>
  </si>
  <si>
    <t>MIGUEL MERINO RESERVA</t>
  </si>
  <si>
    <t>VIÑAS JÓVENES</t>
  </si>
  <si>
    <t>VITOLA RESERVA</t>
  </si>
  <si>
    <t>COBRANA</t>
  </si>
  <si>
    <t>VERONICA ORTEGA</t>
  </si>
  <si>
    <t>BIERZO</t>
  </si>
  <si>
    <t>KINKI</t>
  </si>
  <si>
    <t>LA LLORONA</t>
  </si>
  <si>
    <t>QUITE</t>
  </si>
  <si>
    <t>ROC</t>
  </si>
  <si>
    <t>TORMENTA</t>
  </si>
  <si>
    <t>VO VERSION ORIGINAL</t>
  </si>
  <si>
    <t>CUEVA DEL MONGE BLANCO</t>
  </si>
  <si>
    <t>VINICOLA REAL</t>
  </si>
  <si>
    <t>BOURGOGNE CHARDONNAY</t>
  </si>
  <si>
    <t>AURORE BACHELET</t>
  </si>
  <si>
    <t>FRANÇA</t>
  </si>
  <si>
    <t>BORGONHA</t>
  </si>
  <si>
    <t>LA CROIX BOISSÉE</t>
  </si>
  <si>
    <t>BERNARD BAUDRY</t>
  </si>
  <si>
    <t>LOIRE</t>
  </si>
  <si>
    <t>LE CLOS GUILLOT</t>
  </si>
  <si>
    <t>LE DOMAINE</t>
  </si>
  <si>
    <t>LES GRÉZEAUX</t>
  </si>
  <si>
    <t>LES GRÉZEAUX MAGNUM</t>
  </si>
  <si>
    <t>LES MOLLIÈRES</t>
  </si>
  <si>
    <t>GLOU DES BRET BEAUJOLAIS LANTIGNIÉ CUVÉE ZEN</t>
  </si>
  <si>
    <t>BRET BROTHERS</t>
  </si>
  <si>
    <t>CHARD. 23 BOURGOGNE TONNERRE</t>
  </si>
  <si>
    <t>CALCARIUS</t>
  </si>
  <si>
    <t>AUBELINE</t>
  </si>
  <si>
    <t>CHAMPAGNE VAUVERSIN</t>
  </si>
  <si>
    <t>N.V.</t>
  </si>
  <si>
    <t>CHAMPAGNE</t>
  </si>
  <si>
    <t>ORIGINAL</t>
  </si>
  <si>
    <t>ROSSIGNOL</t>
  </si>
  <si>
    <t>CLOS DE VOUGEOT</t>
  </si>
  <si>
    <t>CHANTAL LESCURE</t>
  </si>
  <si>
    <t>NUITS SAINT GEORGES "LES CREUX FRAICHES EAUX"</t>
  </si>
  <si>
    <t>POMMARD "LES VAUMURIENS"</t>
  </si>
  <si>
    <t>MÂCON-CRUZILLE CLOS DES AVOUERIES CALCAIRE</t>
  </si>
  <si>
    <t>CHATEAU DE MESSEY</t>
  </si>
  <si>
    <t>MÂCON-CRUZILLE CLOS DES AVOUERIES MONOPOLE</t>
  </si>
  <si>
    <t>MÂCON-VILLAGES LES CHOUETTES</t>
  </si>
  <si>
    <t>CIBONNE TENTATIONS BLANC</t>
  </si>
  <si>
    <t>CLOS CIBONNE</t>
  </si>
  <si>
    <t>COTÊ DE PROVENCE</t>
  </si>
  <si>
    <t>CIBONNE TENTATIONS ROUGE</t>
  </si>
  <si>
    <t>CUVÉE PRESTIGE OLIVIER ROUGE</t>
  </si>
  <si>
    <t>CORNAS LES VIEILLES VIGNES</t>
  </si>
  <si>
    <t>DOMAINE ALAIN VOGE</t>
  </si>
  <si>
    <t>RHONE</t>
  </si>
  <si>
    <t>AUXEY-DURESSES 1ER CRU LES DURESSES</t>
  </si>
  <si>
    <t>DOMAINE CHANGARNIER</t>
  </si>
  <si>
    <t>BOURGOGNE "LES DRESSOLES"</t>
  </si>
  <si>
    <t>BOURGOGNE LES DRESSOLES</t>
  </si>
  <si>
    <t>MONTHELIE 1ER CRU CHAMPS FULLIOT</t>
  </si>
  <si>
    <t>POMMARD 1ER CRU LES GRANDS EPENOTS</t>
  </si>
  <si>
    <t>CARIGNAN VIEILLES VIGNES</t>
  </si>
  <si>
    <t>DOMAINE DEUX CLÉS</t>
  </si>
  <si>
    <t>LANGUEDOC-ROUSSILION</t>
  </si>
  <si>
    <t>CORBIÈRES BLANC</t>
  </si>
  <si>
    <t>JEUX DE CLÉS ROUGE</t>
  </si>
  <si>
    <t>RÉSERVE ROUGE</t>
  </si>
  <si>
    <t>BANDOL ROSE</t>
  </si>
  <si>
    <t>DOMAINE DU GROS NORE</t>
  </si>
  <si>
    <t>ROSE</t>
  </si>
  <si>
    <t>BANDOL</t>
  </si>
  <si>
    <t>AUXEY-DURESSES 1ER CRU</t>
  </si>
  <si>
    <t>DOMAINE GUY BOCARD</t>
  </si>
  <si>
    <t>BOURGOGNE COTE D'OR</t>
  </si>
  <si>
    <t>BOURGOGNE CÔTE D'OR</t>
  </si>
  <si>
    <t>BOURGOGNE COTE D'OR DOUBLE MAGNUM</t>
  </si>
  <si>
    <t>BOURGOGNE COTE D'OR MAGNUM</t>
  </si>
  <si>
    <t>MEURSAULT CHARMES 1ER CRU</t>
  </si>
  <si>
    <t>MEURSAULT CHARMES 1ER CRU MAGNUM</t>
  </si>
  <si>
    <t>DOMAINE JEAN GRIVOT</t>
  </si>
  <si>
    <t>NUITS-SAINT-GEORGES 1ER CRU "AUX BOUDOTS"</t>
  </si>
  <si>
    <t>RICHEBOURG</t>
  </si>
  <si>
    <t>FAUGÈRES JADIS</t>
  </si>
  <si>
    <t>DOMAINE LÉON BARRAL</t>
  </si>
  <si>
    <t>FAUGÈRES ROUGE</t>
  </si>
  <si>
    <t>FAUGÈRES VALINIÈRE</t>
  </si>
  <si>
    <t>VIN DE FRANCE BLANC</t>
  </si>
  <si>
    <t>CLOS LE GRAND BEAUPRÉAU</t>
  </si>
  <si>
    <t>DOMAINE OGEREAU</t>
  </si>
  <si>
    <t>COTEAUX DU LAYON 1ER CRU CHAUME LA MARTINIÈRE 500ML</t>
  </si>
  <si>
    <t>DOCE</t>
  </si>
  <si>
    <t>EN CHENIN</t>
  </si>
  <si>
    <t>LES TAILLES</t>
  </si>
  <si>
    <t>VENT DE SPILITE</t>
  </si>
  <si>
    <t>MONTANHA</t>
  </si>
  <si>
    <t>DOMAINE PETER SICHEL</t>
  </si>
  <si>
    <t>PETITE FRANCE CARIGNAN</t>
  </si>
  <si>
    <t>ROUSSANNE VIEILLES VIGNES</t>
  </si>
  <si>
    <t>TERRE ROUGE GRENACHE</t>
  </si>
  <si>
    <t>TRIBY SYRAH</t>
  </si>
  <si>
    <t>BOURGOGNE ALIGOTE</t>
  </si>
  <si>
    <t>DOMAINE REMI JOBARD</t>
  </si>
  <si>
    <t>CHARMES-CHAMBERTIN GRAND CRU</t>
  </si>
  <si>
    <t>DOMAINE SÉRAFIN</t>
  </si>
  <si>
    <t>GEVREY-CHAMBERTIN</t>
  </si>
  <si>
    <t>GEVREY-CHAMBERTIN 1ER CRU "LE FONTENY"</t>
  </si>
  <si>
    <t>GEVREY-CHAMBERTIN 1ER CRU "LES CAZETIERS"</t>
  </si>
  <si>
    <t>GEVREY-CHAMBERTIN 1ER CRU "LES CORBEAUX"</t>
  </si>
  <si>
    <t>MOREY-SAINT-DENIS 1ER CRU "LES MILLANDES"</t>
  </si>
  <si>
    <t>CHÉNAS CHASSIGNOL</t>
  </si>
  <si>
    <t>DOMAINE THILLARDON</t>
  </si>
  <si>
    <t>BEAUJOLAIS</t>
  </si>
  <si>
    <t>CHÉNAS LES BLEMONTS</t>
  </si>
  <si>
    <t>CHÉNAS LES CARRIÈRES</t>
  </si>
  <si>
    <t>CHÉNAS VIBRATIONS</t>
  </si>
  <si>
    <t>GEORGES</t>
  </si>
  <si>
    <t>CHAMBERTIN GRAND CRU</t>
  </si>
  <si>
    <t>DOMAINE TRAPET</t>
  </si>
  <si>
    <t>CHAPELLE-CHAMBERTIN GRAND CRU</t>
  </si>
  <si>
    <t>AMPHIBOLITE</t>
  </si>
  <si>
    <t>DOMAINES LANDRON</t>
  </si>
  <si>
    <t>AMPHIBOLITE MAGNUM</t>
  </si>
  <si>
    <t>CLOS LA CARIZIÈRE</t>
  </si>
  <si>
    <t>HAUTE TRADITION</t>
  </si>
  <si>
    <t>LE FIEF DU BREIL</t>
  </si>
  <si>
    <t>SANCERRE</t>
  </si>
  <si>
    <t>FRANÇOIS CROCHET</t>
  </si>
  <si>
    <t>SANCERRE "EXILS"</t>
  </si>
  <si>
    <t>SANCERRE "LE CHÊNE MARCHAND"</t>
  </si>
  <si>
    <t>SANCERRE "LE GRAND CHEMARIN"</t>
  </si>
  <si>
    <t>SANCERRE "LES AMOUREUSES"</t>
  </si>
  <si>
    <t>SANCERRE "RÉSERVE DE MARCIGOUÉ"</t>
  </si>
  <si>
    <t>POUILLY-FUISSÉ 1ER CRU CUVÉE HORS CLASSE "LES MÉNÉTRIÈRES"</t>
  </si>
  <si>
    <t>JA FERRET</t>
  </si>
  <si>
    <t>POUILLY-FUISSÉ 1ER CRU CUVÉE HORS CLASSE "TOURNANT DE POUILLY"</t>
  </si>
  <si>
    <t>POUILLY-FUISSÉ TÊTE DE CRU "CLOS DES PROUGES"</t>
  </si>
  <si>
    <t>AUXEY-DURESSES "LES CRAIS"</t>
  </si>
  <si>
    <t>JANE EYRE</t>
  </si>
  <si>
    <t>BEAUNE 1ER CRU "LES AVAUX"</t>
  </si>
  <si>
    <t>SAVIGNY-LES-BEAUNE 1ER CRU "AUX VERGELESSES"</t>
  </si>
  <si>
    <t>BATARD-MONTRACHET</t>
  </si>
  <si>
    <t>JEAN CHARTRON</t>
  </si>
  <si>
    <t>CHASSAGNE-MONTRACHET</t>
  </si>
  <si>
    <t>CHEVALIER-MONTRACHET GRAND CRU "CLOS DES CHEVALIERS" MONOPOLE</t>
  </si>
  <si>
    <t>HAUTES CÔTES DE BEAUNE "SOUS LA ROCHE"</t>
  </si>
  <si>
    <t>HAUTES CÔTES DE BEAUNE "VIEILLES VIGNES"</t>
  </si>
  <si>
    <t>PULIGNY-MONTRACHET</t>
  </si>
  <si>
    <t>PULIGNY-MONTRACHET 1ER CRU "FOLATIÈRES"</t>
  </si>
  <si>
    <t>COTE ROTIE TERRASSES</t>
  </si>
  <si>
    <t>JEAN LUC JAMET</t>
  </si>
  <si>
    <t>2017</t>
  </si>
  <si>
    <t>COTES DU RHONE COUZOU</t>
  </si>
  <si>
    <t>2016</t>
  </si>
  <si>
    <t>BOURGOGNE ALIGOTE LES CERISIERS</t>
  </si>
  <si>
    <t>JEREMY RECCHIONE</t>
  </si>
  <si>
    <t>HAUTES COTES DE NUITS BLANC</t>
  </si>
  <si>
    <t>HAUTES COTES DE NUITS ROUGE</t>
  </si>
  <si>
    <t>DESCENTE LIBRE</t>
  </si>
  <si>
    <t>JULIEN SUNIER</t>
  </si>
  <si>
    <t>FLEURIE</t>
  </si>
  <si>
    <t>MORGON</t>
  </si>
  <si>
    <t>RÉGNIÉ</t>
  </si>
  <si>
    <t>CHEVALIER-MONTRACHET GRAND CRU</t>
  </si>
  <si>
    <t>LA POUSSE D'OR</t>
  </si>
  <si>
    <t>CORTON CLOS DU ROI GRAND CRU</t>
  </si>
  <si>
    <t>PULIGNY-MONTRACHET 1ER CRU LE CAILLERET</t>
  </si>
  <si>
    <t>PULIGNY-MONTRACHET 1ER CRU LE CAILLERET MAGNUM</t>
  </si>
  <si>
    <t>SANTENAY 1ER CRU CLOS DE TAVANNES</t>
  </si>
  <si>
    <t>VOLNAY 1ER CRU CLOS D'AUDIGNAC</t>
  </si>
  <si>
    <t>VOLNAY 1ER CRU CLOS DE LA BOUSSE D'OR</t>
  </si>
  <si>
    <t>VOLNAY 1ER CRU CLOS DES 60 OUVREES</t>
  </si>
  <si>
    <t>VOLNAY 1ER CRU CLOS DES 60 OUVREES MAGNUM</t>
  </si>
  <si>
    <t>VOLNAY 1ER CRU LES CAILLERETS</t>
  </si>
  <si>
    <t>BOURGOGNE ALIGOTÉ "ALIGATO" CUVÉE ZEN</t>
  </si>
  <si>
    <t>LA SOUFRANDIERE</t>
  </si>
  <si>
    <t>POUILLY-FUISSÉ CLIMAT EN CHATENAY CUVÉE ZEN</t>
  </si>
  <si>
    <t>POUILLY-VINZELLES CLIMAT "LES QUARTS" CUVÉE ZEN</t>
  </si>
  <si>
    <t>SAINT VÉRAN CLIMAT "LA BONNODE" CUVÉE OVOÏDE ZEN</t>
  </si>
  <si>
    <t>BEAUNE 1ER CRU "LES CENTS VIGNES"</t>
  </si>
  <si>
    <t>LES PETITS LIEUX</t>
  </si>
  <si>
    <t>BOURGOGNE ALIGOTÉ</t>
  </si>
  <si>
    <t>BOURGOGNE PINOT NOIR</t>
  </si>
  <si>
    <t>MARSANNAY "LES LONGEROIES"</t>
  </si>
  <si>
    <t>NUITS-SAINT-GEORGES</t>
  </si>
  <si>
    <t>NUITS-SAINT-GEORGES MAGNUM</t>
  </si>
  <si>
    <t>SÉLECTION PREMIER CRU</t>
  </si>
  <si>
    <t>MARC HEBRART</t>
  </si>
  <si>
    <t>MEE GODARD</t>
  </si>
  <si>
    <t>BEAUJOLAIS MAGNUM</t>
  </si>
  <si>
    <t>MORGON CORCELETTE</t>
  </si>
  <si>
    <t>MORGON COTE DU PY</t>
  </si>
  <si>
    <t>MORGON GRAND CRAS</t>
  </si>
  <si>
    <t>MORGON PASSERELLE 577</t>
  </si>
  <si>
    <t>MOULIN A VENT AU MICHELON</t>
  </si>
  <si>
    <t>CORTON CHARLEMAGNE GRAND CRU</t>
  </si>
  <si>
    <t>MICHEL JUILLOT</t>
  </si>
  <si>
    <t>CORTON-CHARLEMAGNE</t>
  </si>
  <si>
    <t>MERCUREY LES VIGNES DE MAILLONGE</t>
  </si>
  <si>
    <t>CHAMBOLLE MUSIGNY 1ER CRU "LES FUES"</t>
  </si>
  <si>
    <t>PERROT-MINOT</t>
  </si>
  <si>
    <t>MOREY SAINT DENIS 1ER CRU "LA RIOTTE"</t>
  </si>
  <si>
    <t>BOUZY GRAND CRU LES TERRES ROSES (ROSE)</t>
  </si>
  <si>
    <t>PIERRE PAILLARD</t>
  </si>
  <si>
    <t>VRIGNY ROUGE</t>
  </si>
  <si>
    <t>ROGER COULON</t>
  </si>
  <si>
    <t>A MINIMA</t>
  </si>
  <si>
    <t>TRAPET ALSACE</t>
  </si>
  <si>
    <t>R.Q.W.R. G. RIQUEWIHR GEWURZTRAMINER</t>
  </si>
  <si>
    <t>BEAUNE 1ER CRU "LES CENTS-VIGNES"</t>
  </si>
  <si>
    <t>XAVIER MONNOT</t>
  </si>
  <si>
    <t>BOURGOGNE CHARDONNAY "LES GRANDES COUTURES"</t>
  </si>
  <si>
    <t>CHASSAGNE-MONTRACHET 1ER CRU "EN REMILLY"</t>
  </si>
  <si>
    <t>MEURSAULT "LES CHEVALIERÈS"</t>
  </si>
  <si>
    <t>MEURSAULT 1ER CRU "LES CHARMES"</t>
  </si>
  <si>
    <t>POMMARD "LES VIGNOTS"</t>
  </si>
  <si>
    <t>PULIGNY-MONTRACHET 1ER CRU "LES FOLATIÈRES"</t>
  </si>
  <si>
    <t>VOLNAY 1ER CRU "CLOS DES CHÊNES"</t>
  </si>
  <si>
    <t>BARBERA D'ALBA SUPERIORE D.O.C. "VALLETTA"</t>
  </si>
  <si>
    <t>ALARIO CLAUDIO</t>
  </si>
  <si>
    <t>ITALIA</t>
  </si>
  <si>
    <t>PIEMONTE</t>
  </si>
  <si>
    <t>BARBERA D'ALBA SUPERIORE D.O.C. "VALLETTA" MAGNUM</t>
  </si>
  <si>
    <t>DOLCETTO DI DIANO D'ALBA SUPERIORE D.O.C.G. "SORI' PRADURENT" MAGNUM</t>
  </si>
  <si>
    <t>NEBBIOLO D'ALBA D.O.C. "CASCINOTTO"</t>
  </si>
  <si>
    <t>NEBBIOLO D'ALBA D.O.C. "CASCINOTTO" MAGNUM</t>
  </si>
  <si>
    <t>BARBERA D'ALBA D.O.C. PUNTA</t>
  </si>
  <si>
    <t>AZELIA LUIGI SCAVINO</t>
  </si>
  <si>
    <t>BAKKANALI FIORENZO</t>
  </si>
  <si>
    <t>BAKKANALI</t>
  </si>
  <si>
    <t>TOSCANA</t>
  </si>
  <si>
    <t>BAKKANALI K</t>
  </si>
  <si>
    <t>BAKKANALI KANI</t>
  </si>
  <si>
    <t>BAKKANALI ROSA</t>
  </si>
  <si>
    <t>BAKKANALI ROSSO</t>
  </si>
  <si>
    <t>BOSCARELLI IGT TOSCANA</t>
  </si>
  <si>
    <t>BOSCARELLI</t>
  </si>
  <si>
    <t>COSTA GRANDE VINO NOBILE DI MONTEPULCIANO DOCG</t>
  </si>
  <si>
    <t>FAMILIAE OCCHIO DI PERNICE VIN SANTO DI MONTEPULCIANO DOC HALF BOTTLE</t>
  </si>
  <si>
    <t>IL NOCIO VINO NOBILE DI MONTEPULCIANO DOCG</t>
  </si>
  <si>
    <t>BARBERA D'ALBA DOC BRIC DU LUV</t>
  </si>
  <si>
    <t>CA VIOLA</t>
  </si>
  <si>
    <t>DOLCETTO D'ALBA DOC BARTUROT</t>
  </si>
  <si>
    <t>MIMMA IGT TOSCANA ROSSO</t>
  </si>
  <si>
    <t>CAPARSA</t>
  </si>
  <si>
    <t>ROSSO DI CAPARSA IGT TOSCANO ROSSO</t>
  </si>
  <si>
    <t>BARBERA D'ALBA DOC BRICCO DEL CUCULO</t>
  </si>
  <si>
    <t>CASTELLO DI VERDUNO</t>
  </si>
  <si>
    <t>DOLCETTO D'ALBA DOC CAMPOT</t>
  </si>
  <si>
    <t>VERDUNO DOC BASADONE</t>
  </si>
  <si>
    <t>BARBERA D'ALBA DOC PIANA</t>
  </si>
  <si>
    <t>CERETTO</t>
  </si>
  <si>
    <t>DOLCETTO D'ALBA DOC ROSSANA</t>
  </si>
  <si>
    <t>BARBERA D'ALBA DOC VIGNA SAN SEBASTIANO</t>
  </si>
  <si>
    <t>CHIONETTI</t>
  </si>
  <si>
    <t>DOGLIANI DOCG BRICCOLERO</t>
  </si>
  <si>
    <t>DOGLIANI DOCG SAN LUIGI</t>
  </si>
  <si>
    <t>BARBERA D'ALBA DOC "VIGNOTA"</t>
  </si>
  <si>
    <t>CONTERNO FANTINO</t>
  </si>
  <si>
    <t>BAROLO DOCG CASTELLETTO VIGNA PRESSENDA</t>
  </si>
  <si>
    <t>BAROLO DOCG GINESTRA VIGNA SORÌ GINESTRA</t>
  </si>
  <si>
    <t>LANGHE ROSSO DOC "MONPRÀ"</t>
  </si>
  <si>
    <t>BRUNELLO DI MONTALCINO DOCG</t>
  </si>
  <si>
    <t>CUPANO</t>
  </si>
  <si>
    <t>ROSSO DI MONTALCINO DOC</t>
  </si>
  <si>
    <t>BARBERA D'ALBA DOC VITTORIA</t>
  </si>
  <si>
    <t>GIAN. ALESSANDRIA</t>
  </si>
  <si>
    <t>BARBERA D'ALBA DOC</t>
  </si>
  <si>
    <t>GIUSEPPE CORTESE</t>
  </si>
  <si>
    <t>BIANCO SCAPULIN</t>
  </si>
  <si>
    <t>LANGHE DOC BIANCO SCAPULIN MAGNUM</t>
  </si>
  <si>
    <t>LANGHE DOC DOLCETTO</t>
  </si>
  <si>
    <t>ALUIGI CHIANTI CLASSICO GRAN SELEZIONE</t>
  </si>
  <si>
    <t>LE CINCIOLE</t>
  </si>
  <si>
    <t>CAMALAIONE</t>
  </si>
  <si>
    <t>PETRESCO</t>
  </si>
  <si>
    <t>BARBERA D'ALBA DOC CASCINA NUOVA</t>
  </si>
  <si>
    <t>MAURO VEGLIO</t>
  </si>
  <si>
    <t>BAROLO DOCG</t>
  </si>
  <si>
    <t>BAROLO DOCG ARBORINA</t>
  </si>
  <si>
    <t>BAROLO DOCG ARBORINA MAGNUM</t>
  </si>
  <si>
    <t>BAROLO DOCG CASTELLETTO</t>
  </si>
  <si>
    <t>BAROLO DOCG CASTELLETTO MAGNUM</t>
  </si>
  <si>
    <t>BAROLO DOCG DEL COMUNE DI SERRALUNGA D'ALBA</t>
  </si>
  <si>
    <t>BAROLO DOCG GATTERA</t>
  </si>
  <si>
    <t>BAROLO DOCG GATTERA MAGNUM</t>
  </si>
  <si>
    <t>BAROLO DOCG PAIAGALLO</t>
  </si>
  <si>
    <t>BAROLO DOCG PAIAGALLO MAGNUM</t>
  </si>
  <si>
    <t>BAROLO DOCG RISERVA ROCCHE DELL'ANNUNZIATA</t>
  </si>
  <si>
    <t>VINO ROSSO</t>
  </si>
  <si>
    <t>OLEK BONDONIO</t>
  </si>
  <si>
    <t>BRUNELLO DI MONTALCINO "AMORE E MAGIA"</t>
  </si>
  <si>
    <t>PODERE LE RIPI</t>
  </si>
  <si>
    <t>BRUNELLO DI MONTALCINO "CIELO D'ULISSE"</t>
  </si>
  <si>
    <t>BRUNELLO DI MONTALCINO "LUPI E SIRENE RISERVA"</t>
  </si>
  <si>
    <t>ROSSO DI MONTALCINO "SOGNI E FOLLIA"</t>
  </si>
  <si>
    <t>TOSCANA BIANCO "CANNA TORTA"</t>
  </si>
  <si>
    <t>TOSCANA ROSATO "CAPPUCCETTO ROSA"</t>
  </si>
  <si>
    <t>TOSCANA ROSSO "ATTENTI AL LUPO"</t>
  </si>
  <si>
    <t>BARBERA D'ALBA LOIRANO SOPRANO</t>
  </si>
  <si>
    <t>RIVETTO</t>
  </si>
  <si>
    <t>BAROLO BRICCOLINA</t>
  </si>
  <si>
    <t>VERTICAL SAN POLINO RISERVA (12 | 15 | 16)</t>
  </si>
  <si>
    <t>SAN POLINO</t>
  </si>
  <si>
    <t/>
  </si>
  <si>
    <t>ARINTO. 24</t>
  </si>
  <si>
    <t>PORTUGAL</t>
  </si>
  <si>
    <t>BUCELAS</t>
  </si>
  <si>
    <t>CURRAL TELES ALPHA</t>
  </si>
  <si>
    <t>MATEUS NICOLAU</t>
  </si>
  <si>
    <t>DOURO</t>
  </si>
  <si>
    <t>CURRAL TELES ZETA</t>
  </si>
  <si>
    <t>EREMITAS AMON DE KELIA</t>
  </si>
  <si>
    <t>EREMITAS ANTAO DO DESERTO</t>
  </si>
  <si>
    <t>EREMITAS ANTÃO DO DESERTO</t>
  </si>
  <si>
    <t>EREMITAS PAULO DE TEBAS</t>
  </si>
  <si>
    <t>LÁGRIMA 500ML</t>
  </si>
  <si>
    <t>RUBY SECO</t>
  </si>
  <si>
    <t>TRANS-DOURO-EXPRESS BAIXO CORGO</t>
  </si>
  <si>
    <t>TRANS-DOURO-EXPRESS CIMA CORGO</t>
  </si>
  <si>
    <t>TRANS-DOURO-EXPRESS DOURO SUPERIOR</t>
  </si>
  <si>
    <t>MONTE XISTO ÓRBITA</t>
  </si>
  <si>
    <t>NICOLAU DE ALMEIDA</t>
  </si>
  <si>
    <t>PORTO BRANCO LEVE SECO 500ML</t>
  </si>
  <si>
    <t>QUINTA DO MONTE XISTO ORIENTE</t>
  </si>
  <si>
    <t>RONFE TRAJADURA</t>
  </si>
  <si>
    <t>VINTAGE</t>
  </si>
  <si>
    <t>CONSTANÇA VAI À VINHA - BRANCO</t>
  </si>
  <si>
    <t>OUTEIROS ALTOS</t>
  </si>
  <si>
    <t>ALENTEJO</t>
  </si>
  <si>
    <t>CONSTANÇA VAI À VINHA - E NÃO SÓ(2)!</t>
  </si>
  <si>
    <t>RUMO BRANCO</t>
  </si>
  <si>
    <t>RUMO VINHOS</t>
  </si>
  <si>
    <t>RUMO INCERTO</t>
  </si>
  <si>
    <t>RUMO LUMIA</t>
  </si>
  <si>
    <t>RUMO LUMINA</t>
  </si>
  <si>
    <t>RUMO ROSE</t>
  </si>
  <si>
    <t>RUMO TINTO</t>
  </si>
  <si>
    <t>AQUITANIA CABERNET SAUVIGNON</t>
  </si>
  <si>
    <t>AQUITANIA</t>
  </si>
  <si>
    <t>CHILE</t>
  </si>
  <si>
    <t>VALE DE MAIPO</t>
  </si>
  <si>
    <t>AQUITANIA CHARDONNAY</t>
  </si>
  <si>
    <t>VALLE DEL MALLECO</t>
  </si>
  <si>
    <t>DOMAINE PAUL BRUNO</t>
  </si>
  <si>
    <t>SOL DE SOL SAUVIGNON BLANC</t>
  </si>
  <si>
    <t>VENTOLERA SAUVIGNON BLANC</t>
  </si>
  <si>
    <t>VINA VENTOLERA S.A</t>
  </si>
  <si>
    <t>VALLE DE SAN ATONIO</t>
  </si>
  <si>
    <t>CORIMBO</t>
  </si>
  <si>
    <t>BODEGAS LA HORRA S.L</t>
  </si>
  <si>
    <t>RIBERA DEL DUERO</t>
  </si>
  <si>
    <t>CORIMBO DOUBLE MAGNUM</t>
  </si>
  <si>
    <t>CORIMBO I</t>
  </si>
  <si>
    <t>MAURO GODELLO</t>
  </si>
  <si>
    <t>BODEGAS MAURO, S.A.</t>
  </si>
  <si>
    <t>CASTILLA Y LEON</t>
  </si>
  <si>
    <t>BODEGAS RODA SELA</t>
  </si>
  <si>
    <t>BODEGAS RODA S.A</t>
  </si>
  <si>
    <t>CIRSION</t>
  </si>
  <si>
    <t>CRIANZA</t>
  </si>
  <si>
    <t>VINA SASTRE</t>
  </si>
  <si>
    <t>PAGO DE SANTA CRUZ</t>
  </si>
  <si>
    <t>REGINA VIDES</t>
  </si>
  <si>
    <t>ROBLE</t>
  </si>
  <si>
    <t>LE MARQUIS DE CALON SEGUR</t>
  </si>
  <si>
    <t>CALON SEGUR</t>
  </si>
  <si>
    <t>BORDEAUX</t>
  </si>
  <si>
    <t>CHATEAU D YQUEM</t>
  </si>
  <si>
    <t>CHATEAU D YQUEM HALF BOTTLE</t>
  </si>
  <si>
    <t>CHATEAU D'YQUEM</t>
  </si>
  <si>
    <t>2004</t>
  </si>
  <si>
    <t>1991</t>
  </si>
  <si>
    <t>CHATEAU D'YQUEM HALF BOTTLE</t>
  </si>
  <si>
    <t>VERTICAL CHATEAU D YQUEM (91 | 97 | 98 | 00 | 04 | 05 | 06 | 08 | 10 | 11 | 14 | 15 | 16)</t>
  </si>
  <si>
    <t>LES FORTS DE LATOUR</t>
  </si>
  <si>
    <t>CHATEAU LATOUR</t>
  </si>
  <si>
    <t>2012</t>
  </si>
  <si>
    <t>CHATEAU MARGAUX</t>
  </si>
  <si>
    <t>2008</t>
  </si>
  <si>
    <t>CHATEAU MARTET RESERVE DE FAMILLE</t>
  </si>
  <si>
    <t>CHATEAU MARTET</t>
  </si>
  <si>
    <t>CHATEAU MARTET VIGNES DE COMPOSTELLE</t>
  </si>
  <si>
    <t>VERTICAL KIT CHATEAU MONTROSE ( 11 | 14 | 16 | 17 | 18 | 19 )</t>
  </si>
  <si>
    <t>CHATEAU MONTROSE</t>
  </si>
  <si>
    <t>N/A</t>
  </si>
  <si>
    <t>KIT</t>
  </si>
  <si>
    <t>CHATEAU PONTET-CANET</t>
  </si>
  <si>
    <t>CHATEAU SAINT PIERRE</t>
  </si>
  <si>
    <t>CHATEAU HAUT BRION</t>
  </si>
  <si>
    <t>CLARENCE DILLON</t>
  </si>
  <si>
    <t>2006</t>
  </si>
  <si>
    <t>BONNES MARES GRAND CRU</t>
  </si>
  <si>
    <t>J.P. MARCHAND</t>
  </si>
  <si>
    <t>LA GRENACHE 8</t>
  </si>
  <si>
    <t>JEAN PAUL TOLLOT</t>
  </si>
  <si>
    <t>LES COMBETTES</t>
  </si>
  <si>
    <t>LA PETITE EGLISE</t>
  </si>
  <si>
    <t>L'EGLISE CLINET</t>
  </si>
  <si>
    <t>VERTICAL KIT LEOVILLE DU MARQUIS DE LAS CASES (95 | 01 | 05 | 07 | 10 | 11 | 14 | 15 | 17)</t>
  </si>
  <si>
    <t>LEOVILLE LAS CASES</t>
  </si>
  <si>
    <t>CHATEAU LES CARMES HAUT-BRION</t>
  </si>
  <si>
    <t>LES CARMES HT-BRION</t>
  </si>
  <si>
    <t>MONGEARD-MUGNERET</t>
  </si>
  <si>
    <t>NUITS-SAINT-GEORGES "LES PLATEAUX"</t>
  </si>
  <si>
    <t>NUITS-SAINT-GEORGES "LES PLATEAUX" MAGNUM</t>
  </si>
  <si>
    <t>VOUGEOT 1ER CRU "LES CRÂS"</t>
  </si>
  <si>
    <t>LE PETIT MOUTON DE MOUTON ROTHSCHILD</t>
  </si>
  <si>
    <t>MOUTON ROTHSCHILD</t>
  </si>
  <si>
    <t>BARBERA D'ASTI DOCG AI SUMA</t>
  </si>
  <si>
    <t>BRAIDA</t>
  </si>
  <si>
    <t>BARBERA D'ASTI DOCG BRICCO DELL'UCCELLONE</t>
  </si>
  <si>
    <t>BARBERA D'ASTI DOCG BRICCO DELLA BIGOTTA</t>
  </si>
  <si>
    <t>BARBERA D'ASTI DOCG CASCINA SAN BERNARDO CUREJ</t>
  </si>
  <si>
    <t>BARBERA D'ASTI DOCG MONTEBRUNA</t>
  </si>
  <si>
    <t>MOSCATO D'ASTI DOCG VIGNA SENZA NOME (HALF BOTTLE)</t>
  </si>
  <si>
    <t>FRISANTE</t>
  </si>
  <si>
    <t>LEPUS</t>
  </si>
  <si>
    <t>FRANZ HAAS</t>
  </si>
  <si>
    <t>ALTO ADIGE</t>
  </si>
  <si>
    <t>MANNA SCHWEIZER</t>
  </si>
  <si>
    <t>MOSCATO ROSA SCHWEIZER</t>
  </si>
  <si>
    <t>MOSCATO ROSA SCHWEIZER 500ML</t>
  </si>
  <si>
    <t>PETIT MANSENG</t>
  </si>
  <si>
    <t>PINOT GRIGIO</t>
  </si>
  <si>
    <t>PINOT NERO</t>
  </si>
  <si>
    <t>PINOT NERO SCHWEIZER</t>
  </si>
  <si>
    <t>SOFI MÜLLER THURGAU</t>
  </si>
  <si>
    <t>SOFI ROSSO</t>
  </si>
  <si>
    <t>LE SERRE NUOVE DELL'ORNELLAIA</t>
  </si>
  <si>
    <t>ORNELLAIA S.R.L</t>
  </si>
  <si>
    <t>LE SERRE NUOVE DELL'ORNELLAIA DOUBLE MAGNUM</t>
  </si>
  <si>
    <t>LE SERRE NUOVE DELL'ORNELLAIA MAGNUM</t>
  </si>
  <si>
    <t>LE VOLTE DELL'ORNELLAIA</t>
  </si>
  <si>
    <t>LE VOLTE DELL'ORNELLAIA DOUBLE MAGNUM</t>
  </si>
  <si>
    <t>ORNELLAIA</t>
  </si>
  <si>
    <t>POGGIO ALLE GAZZE DELL'ORNELLAIA</t>
  </si>
  <si>
    <t>POGGIO ALLE GAZZE DELL'ORNELLAIA MAGNUM</t>
  </si>
  <si>
    <t>BAROLO</t>
  </si>
  <si>
    <t>SILVIO GRASSO</t>
  </si>
  <si>
    <t>LODOVICO</t>
  </si>
  <si>
    <t>TENUTA DI BISERNO</t>
  </si>
  <si>
    <t>SOF</t>
  </si>
  <si>
    <t>ALQUEVE RESERVA</t>
  </si>
  <si>
    <t>PINHAL DA TORRE</t>
  </si>
  <si>
    <t>TEJO</t>
  </si>
  <si>
    <t>ANTAGONISTA</t>
  </si>
  <si>
    <t>PROTAGONISTA</t>
  </si>
  <si>
    <t>RESILIENTE</t>
  </si>
  <si>
    <t>SPECIAL</t>
  </si>
  <si>
    <t>THE GRENACHE</t>
  </si>
  <si>
    <t>THE SYRAH</t>
  </si>
  <si>
    <t>THE TOURIGA NACIONAL</t>
  </si>
  <si>
    <t>venda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</si>
</sst>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$&quot;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CC0000"/>
      <name val="Calibri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164" fontId="4" fillId="0" borderId="0" xfId="0" applyNumberFormat="1" applyFont="1"/>
    <xf numFmtId="0" fontId="0" fillId="0" borderId="0" xfId="1" applyNumberFormat="1" applyFont="1"/>
    <xf numFmtId="0" fontId="0" fillId="2" borderId="0" xfId="0" applyFill="1"/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95"/>
  <sheetViews>
    <sheetView tabSelected="1" workbookViewId="0">
      <selection activeCell="B12" sqref="B12"/>
    </sheetView>
  </sheetViews>
  <sheetFormatPr defaultRowHeight="14.4" x14ac:dyDescent="0.3"/>
  <cols>
    <col min="1" max="1" width="46.33203125" customWidth="1"/>
    <col min="2" max="2" width="22.77734375" bestFit="1" customWidth="1"/>
    <col min="3" max="3" width="7.5546875" bestFit="1" customWidth="1"/>
    <col min="4" max="4" width="19.109375" bestFit="1" customWidth="1"/>
    <col min="5" max="5" width="10.77734375" bestFit="1" customWidth="1"/>
    <col min="6" max="6" width="22.77734375" bestFit="1" customWidth="1"/>
    <col min="7" max="8" width="13" style="1" hidden="1" customWidth="1"/>
    <col min="9" max="9" width="13" style="1" customWidth="1"/>
    <col min="10" max="10" width="13" style="1" hidden="1" customWidth="1"/>
    <col min="11" max="11" width="13" style="1" customWidth="1"/>
    <col min="12" max="12" width="10" customWidth="1"/>
  </cols>
  <sheetData>
    <row r="1" spans="1:12" s="2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/>
      <c r="I1" s="5" t="s">
        <v>525</v>
      </c>
      <c r="J1" s="5"/>
      <c r="K1" s="5"/>
      <c r="L1" s="2" t="s">
        <v>7</v>
      </c>
    </row>
    <row r="2" spans="1:12" x14ac:dyDescent="0.3">
      <c r="A2" t="s">
        <v>23</v>
      </c>
      <c r="B2" t="s">
        <v>18</v>
      </c>
      <c r="C2" t="s">
        <v>10</v>
      </c>
      <c r="D2" t="s">
        <v>11</v>
      </c>
      <c r="E2" t="s">
        <v>19</v>
      </c>
      <c r="F2" t="s">
        <v>20</v>
      </c>
      <c r="G2" s="1">
        <v>90.450450000000004</v>
      </c>
      <c r="H2" s="1">
        <f>G2*1.13</f>
        <v>102.2090085</v>
      </c>
      <c r="I2" s="1">
        <f>G2*1.6</f>
        <v>144.72072</v>
      </c>
      <c r="J2" s="1">
        <f>I2*0.92</f>
        <v>133.14306240000002</v>
      </c>
      <c r="K2" s="6">
        <f>J2/G2</f>
        <v>1.4720000000000002</v>
      </c>
      <c r="L2">
        <v>2727</v>
      </c>
    </row>
    <row r="3" spans="1:12" x14ac:dyDescent="0.3">
      <c r="A3" t="s">
        <v>17</v>
      </c>
      <c r="B3" t="s">
        <v>18</v>
      </c>
      <c r="C3" t="s">
        <v>15</v>
      </c>
      <c r="D3" t="s">
        <v>16</v>
      </c>
      <c r="E3" t="s">
        <v>19</v>
      </c>
      <c r="F3" t="s">
        <v>20</v>
      </c>
      <c r="G3" s="1">
        <v>76.988849999999999</v>
      </c>
      <c r="H3" s="1">
        <f t="shared" ref="H3:H66" si="0">G3*1.13</f>
        <v>86.997400499999998</v>
      </c>
      <c r="I3" s="1">
        <f t="shared" ref="I3:I66" si="1">G3*1.6</f>
        <v>123.18216000000001</v>
      </c>
      <c r="J3" s="1">
        <f t="shared" ref="J3:J66" si="2">I3*0.92</f>
        <v>113.32758720000001</v>
      </c>
      <c r="K3" s="6">
        <f t="shared" ref="K3:K66" si="3">J3/G3</f>
        <v>1.4720000000000002</v>
      </c>
      <c r="L3">
        <v>2680</v>
      </c>
    </row>
    <row r="4" spans="1:12" x14ac:dyDescent="0.3">
      <c r="A4" t="s">
        <v>17</v>
      </c>
      <c r="B4" t="s">
        <v>18</v>
      </c>
      <c r="C4" t="s">
        <v>15</v>
      </c>
      <c r="D4" t="s">
        <v>11</v>
      </c>
      <c r="E4" t="s">
        <v>19</v>
      </c>
      <c r="F4" t="s">
        <v>20</v>
      </c>
      <c r="G4" s="1">
        <v>76.988849999999999</v>
      </c>
      <c r="H4" s="1">
        <f t="shared" si="0"/>
        <v>86.997400499999998</v>
      </c>
      <c r="I4" s="1">
        <f t="shared" si="1"/>
        <v>123.18216000000001</v>
      </c>
      <c r="J4" s="1">
        <f t="shared" si="2"/>
        <v>113.32758720000001</v>
      </c>
      <c r="K4" s="6">
        <f t="shared" si="3"/>
        <v>1.4720000000000002</v>
      </c>
      <c r="L4">
        <v>2656</v>
      </c>
    </row>
    <row r="5" spans="1:12" x14ac:dyDescent="0.3">
      <c r="A5" t="s">
        <v>377</v>
      </c>
      <c r="B5" t="s">
        <v>105</v>
      </c>
      <c r="C5" t="s">
        <v>50</v>
      </c>
      <c r="D5" t="s">
        <v>16</v>
      </c>
      <c r="E5" t="s">
        <v>378</v>
      </c>
      <c r="F5" t="s">
        <v>379</v>
      </c>
      <c r="G5" s="1">
        <v>65.998049999999992</v>
      </c>
      <c r="H5" s="1">
        <f t="shared" si="0"/>
        <v>74.577796499999991</v>
      </c>
      <c r="I5" s="1">
        <f t="shared" si="1"/>
        <v>105.59688</v>
      </c>
      <c r="J5" s="1">
        <f t="shared" si="2"/>
        <v>97.149129600000009</v>
      </c>
      <c r="K5" s="6">
        <f t="shared" si="3"/>
        <v>1.4720000000000004</v>
      </c>
      <c r="L5">
        <v>1356</v>
      </c>
    </row>
    <row r="6" spans="1:12" x14ac:dyDescent="0.3">
      <c r="A6" s="7" t="s">
        <v>104</v>
      </c>
      <c r="B6" t="s">
        <v>105</v>
      </c>
      <c r="C6" t="s">
        <v>15</v>
      </c>
      <c r="D6" t="s">
        <v>16</v>
      </c>
      <c r="E6" t="s">
        <v>92</v>
      </c>
      <c r="F6" t="s">
        <v>93</v>
      </c>
      <c r="G6" s="1">
        <v>118.58774999999999</v>
      </c>
      <c r="H6" s="1">
        <f t="shared" si="0"/>
        <v>134.00415749999996</v>
      </c>
      <c r="I6" s="1">
        <f t="shared" si="1"/>
        <v>189.74039999999999</v>
      </c>
      <c r="J6" s="1">
        <f t="shared" si="2"/>
        <v>174.56116800000001</v>
      </c>
      <c r="K6" s="6">
        <f t="shared" si="3"/>
        <v>1.4720000000000002</v>
      </c>
      <c r="L6">
        <v>1350</v>
      </c>
    </row>
    <row r="7" spans="1:12" x14ac:dyDescent="0.3">
      <c r="A7" t="s">
        <v>24</v>
      </c>
      <c r="B7" t="s">
        <v>18</v>
      </c>
      <c r="C7" t="s">
        <v>15</v>
      </c>
      <c r="D7" t="s">
        <v>11</v>
      </c>
      <c r="E7" t="s">
        <v>19</v>
      </c>
      <c r="F7" t="s">
        <v>20</v>
      </c>
      <c r="G7" s="1">
        <v>105.97815</v>
      </c>
      <c r="H7" s="1">
        <f t="shared" si="0"/>
        <v>119.75530949999998</v>
      </c>
      <c r="I7" s="1">
        <f t="shared" si="1"/>
        <v>169.56504000000001</v>
      </c>
      <c r="J7" s="1">
        <f t="shared" si="2"/>
        <v>155.99983680000003</v>
      </c>
      <c r="K7" s="6">
        <f t="shared" si="3"/>
        <v>1.4720000000000002</v>
      </c>
      <c r="L7">
        <v>1125</v>
      </c>
    </row>
    <row r="8" spans="1:12" x14ac:dyDescent="0.3">
      <c r="A8" t="s">
        <v>403</v>
      </c>
      <c r="B8" t="s">
        <v>404</v>
      </c>
      <c r="C8" t="s">
        <v>50</v>
      </c>
      <c r="D8" t="s">
        <v>16</v>
      </c>
      <c r="E8" t="s">
        <v>378</v>
      </c>
      <c r="F8" t="s">
        <v>401</v>
      </c>
      <c r="G8" s="1">
        <v>146.92740000000001</v>
      </c>
      <c r="H8" s="1">
        <f t="shared" si="0"/>
        <v>166.027962</v>
      </c>
      <c r="I8" s="1">
        <f t="shared" si="1"/>
        <v>235.08384000000001</v>
      </c>
      <c r="J8" s="1">
        <f t="shared" si="2"/>
        <v>216.2771328</v>
      </c>
      <c r="K8" s="6">
        <f t="shared" si="3"/>
        <v>1.472</v>
      </c>
      <c r="L8">
        <v>800</v>
      </c>
    </row>
    <row r="9" spans="1:12" x14ac:dyDescent="0.3">
      <c r="A9" t="s">
        <v>409</v>
      </c>
      <c r="B9" t="s">
        <v>404</v>
      </c>
      <c r="C9" t="s">
        <v>15</v>
      </c>
      <c r="D9" t="s">
        <v>11</v>
      </c>
      <c r="E9" t="s">
        <v>378</v>
      </c>
      <c r="F9" t="s">
        <v>401</v>
      </c>
      <c r="G9" s="1">
        <v>146.92740000000001</v>
      </c>
      <c r="H9" s="1">
        <f t="shared" si="0"/>
        <v>166.027962</v>
      </c>
      <c r="I9" s="1">
        <f t="shared" si="1"/>
        <v>235.08384000000001</v>
      </c>
      <c r="J9" s="1">
        <f t="shared" si="2"/>
        <v>216.2771328</v>
      </c>
      <c r="K9" s="6">
        <f t="shared" si="3"/>
        <v>1.472</v>
      </c>
      <c r="L9">
        <v>720</v>
      </c>
    </row>
    <row r="10" spans="1:12" x14ac:dyDescent="0.3">
      <c r="A10" s="7" t="s">
        <v>77</v>
      </c>
      <c r="B10" t="s">
        <v>71</v>
      </c>
      <c r="C10" t="s">
        <v>10</v>
      </c>
      <c r="D10" t="s">
        <v>11</v>
      </c>
      <c r="E10" t="s">
        <v>32</v>
      </c>
      <c r="F10" t="s">
        <v>33</v>
      </c>
      <c r="G10" s="1">
        <v>153.22155000000001</v>
      </c>
      <c r="H10" s="1">
        <f t="shared" si="0"/>
        <v>173.14035149999998</v>
      </c>
      <c r="I10" s="1">
        <f t="shared" si="1"/>
        <v>245.15448000000004</v>
      </c>
      <c r="J10" s="1">
        <f t="shared" si="2"/>
        <v>225.54212160000003</v>
      </c>
      <c r="K10" s="6">
        <f t="shared" si="3"/>
        <v>1.4720000000000002</v>
      </c>
      <c r="L10">
        <v>514</v>
      </c>
    </row>
    <row r="11" spans="1:12" x14ac:dyDescent="0.3">
      <c r="A11" s="7" t="s">
        <v>118</v>
      </c>
      <c r="B11" t="s">
        <v>117</v>
      </c>
      <c r="C11" t="s">
        <v>10</v>
      </c>
      <c r="D11" t="s">
        <v>16</v>
      </c>
      <c r="E11" t="s">
        <v>92</v>
      </c>
      <c r="F11" t="s">
        <v>93</v>
      </c>
      <c r="G11" s="1">
        <v>186.30045000000001</v>
      </c>
      <c r="H11" s="1">
        <f t="shared" si="0"/>
        <v>210.5195085</v>
      </c>
      <c r="I11" s="1">
        <f t="shared" si="1"/>
        <v>298.08072000000004</v>
      </c>
      <c r="J11" s="1">
        <f t="shared" si="2"/>
        <v>274.23426240000003</v>
      </c>
      <c r="K11" s="6">
        <f t="shared" si="3"/>
        <v>1.4720000000000002</v>
      </c>
      <c r="L11">
        <v>455</v>
      </c>
    </row>
    <row r="12" spans="1:12" x14ac:dyDescent="0.3">
      <c r="A12" t="s">
        <v>34</v>
      </c>
      <c r="B12" t="s">
        <v>31</v>
      </c>
      <c r="C12" t="s">
        <v>35</v>
      </c>
      <c r="D12" t="s">
        <v>11</v>
      </c>
      <c r="E12" t="s">
        <v>32</v>
      </c>
      <c r="F12" t="s">
        <v>33</v>
      </c>
      <c r="G12" s="1">
        <v>150.75075000000001</v>
      </c>
      <c r="H12" s="1">
        <f t="shared" si="0"/>
        <v>170.34834749999999</v>
      </c>
      <c r="I12" s="1">
        <f t="shared" si="1"/>
        <v>241.20120000000003</v>
      </c>
      <c r="J12" s="1">
        <f t="shared" si="2"/>
        <v>221.90510400000002</v>
      </c>
      <c r="K12" s="6">
        <f t="shared" si="3"/>
        <v>1.472</v>
      </c>
      <c r="L12">
        <v>437</v>
      </c>
    </row>
    <row r="13" spans="1:12" x14ac:dyDescent="0.3">
      <c r="A13" t="s">
        <v>192</v>
      </c>
      <c r="B13" t="s">
        <v>193</v>
      </c>
      <c r="C13" t="s">
        <v>15</v>
      </c>
      <c r="D13" t="s">
        <v>16</v>
      </c>
      <c r="E13" t="s">
        <v>92</v>
      </c>
      <c r="F13" t="s">
        <v>96</v>
      </c>
      <c r="G13" s="1">
        <v>151.22999999999999</v>
      </c>
      <c r="H13" s="1">
        <f t="shared" si="0"/>
        <v>170.88989999999998</v>
      </c>
      <c r="I13" s="1">
        <f t="shared" si="1"/>
        <v>241.96799999999999</v>
      </c>
      <c r="J13" s="1">
        <f t="shared" si="2"/>
        <v>222.61055999999999</v>
      </c>
      <c r="K13" s="6">
        <f t="shared" si="3"/>
        <v>1.472</v>
      </c>
      <c r="L13">
        <v>434</v>
      </c>
    </row>
    <row r="14" spans="1:12" x14ac:dyDescent="0.3">
      <c r="A14" t="s">
        <v>25</v>
      </c>
      <c r="B14" t="s">
        <v>18</v>
      </c>
      <c r="C14" t="s">
        <v>10</v>
      </c>
      <c r="D14" t="s">
        <v>11</v>
      </c>
      <c r="E14" t="s">
        <v>19</v>
      </c>
      <c r="F14" t="s">
        <v>20</v>
      </c>
      <c r="G14" s="1">
        <v>203.84100000000001</v>
      </c>
      <c r="H14" s="1">
        <f t="shared" si="0"/>
        <v>230.34032999999999</v>
      </c>
      <c r="I14" s="1">
        <f t="shared" si="1"/>
        <v>326.14560000000006</v>
      </c>
      <c r="J14" s="1">
        <f t="shared" si="2"/>
        <v>300.05395200000009</v>
      </c>
      <c r="K14" s="6">
        <f t="shared" si="3"/>
        <v>1.4720000000000004</v>
      </c>
      <c r="L14">
        <v>404</v>
      </c>
    </row>
    <row r="15" spans="1:12" x14ac:dyDescent="0.3">
      <c r="A15" t="s">
        <v>195</v>
      </c>
      <c r="B15" t="s">
        <v>193</v>
      </c>
      <c r="C15" t="s">
        <v>15</v>
      </c>
      <c r="D15" t="s">
        <v>16</v>
      </c>
      <c r="E15" t="s">
        <v>92</v>
      </c>
      <c r="F15" t="s">
        <v>96</v>
      </c>
      <c r="G15" s="1">
        <v>141.1764</v>
      </c>
      <c r="H15" s="1">
        <f t="shared" si="0"/>
        <v>159.52933199999998</v>
      </c>
      <c r="I15" s="1">
        <f t="shared" si="1"/>
        <v>225.88224000000002</v>
      </c>
      <c r="J15" s="1">
        <f t="shared" si="2"/>
        <v>207.81166080000003</v>
      </c>
      <c r="K15" s="6">
        <f t="shared" si="3"/>
        <v>1.4720000000000002</v>
      </c>
      <c r="L15">
        <v>343</v>
      </c>
    </row>
    <row r="16" spans="1:12" x14ac:dyDescent="0.3">
      <c r="A16" t="s">
        <v>283</v>
      </c>
      <c r="B16" t="s">
        <v>282</v>
      </c>
      <c r="C16" t="s">
        <v>15</v>
      </c>
      <c r="D16" t="s">
        <v>16</v>
      </c>
      <c r="E16" t="s">
        <v>92</v>
      </c>
      <c r="F16" t="s">
        <v>93</v>
      </c>
      <c r="G16" s="1">
        <v>285.57974999999993</v>
      </c>
      <c r="H16" s="1">
        <f t="shared" si="0"/>
        <v>322.70511749999991</v>
      </c>
      <c r="I16" s="1">
        <f t="shared" si="1"/>
        <v>456.92759999999993</v>
      </c>
      <c r="J16" s="1">
        <f t="shared" si="2"/>
        <v>420.37339199999997</v>
      </c>
      <c r="K16" s="6">
        <f t="shared" si="3"/>
        <v>1.4720000000000002</v>
      </c>
      <c r="L16">
        <v>329</v>
      </c>
    </row>
    <row r="17" spans="1:12" x14ac:dyDescent="0.3">
      <c r="A17" t="s">
        <v>218</v>
      </c>
      <c r="B17" t="s">
        <v>214</v>
      </c>
      <c r="C17" t="s">
        <v>15</v>
      </c>
      <c r="D17" t="s">
        <v>16</v>
      </c>
      <c r="E17" t="s">
        <v>92</v>
      </c>
      <c r="F17" t="s">
        <v>93</v>
      </c>
      <c r="G17" s="1">
        <v>249.94484999999997</v>
      </c>
      <c r="H17" s="1">
        <f t="shared" si="0"/>
        <v>282.43768049999994</v>
      </c>
      <c r="I17" s="1">
        <f t="shared" si="1"/>
        <v>399.91175999999996</v>
      </c>
      <c r="J17" s="1">
        <f t="shared" si="2"/>
        <v>367.91881919999997</v>
      </c>
      <c r="K17" s="6">
        <f t="shared" si="3"/>
        <v>1.472</v>
      </c>
      <c r="L17">
        <v>323</v>
      </c>
    </row>
    <row r="18" spans="1:12" x14ac:dyDescent="0.3">
      <c r="A18" t="s">
        <v>30</v>
      </c>
      <c r="B18" t="s">
        <v>31</v>
      </c>
      <c r="C18" t="s">
        <v>10</v>
      </c>
      <c r="D18" t="s">
        <v>11</v>
      </c>
      <c r="E18" t="s">
        <v>32</v>
      </c>
      <c r="F18" t="s">
        <v>33</v>
      </c>
      <c r="G18" s="1">
        <v>98.76809999999999</v>
      </c>
      <c r="H18" s="1">
        <f t="shared" si="0"/>
        <v>111.60795299999998</v>
      </c>
      <c r="I18" s="1">
        <f t="shared" si="1"/>
        <v>158.02895999999998</v>
      </c>
      <c r="J18" s="1">
        <f t="shared" si="2"/>
        <v>145.38664319999998</v>
      </c>
      <c r="K18" s="6">
        <f t="shared" si="3"/>
        <v>1.472</v>
      </c>
      <c r="L18">
        <v>288</v>
      </c>
    </row>
    <row r="19" spans="1:12" x14ac:dyDescent="0.3">
      <c r="A19" t="s">
        <v>327</v>
      </c>
      <c r="B19" t="s">
        <v>326</v>
      </c>
      <c r="C19" t="s">
        <v>15</v>
      </c>
      <c r="D19" t="s">
        <v>11</v>
      </c>
      <c r="E19" t="s">
        <v>292</v>
      </c>
      <c r="F19" t="s">
        <v>293</v>
      </c>
      <c r="G19" s="1">
        <v>128.87565000000001</v>
      </c>
      <c r="H19" s="1">
        <f t="shared" si="0"/>
        <v>145.62948449999999</v>
      </c>
      <c r="I19" s="1">
        <f t="shared" si="1"/>
        <v>206.20104000000003</v>
      </c>
      <c r="J19" s="1">
        <f t="shared" si="2"/>
        <v>189.70495680000005</v>
      </c>
      <c r="K19" s="6">
        <f t="shared" si="3"/>
        <v>1.4720000000000002</v>
      </c>
      <c r="L19">
        <v>282</v>
      </c>
    </row>
    <row r="20" spans="1:12" x14ac:dyDescent="0.3">
      <c r="A20" t="s">
        <v>22</v>
      </c>
      <c r="B20" t="s">
        <v>18</v>
      </c>
      <c r="C20" t="s">
        <v>10</v>
      </c>
      <c r="D20" t="s">
        <v>16</v>
      </c>
      <c r="E20" t="s">
        <v>19</v>
      </c>
      <c r="F20" t="s">
        <v>20</v>
      </c>
      <c r="G20" s="1">
        <v>271.67084999999997</v>
      </c>
      <c r="H20" s="1">
        <f t="shared" si="0"/>
        <v>306.98806049999996</v>
      </c>
      <c r="I20" s="1">
        <f t="shared" si="1"/>
        <v>434.67336</v>
      </c>
      <c r="J20" s="1">
        <f t="shared" si="2"/>
        <v>399.8994912</v>
      </c>
      <c r="K20" s="6">
        <f t="shared" si="3"/>
        <v>1.4720000000000002</v>
      </c>
      <c r="L20">
        <v>262</v>
      </c>
    </row>
    <row r="21" spans="1:12" x14ac:dyDescent="0.3">
      <c r="A21" t="s">
        <v>77</v>
      </c>
      <c r="B21" t="s">
        <v>71</v>
      </c>
      <c r="C21" t="s">
        <v>67</v>
      </c>
      <c r="D21" t="s">
        <v>11</v>
      </c>
      <c r="E21" t="s">
        <v>32</v>
      </c>
      <c r="F21" t="s">
        <v>33</v>
      </c>
      <c r="G21" s="1">
        <v>153.22155000000001</v>
      </c>
      <c r="H21" s="1">
        <f t="shared" si="0"/>
        <v>173.14035149999998</v>
      </c>
      <c r="I21" s="1">
        <f t="shared" si="1"/>
        <v>245.15448000000004</v>
      </c>
      <c r="J21" s="1">
        <f t="shared" si="2"/>
        <v>225.54212160000003</v>
      </c>
      <c r="K21" s="6">
        <f t="shared" si="3"/>
        <v>1.4720000000000002</v>
      </c>
      <c r="L21">
        <v>245</v>
      </c>
    </row>
    <row r="22" spans="1:12" x14ac:dyDescent="0.3">
      <c r="A22" t="s">
        <v>314</v>
      </c>
      <c r="B22" t="s">
        <v>313</v>
      </c>
      <c r="C22" t="s">
        <v>15</v>
      </c>
      <c r="D22" t="s">
        <v>11</v>
      </c>
      <c r="E22" t="s">
        <v>292</v>
      </c>
      <c r="F22" t="s">
        <v>293</v>
      </c>
      <c r="G22" s="1">
        <v>168.18479999999997</v>
      </c>
      <c r="H22" s="1">
        <f t="shared" si="0"/>
        <v>190.04882399999994</v>
      </c>
      <c r="I22" s="1">
        <f t="shared" si="1"/>
        <v>269.09567999999996</v>
      </c>
      <c r="J22" s="1">
        <f t="shared" si="2"/>
        <v>247.56802559999997</v>
      </c>
      <c r="K22" s="6">
        <f t="shared" si="3"/>
        <v>1.4720000000000002</v>
      </c>
      <c r="L22">
        <v>241</v>
      </c>
    </row>
    <row r="23" spans="1:12" x14ac:dyDescent="0.3">
      <c r="A23" t="s">
        <v>84</v>
      </c>
      <c r="B23" t="s">
        <v>80</v>
      </c>
      <c r="C23" t="s">
        <v>10</v>
      </c>
      <c r="D23" t="s">
        <v>11</v>
      </c>
      <c r="E23" t="s">
        <v>32</v>
      </c>
      <c r="F23" t="s">
        <v>81</v>
      </c>
      <c r="G23" s="1">
        <v>129.73829999999998</v>
      </c>
      <c r="H23" s="1">
        <f t="shared" si="0"/>
        <v>146.60427899999996</v>
      </c>
      <c r="I23" s="1">
        <f t="shared" si="1"/>
        <v>207.58127999999999</v>
      </c>
      <c r="J23" s="1">
        <f t="shared" si="2"/>
        <v>190.97477760000001</v>
      </c>
      <c r="K23" s="6">
        <f t="shared" si="3"/>
        <v>1.4720000000000002</v>
      </c>
      <c r="L23">
        <v>237</v>
      </c>
    </row>
    <row r="24" spans="1:12" x14ac:dyDescent="0.3">
      <c r="A24" t="s">
        <v>131</v>
      </c>
      <c r="B24" t="s">
        <v>129</v>
      </c>
      <c r="C24" t="s">
        <v>15</v>
      </c>
      <c r="D24" t="s">
        <v>16</v>
      </c>
      <c r="E24" t="s">
        <v>92</v>
      </c>
      <c r="F24" t="s">
        <v>93</v>
      </c>
      <c r="G24" s="1">
        <v>284.98334999999997</v>
      </c>
      <c r="H24" s="1">
        <f t="shared" si="0"/>
        <v>322.03118549999994</v>
      </c>
      <c r="I24" s="1">
        <f t="shared" si="1"/>
        <v>455.97335999999996</v>
      </c>
      <c r="J24" s="1">
        <f t="shared" si="2"/>
        <v>419.4954912</v>
      </c>
      <c r="K24" s="6">
        <f t="shared" si="3"/>
        <v>1.4720000000000002</v>
      </c>
      <c r="L24">
        <v>233</v>
      </c>
    </row>
    <row r="25" spans="1:12" x14ac:dyDescent="0.3">
      <c r="A25" t="s">
        <v>407</v>
      </c>
      <c r="B25" t="s">
        <v>404</v>
      </c>
      <c r="C25" t="s">
        <v>10</v>
      </c>
      <c r="D25" t="s">
        <v>11</v>
      </c>
      <c r="E25" t="s">
        <v>378</v>
      </c>
      <c r="F25" t="s">
        <v>401</v>
      </c>
      <c r="G25" s="1">
        <v>373.815</v>
      </c>
      <c r="H25" s="1">
        <f t="shared" si="0"/>
        <v>422.41094999999996</v>
      </c>
      <c r="I25" s="1">
        <f t="shared" si="1"/>
        <v>598.10400000000004</v>
      </c>
      <c r="J25" s="1">
        <f t="shared" si="2"/>
        <v>550.2556800000001</v>
      </c>
      <c r="K25" s="6">
        <f t="shared" si="3"/>
        <v>1.4720000000000002</v>
      </c>
      <c r="L25">
        <v>231</v>
      </c>
    </row>
    <row r="26" spans="1:12" x14ac:dyDescent="0.3">
      <c r="A26" s="7" t="s">
        <v>233</v>
      </c>
      <c r="B26" t="s">
        <v>231</v>
      </c>
      <c r="C26" t="s">
        <v>15</v>
      </c>
      <c r="D26" t="s">
        <v>11</v>
      </c>
      <c r="E26" t="s">
        <v>92</v>
      </c>
      <c r="F26" t="s">
        <v>184</v>
      </c>
      <c r="G26" s="1">
        <v>220.74254999999999</v>
      </c>
      <c r="H26" s="1">
        <f t="shared" si="0"/>
        <v>249.43908149999996</v>
      </c>
      <c r="I26" s="1">
        <f t="shared" si="1"/>
        <v>353.18808000000001</v>
      </c>
      <c r="J26" s="1">
        <f t="shared" si="2"/>
        <v>324.93303360000004</v>
      </c>
      <c r="K26" s="6">
        <f t="shared" si="3"/>
        <v>1.4720000000000002</v>
      </c>
      <c r="L26">
        <v>220</v>
      </c>
    </row>
    <row r="27" spans="1:12" x14ac:dyDescent="0.3">
      <c r="A27" t="s">
        <v>54</v>
      </c>
      <c r="B27" t="s">
        <v>39</v>
      </c>
      <c r="C27" t="s">
        <v>15</v>
      </c>
      <c r="D27" t="s">
        <v>11</v>
      </c>
      <c r="E27" t="s">
        <v>32</v>
      </c>
      <c r="F27" t="s">
        <v>41</v>
      </c>
      <c r="G27" s="1">
        <v>266.03699999999998</v>
      </c>
      <c r="H27" s="1">
        <f t="shared" si="0"/>
        <v>300.62180999999993</v>
      </c>
      <c r="I27" s="1">
        <f t="shared" si="1"/>
        <v>425.6592</v>
      </c>
      <c r="J27" s="1">
        <f t="shared" si="2"/>
        <v>391.60646400000002</v>
      </c>
      <c r="K27" s="6">
        <f t="shared" si="3"/>
        <v>1.4720000000000002</v>
      </c>
      <c r="L27">
        <v>216</v>
      </c>
    </row>
    <row r="28" spans="1:12" x14ac:dyDescent="0.3">
      <c r="A28" t="s">
        <v>157</v>
      </c>
      <c r="B28" t="s">
        <v>156</v>
      </c>
      <c r="C28" t="s">
        <v>35</v>
      </c>
      <c r="D28" t="s">
        <v>11</v>
      </c>
      <c r="E28" t="s">
        <v>92</v>
      </c>
      <c r="F28" t="s">
        <v>136</v>
      </c>
      <c r="G28" s="1">
        <v>220.43369999999999</v>
      </c>
      <c r="H28" s="1">
        <f t="shared" si="0"/>
        <v>249.09008099999997</v>
      </c>
      <c r="I28" s="1">
        <f t="shared" si="1"/>
        <v>352.69391999999999</v>
      </c>
      <c r="J28" s="1">
        <f t="shared" si="2"/>
        <v>324.47840639999998</v>
      </c>
      <c r="K28" s="6">
        <f t="shared" si="3"/>
        <v>1.472</v>
      </c>
      <c r="L28">
        <v>211</v>
      </c>
    </row>
    <row r="29" spans="1:12" x14ac:dyDescent="0.3">
      <c r="A29" t="s">
        <v>408</v>
      </c>
      <c r="B29" t="s">
        <v>404</v>
      </c>
      <c r="C29" t="s">
        <v>50</v>
      </c>
      <c r="D29" t="s">
        <v>142</v>
      </c>
      <c r="E29" t="s">
        <v>378</v>
      </c>
      <c r="F29" t="s">
        <v>401</v>
      </c>
      <c r="G29" s="1">
        <v>146.92740000000001</v>
      </c>
      <c r="H29" s="1">
        <f t="shared" si="0"/>
        <v>166.027962</v>
      </c>
      <c r="I29" s="1">
        <f t="shared" si="1"/>
        <v>235.08384000000001</v>
      </c>
      <c r="J29" s="1">
        <f t="shared" si="2"/>
        <v>216.2771328</v>
      </c>
      <c r="K29" s="6">
        <f t="shared" si="3"/>
        <v>1.472</v>
      </c>
      <c r="L29">
        <v>203</v>
      </c>
    </row>
    <row r="30" spans="1:12" x14ac:dyDescent="0.3">
      <c r="A30" t="s">
        <v>28</v>
      </c>
      <c r="B30" t="s">
        <v>18</v>
      </c>
      <c r="C30" t="s">
        <v>10</v>
      </c>
      <c r="D30" t="s">
        <v>11</v>
      </c>
      <c r="E30" t="s">
        <v>19</v>
      </c>
      <c r="F30" t="s">
        <v>20</v>
      </c>
      <c r="G30" s="1">
        <v>171.9975</v>
      </c>
      <c r="H30" s="1">
        <f t="shared" si="0"/>
        <v>194.35717499999998</v>
      </c>
      <c r="I30" s="1">
        <f t="shared" si="1"/>
        <v>275.19600000000003</v>
      </c>
      <c r="J30" s="1">
        <f t="shared" si="2"/>
        <v>253.18032000000002</v>
      </c>
      <c r="K30" s="6">
        <f t="shared" si="3"/>
        <v>1.4720000000000002</v>
      </c>
      <c r="L30">
        <v>201</v>
      </c>
    </row>
    <row r="31" spans="1:12" x14ac:dyDescent="0.3">
      <c r="A31" t="s">
        <v>328</v>
      </c>
      <c r="B31" t="s">
        <v>326</v>
      </c>
      <c r="C31" t="s">
        <v>15</v>
      </c>
      <c r="D31" t="s">
        <v>11</v>
      </c>
      <c r="E31" t="s">
        <v>292</v>
      </c>
      <c r="F31" t="s">
        <v>293</v>
      </c>
      <c r="G31" s="1">
        <v>113.47574999999999</v>
      </c>
      <c r="H31" s="1">
        <f t="shared" si="0"/>
        <v>128.22759749999997</v>
      </c>
      <c r="I31" s="1">
        <f t="shared" si="1"/>
        <v>181.56119999999999</v>
      </c>
      <c r="J31" s="1">
        <f t="shared" si="2"/>
        <v>167.036304</v>
      </c>
      <c r="K31" s="6">
        <f t="shared" si="3"/>
        <v>1.4720000000000002</v>
      </c>
      <c r="L31">
        <v>190</v>
      </c>
    </row>
    <row r="32" spans="1:12" x14ac:dyDescent="0.3">
      <c r="A32" t="s">
        <v>184</v>
      </c>
      <c r="B32" t="s">
        <v>260</v>
      </c>
      <c r="C32" t="s">
        <v>15</v>
      </c>
      <c r="D32" t="s">
        <v>16</v>
      </c>
      <c r="E32" t="s">
        <v>92</v>
      </c>
      <c r="F32" t="s">
        <v>184</v>
      </c>
      <c r="G32" s="1">
        <v>183.19064999999998</v>
      </c>
      <c r="H32" s="1">
        <f t="shared" si="0"/>
        <v>207.00543449999995</v>
      </c>
      <c r="I32" s="1">
        <f t="shared" si="1"/>
        <v>293.10503999999997</v>
      </c>
      <c r="J32" s="1">
        <f t="shared" si="2"/>
        <v>269.6566368</v>
      </c>
      <c r="K32" s="6">
        <f t="shared" si="3"/>
        <v>1.4720000000000002</v>
      </c>
      <c r="L32">
        <v>174</v>
      </c>
    </row>
    <row r="33" spans="1:12" x14ac:dyDescent="0.3">
      <c r="A33" t="s">
        <v>254</v>
      </c>
      <c r="B33" t="s">
        <v>282</v>
      </c>
      <c r="C33" t="s">
        <v>15</v>
      </c>
      <c r="D33" t="s">
        <v>11</v>
      </c>
      <c r="E33" t="s">
        <v>92</v>
      </c>
      <c r="F33" t="s">
        <v>93</v>
      </c>
      <c r="G33" s="1">
        <v>285.57974999999993</v>
      </c>
      <c r="H33" s="1">
        <f t="shared" si="0"/>
        <v>322.70511749999991</v>
      </c>
      <c r="I33" s="1">
        <f t="shared" si="1"/>
        <v>456.92759999999993</v>
      </c>
      <c r="J33" s="1">
        <f t="shared" si="2"/>
        <v>420.37339199999997</v>
      </c>
      <c r="K33" s="6">
        <f t="shared" si="3"/>
        <v>1.4720000000000002</v>
      </c>
      <c r="L33">
        <v>174</v>
      </c>
    </row>
    <row r="34" spans="1:12" x14ac:dyDescent="0.3">
      <c r="A34" t="s">
        <v>90</v>
      </c>
      <c r="B34" t="s">
        <v>91</v>
      </c>
      <c r="C34" t="s">
        <v>15</v>
      </c>
      <c r="D34" t="s">
        <v>16</v>
      </c>
      <c r="E34" t="s">
        <v>92</v>
      </c>
      <c r="F34" t="s">
        <v>93</v>
      </c>
      <c r="G34" s="1">
        <v>229.18799999999999</v>
      </c>
      <c r="H34" s="1">
        <f t="shared" si="0"/>
        <v>258.98243999999994</v>
      </c>
      <c r="I34" s="1">
        <f t="shared" si="1"/>
        <v>366.70080000000002</v>
      </c>
      <c r="J34" s="1">
        <f t="shared" si="2"/>
        <v>337.36473600000005</v>
      </c>
      <c r="K34" s="6">
        <f t="shared" si="3"/>
        <v>1.4720000000000002</v>
      </c>
      <c r="L34">
        <v>172</v>
      </c>
    </row>
    <row r="35" spans="1:12" x14ac:dyDescent="0.3">
      <c r="A35" t="s">
        <v>228</v>
      </c>
      <c r="B35" t="s">
        <v>227</v>
      </c>
      <c r="C35" t="s">
        <v>15</v>
      </c>
      <c r="D35" t="s">
        <v>16</v>
      </c>
      <c r="E35" t="s">
        <v>92</v>
      </c>
      <c r="F35" t="s">
        <v>93</v>
      </c>
      <c r="G35" s="1">
        <v>368.05334999999997</v>
      </c>
      <c r="H35" s="1">
        <f t="shared" si="0"/>
        <v>415.90028549999994</v>
      </c>
      <c r="I35" s="1">
        <f t="shared" si="1"/>
        <v>588.88535999999999</v>
      </c>
      <c r="J35" s="1">
        <f t="shared" si="2"/>
        <v>541.77453120000007</v>
      </c>
      <c r="K35" s="6">
        <f t="shared" si="3"/>
        <v>1.4720000000000004</v>
      </c>
      <c r="L35">
        <v>172</v>
      </c>
    </row>
    <row r="36" spans="1:12" x14ac:dyDescent="0.3">
      <c r="A36" t="s">
        <v>58</v>
      </c>
      <c r="B36" t="s">
        <v>57</v>
      </c>
      <c r="C36" t="s">
        <v>15</v>
      </c>
      <c r="D36" t="s">
        <v>11</v>
      </c>
      <c r="E36" t="s">
        <v>32</v>
      </c>
      <c r="F36" t="s">
        <v>33</v>
      </c>
      <c r="G36" s="1">
        <v>239.17769999999999</v>
      </c>
      <c r="H36" s="1">
        <f t="shared" si="0"/>
        <v>270.27080099999995</v>
      </c>
      <c r="I36" s="1">
        <f t="shared" si="1"/>
        <v>382.68432000000001</v>
      </c>
      <c r="J36" s="1">
        <f t="shared" si="2"/>
        <v>352.06957440000002</v>
      </c>
      <c r="K36" s="6">
        <f t="shared" si="3"/>
        <v>1.4720000000000002</v>
      </c>
      <c r="L36">
        <v>164</v>
      </c>
    </row>
    <row r="37" spans="1:12" x14ac:dyDescent="0.3">
      <c r="A37" t="s">
        <v>318</v>
      </c>
      <c r="B37" t="s">
        <v>319</v>
      </c>
      <c r="C37" t="s">
        <v>35</v>
      </c>
      <c r="D37" t="s">
        <v>11</v>
      </c>
      <c r="E37" t="s">
        <v>292</v>
      </c>
      <c r="F37" t="s">
        <v>293</v>
      </c>
      <c r="G37" s="1">
        <v>206.95079999999999</v>
      </c>
      <c r="H37" s="1">
        <f t="shared" si="0"/>
        <v>233.85440399999996</v>
      </c>
      <c r="I37" s="1">
        <f t="shared" si="1"/>
        <v>331.12128000000001</v>
      </c>
      <c r="J37" s="1">
        <f t="shared" si="2"/>
        <v>304.63157760000001</v>
      </c>
      <c r="K37" s="6">
        <f t="shared" si="3"/>
        <v>1.4720000000000002</v>
      </c>
      <c r="L37">
        <v>164</v>
      </c>
    </row>
    <row r="38" spans="1:12" x14ac:dyDescent="0.3">
      <c r="A38" t="s">
        <v>320</v>
      </c>
      <c r="B38" t="s">
        <v>319</v>
      </c>
      <c r="C38" t="s">
        <v>15</v>
      </c>
      <c r="D38" t="s">
        <v>11</v>
      </c>
      <c r="E38" t="s">
        <v>292</v>
      </c>
      <c r="F38" t="s">
        <v>293</v>
      </c>
      <c r="G38" s="1">
        <v>129.05670000000001</v>
      </c>
      <c r="H38" s="1">
        <f t="shared" si="0"/>
        <v>145.83407099999999</v>
      </c>
      <c r="I38" s="1">
        <f t="shared" si="1"/>
        <v>206.49072000000001</v>
      </c>
      <c r="J38" s="1">
        <f t="shared" si="2"/>
        <v>189.97146240000001</v>
      </c>
      <c r="K38" s="6">
        <f t="shared" si="3"/>
        <v>1.472</v>
      </c>
      <c r="L38">
        <v>162</v>
      </c>
    </row>
    <row r="39" spans="1:12" x14ac:dyDescent="0.3">
      <c r="A39" t="s">
        <v>393</v>
      </c>
      <c r="B39" t="s">
        <v>394</v>
      </c>
      <c r="C39" t="s">
        <v>15</v>
      </c>
      <c r="D39" t="s">
        <v>11</v>
      </c>
      <c r="E39" t="s">
        <v>378</v>
      </c>
      <c r="F39" t="s">
        <v>382</v>
      </c>
      <c r="G39" s="1">
        <v>247.78289999999998</v>
      </c>
      <c r="H39" s="1">
        <f t="shared" si="0"/>
        <v>279.99467699999997</v>
      </c>
      <c r="I39" s="1">
        <f t="shared" si="1"/>
        <v>396.45263999999997</v>
      </c>
      <c r="J39" s="1">
        <f t="shared" si="2"/>
        <v>364.7364288</v>
      </c>
      <c r="K39" s="6">
        <f t="shared" si="3"/>
        <v>1.4720000000000002</v>
      </c>
      <c r="L39">
        <v>152</v>
      </c>
    </row>
    <row r="40" spans="1:12" x14ac:dyDescent="0.3">
      <c r="A40" t="s">
        <v>137</v>
      </c>
      <c r="B40" t="s">
        <v>135</v>
      </c>
      <c r="C40" t="s">
        <v>15</v>
      </c>
      <c r="D40" t="s">
        <v>16</v>
      </c>
      <c r="E40" t="s">
        <v>92</v>
      </c>
      <c r="F40" t="s">
        <v>136</v>
      </c>
      <c r="G40" s="1">
        <v>192.93539999999999</v>
      </c>
      <c r="H40" s="1">
        <f t="shared" si="0"/>
        <v>218.01700199999996</v>
      </c>
      <c r="I40" s="1">
        <f t="shared" si="1"/>
        <v>308.69664</v>
      </c>
      <c r="J40" s="1">
        <f t="shared" si="2"/>
        <v>284.00090879999999</v>
      </c>
      <c r="K40" s="6">
        <f t="shared" si="3"/>
        <v>1.472</v>
      </c>
      <c r="L40">
        <v>150</v>
      </c>
    </row>
    <row r="41" spans="1:12" x14ac:dyDescent="0.3">
      <c r="A41" t="s">
        <v>134</v>
      </c>
      <c r="B41" t="s">
        <v>135</v>
      </c>
      <c r="C41" t="s">
        <v>10</v>
      </c>
      <c r="D41" t="s">
        <v>11</v>
      </c>
      <c r="E41" t="s">
        <v>92</v>
      </c>
      <c r="F41" t="s">
        <v>136</v>
      </c>
      <c r="G41" s="1">
        <v>181.74224999999998</v>
      </c>
      <c r="H41" s="1">
        <f t="shared" si="0"/>
        <v>205.36874249999997</v>
      </c>
      <c r="I41" s="1">
        <f t="shared" si="1"/>
        <v>290.7876</v>
      </c>
      <c r="J41" s="1">
        <f t="shared" si="2"/>
        <v>267.52459199999998</v>
      </c>
      <c r="K41" s="6">
        <f t="shared" si="3"/>
        <v>1.472</v>
      </c>
      <c r="L41">
        <v>149</v>
      </c>
    </row>
    <row r="42" spans="1:12" x14ac:dyDescent="0.3">
      <c r="A42" t="s">
        <v>197</v>
      </c>
      <c r="B42" t="s">
        <v>193</v>
      </c>
      <c r="C42" t="s">
        <v>35</v>
      </c>
      <c r="D42" t="s">
        <v>16</v>
      </c>
      <c r="E42" t="s">
        <v>92</v>
      </c>
      <c r="F42" t="s">
        <v>96</v>
      </c>
      <c r="G42" s="1">
        <v>255.15270000000001</v>
      </c>
      <c r="H42" s="1">
        <f t="shared" si="0"/>
        <v>288.32255099999998</v>
      </c>
      <c r="I42" s="1">
        <f t="shared" si="1"/>
        <v>408.24432000000002</v>
      </c>
      <c r="J42" s="1">
        <f t="shared" si="2"/>
        <v>375.58477440000001</v>
      </c>
      <c r="K42" s="6">
        <f t="shared" si="3"/>
        <v>1.472</v>
      </c>
      <c r="L42">
        <v>147</v>
      </c>
    </row>
    <row r="43" spans="1:12" x14ac:dyDescent="0.3">
      <c r="A43" t="s">
        <v>312</v>
      </c>
      <c r="B43" t="s">
        <v>313</v>
      </c>
      <c r="C43" t="s">
        <v>15</v>
      </c>
      <c r="D43" t="s">
        <v>11</v>
      </c>
      <c r="E43" t="s">
        <v>292</v>
      </c>
      <c r="F43" t="s">
        <v>293</v>
      </c>
      <c r="G43" s="1">
        <v>244.33229999999998</v>
      </c>
      <c r="H43" s="1">
        <f t="shared" si="0"/>
        <v>276.09549899999996</v>
      </c>
      <c r="I43" s="1">
        <f t="shared" si="1"/>
        <v>390.93167999999997</v>
      </c>
      <c r="J43" s="1">
        <f t="shared" si="2"/>
        <v>359.65714559999998</v>
      </c>
      <c r="K43" s="6">
        <f t="shared" si="3"/>
        <v>1.472</v>
      </c>
      <c r="L43">
        <v>146</v>
      </c>
    </row>
    <row r="44" spans="1:12" x14ac:dyDescent="0.3">
      <c r="A44" t="s">
        <v>406</v>
      </c>
      <c r="B44" t="s">
        <v>404</v>
      </c>
      <c r="C44" t="s">
        <v>15</v>
      </c>
      <c r="D44" t="s">
        <v>16</v>
      </c>
      <c r="E44" t="s">
        <v>378</v>
      </c>
      <c r="F44" t="s">
        <v>401</v>
      </c>
      <c r="G44" s="1">
        <v>330.0222</v>
      </c>
      <c r="H44" s="1">
        <f t="shared" si="0"/>
        <v>372.92508599999996</v>
      </c>
      <c r="I44" s="1">
        <f t="shared" si="1"/>
        <v>528.03552000000002</v>
      </c>
      <c r="J44" s="1">
        <f t="shared" si="2"/>
        <v>485.79267840000006</v>
      </c>
      <c r="K44" s="6">
        <f t="shared" si="3"/>
        <v>1.4720000000000002</v>
      </c>
      <c r="L44">
        <v>145</v>
      </c>
    </row>
    <row r="45" spans="1:12" x14ac:dyDescent="0.3">
      <c r="A45" t="s">
        <v>303</v>
      </c>
      <c r="B45" t="s">
        <v>301</v>
      </c>
      <c r="C45" t="s">
        <v>15</v>
      </c>
      <c r="D45" t="s">
        <v>11</v>
      </c>
      <c r="E45" t="s">
        <v>292</v>
      </c>
      <c r="F45" t="s">
        <v>302</v>
      </c>
      <c r="G45" s="1">
        <v>164.59575000000001</v>
      </c>
      <c r="H45" s="1">
        <f t="shared" si="0"/>
        <v>185.99319749999998</v>
      </c>
      <c r="I45" s="1">
        <f t="shared" si="1"/>
        <v>263.35320000000002</v>
      </c>
      <c r="J45" s="1">
        <f t="shared" si="2"/>
        <v>242.28494400000002</v>
      </c>
      <c r="K45" s="6">
        <f t="shared" si="3"/>
        <v>1.472</v>
      </c>
      <c r="L45">
        <v>134</v>
      </c>
    </row>
    <row r="46" spans="1:12" x14ac:dyDescent="0.3">
      <c r="A46" t="s">
        <v>217</v>
      </c>
      <c r="B46" t="s">
        <v>214</v>
      </c>
      <c r="C46" t="s">
        <v>15</v>
      </c>
      <c r="D46" t="s">
        <v>11</v>
      </c>
      <c r="E46" t="s">
        <v>92</v>
      </c>
      <c r="F46" t="s">
        <v>93</v>
      </c>
      <c r="G46" s="1">
        <v>249.94484999999997</v>
      </c>
      <c r="H46" s="1">
        <f t="shared" si="0"/>
        <v>282.43768049999994</v>
      </c>
      <c r="I46" s="1">
        <f t="shared" si="1"/>
        <v>399.91175999999996</v>
      </c>
      <c r="J46" s="1">
        <f t="shared" si="2"/>
        <v>367.91881919999997</v>
      </c>
      <c r="K46" s="6">
        <f t="shared" si="3"/>
        <v>1.472</v>
      </c>
      <c r="L46">
        <v>130</v>
      </c>
    </row>
    <row r="47" spans="1:12" x14ac:dyDescent="0.3">
      <c r="A47" t="s">
        <v>138</v>
      </c>
      <c r="B47" t="s">
        <v>135</v>
      </c>
      <c r="C47" t="s">
        <v>15</v>
      </c>
      <c r="D47" t="s">
        <v>11</v>
      </c>
      <c r="E47" t="s">
        <v>92</v>
      </c>
      <c r="F47" t="s">
        <v>136</v>
      </c>
      <c r="G47" s="1">
        <v>196.66289999999998</v>
      </c>
      <c r="H47" s="1">
        <f t="shared" si="0"/>
        <v>222.22907699999996</v>
      </c>
      <c r="I47" s="1">
        <f t="shared" si="1"/>
        <v>314.66064</v>
      </c>
      <c r="J47" s="1">
        <f t="shared" si="2"/>
        <v>289.48778880000003</v>
      </c>
      <c r="K47" s="6">
        <f t="shared" si="3"/>
        <v>1.4720000000000004</v>
      </c>
      <c r="L47">
        <v>129</v>
      </c>
    </row>
    <row r="48" spans="1:12" x14ac:dyDescent="0.3">
      <c r="A48" t="s">
        <v>165</v>
      </c>
      <c r="B48" t="s">
        <v>161</v>
      </c>
      <c r="C48" t="s">
        <v>15</v>
      </c>
      <c r="D48" t="s">
        <v>11</v>
      </c>
      <c r="E48" t="s">
        <v>92</v>
      </c>
      <c r="F48" t="s">
        <v>96</v>
      </c>
      <c r="G48" s="1">
        <v>147.6942</v>
      </c>
      <c r="H48" s="1">
        <f t="shared" si="0"/>
        <v>166.89444599999999</v>
      </c>
      <c r="I48" s="1">
        <f t="shared" si="1"/>
        <v>236.31072</v>
      </c>
      <c r="J48" s="1">
        <f t="shared" si="2"/>
        <v>217.40586240000002</v>
      </c>
      <c r="K48" s="6">
        <f t="shared" si="3"/>
        <v>1.4720000000000002</v>
      </c>
      <c r="L48">
        <v>127</v>
      </c>
    </row>
    <row r="49" spans="1:12" x14ac:dyDescent="0.3">
      <c r="A49" t="s">
        <v>405</v>
      </c>
      <c r="B49" t="s">
        <v>404</v>
      </c>
      <c r="C49" t="s">
        <v>10</v>
      </c>
      <c r="D49" t="s">
        <v>11</v>
      </c>
      <c r="E49" t="s">
        <v>378</v>
      </c>
      <c r="F49" t="s">
        <v>401</v>
      </c>
      <c r="G49" s="1">
        <v>263.72594999999995</v>
      </c>
      <c r="H49" s="1">
        <f t="shared" si="0"/>
        <v>298.01032349999991</v>
      </c>
      <c r="I49" s="1">
        <f t="shared" si="1"/>
        <v>421.96151999999995</v>
      </c>
      <c r="J49" s="1">
        <f t="shared" si="2"/>
        <v>388.20459839999995</v>
      </c>
      <c r="K49" s="6">
        <f t="shared" si="3"/>
        <v>1.472</v>
      </c>
      <c r="L49">
        <v>127</v>
      </c>
    </row>
    <row r="50" spans="1:12" x14ac:dyDescent="0.3">
      <c r="A50" t="s">
        <v>232</v>
      </c>
      <c r="B50" t="s">
        <v>231</v>
      </c>
      <c r="C50" t="s">
        <v>15</v>
      </c>
      <c r="D50" t="s">
        <v>11</v>
      </c>
      <c r="E50" t="s">
        <v>92</v>
      </c>
      <c r="F50" t="s">
        <v>184</v>
      </c>
      <c r="G50" s="1">
        <v>231.45644999999999</v>
      </c>
      <c r="H50" s="1">
        <f t="shared" si="0"/>
        <v>261.54578849999996</v>
      </c>
      <c r="I50" s="1">
        <f t="shared" si="1"/>
        <v>370.33032000000003</v>
      </c>
      <c r="J50" s="1">
        <f t="shared" si="2"/>
        <v>340.70389440000002</v>
      </c>
      <c r="K50" s="6">
        <f t="shared" si="3"/>
        <v>1.4720000000000002</v>
      </c>
      <c r="L50">
        <v>126</v>
      </c>
    </row>
    <row r="51" spans="1:12" x14ac:dyDescent="0.3">
      <c r="A51" t="s">
        <v>392</v>
      </c>
      <c r="B51" t="s">
        <v>381</v>
      </c>
      <c r="C51" t="s">
        <v>10</v>
      </c>
      <c r="D51" t="s">
        <v>11</v>
      </c>
      <c r="E51" t="s">
        <v>378</v>
      </c>
      <c r="F51" t="s">
        <v>382</v>
      </c>
      <c r="G51" s="1">
        <v>169.44149999999999</v>
      </c>
      <c r="H51" s="1">
        <f t="shared" si="0"/>
        <v>191.46889499999997</v>
      </c>
      <c r="I51" s="1">
        <f t="shared" si="1"/>
        <v>271.10640000000001</v>
      </c>
      <c r="J51" s="1">
        <f t="shared" si="2"/>
        <v>249.417888</v>
      </c>
      <c r="K51" s="6">
        <f t="shared" si="3"/>
        <v>1.4720000000000002</v>
      </c>
      <c r="L51">
        <v>123</v>
      </c>
    </row>
    <row r="52" spans="1:12" x14ac:dyDescent="0.3">
      <c r="A52" t="s">
        <v>185</v>
      </c>
      <c r="B52" t="s">
        <v>183</v>
      </c>
      <c r="C52" t="s">
        <v>15</v>
      </c>
      <c r="D52" t="s">
        <v>11</v>
      </c>
      <c r="E52" t="s">
        <v>92</v>
      </c>
      <c r="F52" t="s">
        <v>184</v>
      </c>
      <c r="G52" s="1">
        <v>272.87430000000001</v>
      </c>
      <c r="H52" s="1">
        <f t="shared" si="0"/>
        <v>308.347959</v>
      </c>
      <c r="I52" s="1">
        <f t="shared" si="1"/>
        <v>436.59888000000001</v>
      </c>
      <c r="J52" s="1">
        <f t="shared" si="2"/>
        <v>401.67096960000003</v>
      </c>
      <c r="K52" s="6">
        <f t="shared" si="3"/>
        <v>1.4720000000000002</v>
      </c>
      <c r="L52">
        <v>121</v>
      </c>
    </row>
    <row r="53" spans="1:12" x14ac:dyDescent="0.3">
      <c r="A53" t="s">
        <v>159</v>
      </c>
      <c r="B53" t="s">
        <v>156</v>
      </c>
      <c r="C53" t="s">
        <v>15</v>
      </c>
      <c r="D53" t="s">
        <v>16</v>
      </c>
      <c r="E53" t="s">
        <v>92</v>
      </c>
      <c r="F53" t="s">
        <v>136</v>
      </c>
      <c r="G53" s="1">
        <v>285.57974999999993</v>
      </c>
      <c r="H53" s="1">
        <f t="shared" si="0"/>
        <v>322.70511749999991</v>
      </c>
      <c r="I53" s="1">
        <f t="shared" si="1"/>
        <v>456.92759999999993</v>
      </c>
      <c r="J53" s="1">
        <f t="shared" si="2"/>
        <v>420.37339199999997</v>
      </c>
      <c r="K53" s="6">
        <f t="shared" si="3"/>
        <v>1.4720000000000002</v>
      </c>
      <c r="L53">
        <v>118</v>
      </c>
    </row>
    <row r="54" spans="1:12" x14ac:dyDescent="0.3">
      <c r="A54" t="s">
        <v>155</v>
      </c>
      <c r="B54" t="s">
        <v>156</v>
      </c>
      <c r="C54" t="s">
        <v>35</v>
      </c>
      <c r="D54" t="s">
        <v>11</v>
      </c>
      <c r="E54" t="s">
        <v>92</v>
      </c>
      <c r="F54" t="s">
        <v>136</v>
      </c>
      <c r="G54" s="1">
        <v>341.40704999999997</v>
      </c>
      <c r="H54" s="1">
        <f t="shared" si="0"/>
        <v>385.78996649999993</v>
      </c>
      <c r="I54" s="1">
        <f t="shared" si="1"/>
        <v>546.25127999999995</v>
      </c>
      <c r="J54" s="1">
        <f t="shared" si="2"/>
        <v>502.55117759999996</v>
      </c>
      <c r="K54" s="6">
        <f t="shared" si="3"/>
        <v>1.472</v>
      </c>
      <c r="L54">
        <v>117</v>
      </c>
    </row>
    <row r="55" spans="1:12" x14ac:dyDescent="0.3">
      <c r="A55" t="s">
        <v>116</v>
      </c>
      <c r="B55" t="s">
        <v>117</v>
      </c>
      <c r="C55" t="s">
        <v>10</v>
      </c>
      <c r="D55" t="s">
        <v>16</v>
      </c>
      <c r="E55" t="s">
        <v>92</v>
      </c>
      <c r="F55" t="s">
        <v>93</v>
      </c>
      <c r="G55" s="1">
        <v>251.85119999999998</v>
      </c>
      <c r="H55" s="1">
        <f t="shared" si="0"/>
        <v>284.59185599999995</v>
      </c>
      <c r="I55" s="1">
        <f t="shared" si="1"/>
        <v>402.96191999999996</v>
      </c>
      <c r="J55" s="1">
        <f t="shared" si="2"/>
        <v>370.72496639999997</v>
      </c>
      <c r="K55" s="6">
        <f t="shared" si="3"/>
        <v>1.472</v>
      </c>
      <c r="L55">
        <v>115</v>
      </c>
    </row>
    <row r="56" spans="1:12" x14ac:dyDescent="0.3">
      <c r="A56" t="s">
        <v>166</v>
      </c>
      <c r="B56" t="s">
        <v>161</v>
      </c>
      <c r="C56" t="s">
        <v>15</v>
      </c>
      <c r="D56" t="s">
        <v>16</v>
      </c>
      <c r="E56" t="s">
        <v>92</v>
      </c>
      <c r="F56" t="s">
        <v>96</v>
      </c>
      <c r="G56" s="1">
        <v>277.8372</v>
      </c>
      <c r="H56" s="1">
        <f t="shared" si="0"/>
        <v>313.95603599999998</v>
      </c>
      <c r="I56" s="1">
        <f t="shared" si="1"/>
        <v>444.53952000000004</v>
      </c>
      <c r="J56" s="1">
        <f t="shared" si="2"/>
        <v>408.97635840000004</v>
      </c>
      <c r="K56" s="6">
        <f t="shared" si="3"/>
        <v>1.4720000000000002</v>
      </c>
      <c r="L56">
        <v>115</v>
      </c>
    </row>
    <row r="57" spans="1:12" x14ac:dyDescent="0.3">
      <c r="A57" t="s">
        <v>29</v>
      </c>
      <c r="B57" t="s">
        <v>18</v>
      </c>
      <c r="C57" t="s">
        <v>10</v>
      </c>
      <c r="D57" t="s">
        <v>16</v>
      </c>
      <c r="E57" t="s">
        <v>19</v>
      </c>
      <c r="F57" t="s">
        <v>20</v>
      </c>
      <c r="G57" s="1">
        <v>271.67084999999997</v>
      </c>
      <c r="H57" s="1">
        <f t="shared" si="0"/>
        <v>306.98806049999996</v>
      </c>
      <c r="I57" s="1">
        <f t="shared" si="1"/>
        <v>434.67336</v>
      </c>
      <c r="J57" s="1">
        <f t="shared" si="2"/>
        <v>399.8994912</v>
      </c>
      <c r="K57" s="6">
        <f t="shared" si="3"/>
        <v>1.4720000000000002</v>
      </c>
      <c r="L57">
        <v>111</v>
      </c>
    </row>
    <row r="58" spans="1:12" x14ac:dyDescent="0.3">
      <c r="A58" t="s">
        <v>160</v>
      </c>
      <c r="B58" t="s">
        <v>161</v>
      </c>
      <c r="C58" t="s">
        <v>15</v>
      </c>
      <c r="D58" t="s">
        <v>16</v>
      </c>
      <c r="E58" t="s">
        <v>92</v>
      </c>
      <c r="F58" t="s">
        <v>96</v>
      </c>
      <c r="G58" s="1">
        <v>324.31379999999996</v>
      </c>
      <c r="H58" s="1">
        <f t="shared" si="0"/>
        <v>366.47459399999991</v>
      </c>
      <c r="I58" s="1">
        <f t="shared" si="1"/>
        <v>518.90207999999996</v>
      </c>
      <c r="J58" s="1">
        <f t="shared" si="2"/>
        <v>477.3899136</v>
      </c>
      <c r="K58" s="6">
        <f t="shared" si="3"/>
        <v>1.4720000000000002</v>
      </c>
      <c r="L58">
        <v>111</v>
      </c>
    </row>
    <row r="59" spans="1:12" x14ac:dyDescent="0.3">
      <c r="A59" t="s">
        <v>171</v>
      </c>
      <c r="B59" t="s">
        <v>168</v>
      </c>
      <c r="C59" t="s">
        <v>15</v>
      </c>
      <c r="D59" t="s">
        <v>11</v>
      </c>
      <c r="E59" t="s">
        <v>92</v>
      </c>
      <c r="F59" t="s">
        <v>136</v>
      </c>
      <c r="G59" s="1">
        <v>291.91649999999998</v>
      </c>
      <c r="H59" s="1">
        <f t="shared" si="0"/>
        <v>329.86564499999997</v>
      </c>
      <c r="I59" s="1">
        <f t="shared" si="1"/>
        <v>467.06639999999999</v>
      </c>
      <c r="J59" s="1">
        <f t="shared" si="2"/>
        <v>429.70108800000003</v>
      </c>
      <c r="K59" s="6">
        <f t="shared" si="3"/>
        <v>1.4720000000000002</v>
      </c>
      <c r="L59">
        <v>111</v>
      </c>
    </row>
    <row r="60" spans="1:12" x14ac:dyDescent="0.3">
      <c r="A60" t="s">
        <v>139</v>
      </c>
      <c r="B60" t="s">
        <v>135</v>
      </c>
      <c r="C60" t="s">
        <v>10</v>
      </c>
      <c r="D60" t="s">
        <v>11</v>
      </c>
      <c r="E60" t="s">
        <v>92</v>
      </c>
      <c r="F60" t="s">
        <v>136</v>
      </c>
      <c r="G60" s="1">
        <v>248.90115</v>
      </c>
      <c r="H60" s="1">
        <f t="shared" si="0"/>
        <v>281.25829949999996</v>
      </c>
      <c r="I60" s="1">
        <f t="shared" si="1"/>
        <v>398.24184000000002</v>
      </c>
      <c r="J60" s="1">
        <f t="shared" si="2"/>
        <v>366.38249280000002</v>
      </c>
      <c r="K60" s="6">
        <f t="shared" si="3"/>
        <v>1.472</v>
      </c>
      <c r="L60">
        <v>110</v>
      </c>
    </row>
    <row r="61" spans="1:12" x14ac:dyDescent="0.3">
      <c r="A61" t="s">
        <v>343</v>
      </c>
      <c r="B61" t="s">
        <v>340</v>
      </c>
      <c r="C61" t="s">
        <v>15</v>
      </c>
      <c r="D61" t="s">
        <v>11</v>
      </c>
      <c r="E61" t="s">
        <v>292</v>
      </c>
      <c r="F61" t="s">
        <v>293</v>
      </c>
      <c r="G61" s="1">
        <v>98.618999999999986</v>
      </c>
      <c r="H61" s="1">
        <f t="shared" si="0"/>
        <v>111.43946999999997</v>
      </c>
      <c r="I61" s="1">
        <f t="shared" si="1"/>
        <v>157.79039999999998</v>
      </c>
      <c r="J61" s="1">
        <f t="shared" si="2"/>
        <v>145.16716799999998</v>
      </c>
      <c r="K61" s="6">
        <f t="shared" si="3"/>
        <v>1.472</v>
      </c>
      <c r="L61">
        <v>110</v>
      </c>
    </row>
    <row r="62" spans="1:12" x14ac:dyDescent="0.3">
      <c r="A62" t="s">
        <v>170</v>
      </c>
      <c r="B62" t="s">
        <v>168</v>
      </c>
      <c r="C62" t="s">
        <v>15</v>
      </c>
      <c r="D62" t="s">
        <v>16</v>
      </c>
      <c r="E62" t="s">
        <v>92</v>
      </c>
      <c r="F62" t="s">
        <v>136</v>
      </c>
      <c r="G62" s="1">
        <v>244.33229999999998</v>
      </c>
      <c r="H62" s="1">
        <f t="shared" si="0"/>
        <v>276.09549899999996</v>
      </c>
      <c r="I62" s="1">
        <f t="shared" si="1"/>
        <v>390.93167999999997</v>
      </c>
      <c r="J62" s="1">
        <f t="shared" si="2"/>
        <v>359.65714559999998</v>
      </c>
      <c r="K62" s="6">
        <f t="shared" si="3"/>
        <v>1.472</v>
      </c>
      <c r="L62">
        <v>108</v>
      </c>
    </row>
    <row r="63" spans="1:12" x14ac:dyDescent="0.3">
      <c r="A63" t="s">
        <v>66</v>
      </c>
      <c r="B63" t="s">
        <v>60</v>
      </c>
      <c r="C63" t="s">
        <v>67</v>
      </c>
      <c r="D63" t="s">
        <v>65</v>
      </c>
      <c r="E63" t="s">
        <v>32</v>
      </c>
      <c r="F63" t="s">
        <v>63</v>
      </c>
      <c r="G63" s="1">
        <v>201.21045000000001</v>
      </c>
      <c r="H63" s="1">
        <f t="shared" si="0"/>
        <v>227.3678085</v>
      </c>
      <c r="I63" s="1">
        <f t="shared" si="1"/>
        <v>321.93672000000004</v>
      </c>
      <c r="J63" s="1">
        <f t="shared" si="2"/>
        <v>296.18178240000003</v>
      </c>
      <c r="K63" s="6">
        <f t="shared" si="3"/>
        <v>1.4720000000000002</v>
      </c>
      <c r="L63">
        <v>106</v>
      </c>
    </row>
    <row r="64" spans="1:12" x14ac:dyDescent="0.3">
      <c r="A64" t="s">
        <v>306</v>
      </c>
      <c r="B64" t="s">
        <v>301</v>
      </c>
      <c r="C64" t="s">
        <v>15</v>
      </c>
      <c r="D64" t="s">
        <v>11</v>
      </c>
      <c r="E64" t="s">
        <v>292</v>
      </c>
      <c r="F64" t="s">
        <v>302</v>
      </c>
      <c r="G64" s="1">
        <v>244.63049999999998</v>
      </c>
      <c r="H64" s="1">
        <f t="shared" si="0"/>
        <v>276.43246499999998</v>
      </c>
      <c r="I64" s="1">
        <f t="shared" si="1"/>
        <v>391.40879999999999</v>
      </c>
      <c r="J64" s="1">
        <f t="shared" si="2"/>
        <v>360.09609599999999</v>
      </c>
      <c r="K64" s="6">
        <f t="shared" si="3"/>
        <v>1.472</v>
      </c>
      <c r="L64">
        <v>106</v>
      </c>
    </row>
    <row r="65" spans="1:12" x14ac:dyDescent="0.3">
      <c r="A65" t="s">
        <v>132</v>
      </c>
      <c r="B65" t="s">
        <v>129</v>
      </c>
      <c r="C65" t="s">
        <v>15</v>
      </c>
      <c r="D65" t="s">
        <v>11</v>
      </c>
      <c r="E65" t="s">
        <v>92</v>
      </c>
      <c r="F65" t="s">
        <v>93</v>
      </c>
      <c r="G65" s="1">
        <v>488.65394999999995</v>
      </c>
      <c r="H65" s="1">
        <f t="shared" si="0"/>
        <v>552.1789634999999</v>
      </c>
      <c r="I65" s="1">
        <f t="shared" si="1"/>
        <v>781.84631999999999</v>
      </c>
      <c r="J65" s="1">
        <f t="shared" si="2"/>
        <v>719.29861440000002</v>
      </c>
      <c r="K65" s="6">
        <f t="shared" si="3"/>
        <v>1.4720000000000002</v>
      </c>
      <c r="L65">
        <v>105</v>
      </c>
    </row>
    <row r="66" spans="1:12" x14ac:dyDescent="0.3">
      <c r="A66" t="s">
        <v>339</v>
      </c>
      <c r="B66" t="s">
        <v>340</v>
      </c>
      <c r="C66" t="s">
        <v>15</v>
      </c>
      <c r="D66" t="s">
        <v>11</v>
      </c>
      <c r="E66" t="s">
        <v>292</v>
      </c>
      <c r="F66" t="s">
        <v>293</v>
      </c>
      <c r="G66" s="1">
        <v>132.15584999999999</v>
      </c>
      <c r="H66" s="1">
        <f t="shared" si="0"/>
        <v>149.33611049999996</v>
      </c>
      <c r="I66" s="1">
        <f t="shared" si="1"/>
        <v>211.44935999999998</v>
      </c>
      <c r="J66" s="1">
        <f t="shared" si="2"/>
        <v>194.53341119999999</v>
      </c>
      <c r="K66" s="6">
        <f t="shared" si="3"/>
        <v>1.472</v>
      </c>
      <c r="L66">
        <v>100</v>
      </c>
    </row>
    <row r="67" spans="1:12" x14ac:dyDescent="0.3">
      <c r="A67" t="s">
        <v>215</v>
      </c>
      <c r="B67" t="s">
        <v>282</v>
      </c>
      <c r="C67" t="s">
        <v>15</v>
      </c>
      <c r="D67" t="s">
        <v>16</v>
      </c>
      <c r="E67" t="s">
        <v>92</v>
      </c>
      <c r="F67" t="s">
        <v>93</v>
      </c>
      <c r="G67" s="1">
        <v>750.87824999999987</v>
      </c>
      <c r="H67" s="1">
        <f t="shared" ref="H67:H130" si="4">G67*1.13</f>
        <v>848.49242249999975</v>
      </c>
      <c r="I67" s="1">
        <f t="shared" ref="I67:I130" si="5">G67*1.6</f>
        <v>1201.4051999999999</v>
      </c>
      <c r="J67" s="1">
        <f t="shared" ref="J67:J130" si="6">I67*0.92</f>
        <v>1105.292784</v>
      </c>
      <c r="K67" s="6">
        <f t="shared" ref="K67:K130" si="7">J67/G67</f>
        <v>1.4720000000000002</v>
      </c>
      <c r="L67">
        <v>98</v>
      </c>
    </row>
    <row r="68" spans="1:12" x14ac:dyDescent="0.3">
      <c r="A68" t="s">
        <v>87</v>
      </c>
      <c r="B68" t="s">
        <v>80</v>
      </c>
      <c r="C68" t="s">
        <v>10</v>
      </c>
      <c r="D68" t="s">
        <v>11</v>
      </c>
      <c r="E68" t="s">
        <v>32</v>
      </c>
      <c r="F68" t="s">
        <v>81</v>
      </c>
      <c r="G68" s="1">
        <v>272.87430000000001</v>
      </c>
      <c r="H68" s="1">
        <f t="shared" si="4"/>
        <v>308.347959</v>
      </c>
      <c r="I68" s="1">
        <f t="shared" si="5"/>
        <v>436.59888000000001</v>
      </c>
      <c r="J68" s="1">
        <f t="shared" si="6"/>
        <v>401.67096960000003</v>
      </c>
      <c r="K68" s="6">
        <f t="shared" si="7"/>
        <v>1.4720000000000002</v>
      </c>
      <c r="L68">
        <v>97</v>
      </c>
    </row>
    <row r="69" spans="1:12" x14ac:dyDescent="0.3">
      <c r="A69" t="s">
        <v>101</v>
      </c>
      <c r="B69" t="s">
        <v>95</v>
      </c>
      <c r="C69" t="s">
        <v>67</v>
      </c>
      <c r="D69" t="s">
        <v>11</v>
      </c>
      <c r="E69" t="s">
        <v>92</v>
      </c>
      <c r="F69" t="s">
        <v>96</v>
      </c>
      <c r="G69" s="1">
        <v>181.15649999999999</v>
      </c>
      <c r="H69" s="1">
        <f t="shared" si="4"/>
        <v>204.70684499999999</v>
      </c>
      <c r="I69" s="1">
        <f t="shared" si="5"/>
        <v>289.85039999999998</v>
      </c>
      <c r="J69" s="1">
        <f t="shared" si="6"/>
        <v>266.66236800000001</v>
      </c>
      <c r="K69" s="6">
        <f t="shared" si="7"/>
        <v>1.4720000000000002</v>
      </c>
      <c r="L69">
        <v>96</v>
      </c>
    </row>
    <row r="70" spans="1:12" x14ac:dyDescent="0.3">
      <c r="A70" t="s">
        <v>347</v>
      </c>
      <c r="B70" t="s">
        <v>345</v>
      </c>
      <c r="C70" t="s">
        <v>74</v>
      </c>
      <c r="D70" t="s">
        <v>11</v>
      </c>
      <c r="E70" t="s">
        <v>292</v>
      </c>
      <c r="F70" t="s">
        <v>302</v>
      </c>
      <c r="G70" s="1">
        <v>495.45929999999998</v>
      </c>
      <c r="H70" s="1">
        <f t="shared" si="4"/>
        <v>559.86900899999989</v>
      </c>
      <c r="I70" s="1">
        <f t="shared" si="5"/>
        <v>792.73487999999998</v>
      </c>
      <c r="J70" s="1">
        <f t="shared" si="6"/>
        <v>729.31608960000005</v>
      </c>
      <c r="K70" s="6">
        <f t="shared" si="7"/>
        <v>1.4720000000000002</v>
      </c>
      <c r="L70">
        <v>94</v>
      </c>
    </row>
    <row r="71" spans="1:12" x14ac:dyDescent="0.3">
      <c r="A71" t="s">
        <v>196</v>
      </c>
      <c r="B71" t="s">
        <v>193</v>
      </c>
      <c r="C71" t="s">
        <v>69</v>
      </c>
      <c r="D71" t="s">
        <v>16</v>
      </c>
      <c r="E71" t="s">
        <v>92</v>
      </c>
      <c r="F71" t="s">
        <v>96</v>
      </c>
      <c r="G71" s="1">
        <v>315.20805000000001</v>
      </c>
      <c r="H71" s="1">
        <f t="shared" si="4"/>
        <v>356.18509649999999</v>
      </c>
      <c r="I71" s="1">
        <f t="shared" si="5"/>
        <v>504.33288000000005</v>
      </c>
      <c r="J71" s="1">
        <f t="shared" si="6"/>
        <v>463.98624960000006</v>
      </c>
      <c r="K71" s="6">
        <f t="shared" si="7"/>
        <v>1.4720000000000002</v>
      </c>
      <c r="L71">
        <v>93</v>
      </c>
    </row>
    <row r="72" spans="1:12" x14ac:dyDescent="0.3">
      <c r="A72" t="s">
        <v>194</v>
      </c>
      <c r="B72" t="s">
        <v>193</v>
      </c>
      <c r="C72" t="s">
        <v>15</v>
      </c>
      <c r="D72" t="s">
        <v>16</v>
      </c>
      <c r="E72" t="s">
        <v>92</v>
      </c>
      <c r="F72" t="s">
        <v>96</v>
      </c>
      <c r="G72" s="1">
        <v>357.78674999999998</v>
      </c>
      <c r="H72" s="1">
        <f t="shared" si="4"/>
        <v>404.29902749999997</v>
      </c>
      <c r="I72" s="1">
        <f t="shared" si="5"/>
        <v>572.4588</v>
      </c>
      <c r="J72" s="1">
        <f t="shared" si="6"/>
        <v>526.66209600000002</v>
      </c>
      <c r="K72" s="6">
        <f t="shared" si="7"/>
        <v>1.4720000000000002</v>
      </c>
      <c r="L72">
        <v>90</v>
      </c>
    </row>
    <row r="73" spans="1:12" x14ac:dyDescent="0.3">
      <c r="A73" t="s">
        <v>397</v>
      </c>
      <c r="B73" t="s">
        <v>394</v>
      </c>
      <c r="C73" t="s">
        <v>50</v>
      </c>
      <c r="D73" t="s">
        <v>16</v>
      </c>
      <c r="E73" t="s">
        <v>378</v>
      </c>
      <c r="F73" t="s">
        <v>382</v>
      </c>
      <c r="G73" s="1">
        <v>149.85615000000001</v>
      </c>
      <c r="H73" s="1">
        <f t="shared" si="4"/>
        <v>169.33744949999999</v>
      </c>
      <c r="I73" s="1">
        <f t="shared" si="5"/>
        <v>239.76984000000004</v>
      </c>
      <c r="J73" s="1">
        <f t="shared" si="6"/>
        <v>220.58825280000005</v>
      </c>
      <c r="K73" s="6">
        <f t="shared" si="7"/>
        <v>1.4720000000000002</v>
      </c>
      <c r="L73">
        <v>89</v>
      </c>
    </row>
    <row r="74" spans="1:12" x14ac:dyDescent="0.3">
      <c r="A74" t="s">
        <v>172</v>
      </c>
      <c r="B74" t="s">
        <v>168</v>
      </c>
      <c r="C74" t="s">
        <v>10</v>
      </c>
      <c r="D74" t="s">
        <v>11</v>
      </c>
      <c r="E74" t="s">
        <v>92</v>
      </c>
      <c r="F74" t="s">
        <v>136</v>
      </c>
      <c r="G74" s="1">
        <v>272.87430000000001</v>
      </c>
      <c r="H74" s="1">
        <f t="shared" si="4"/>
        <v>308.347959</v>
      </c>
      <c r="I74" s="1">
        <f t="shared" si="5"/>
        <v>436.59888000000001</v>
      </c>
      <c r="J74" s="1">
        <f t="shared" si="6"/>
        <v>401.67096960000003</v>
      </c>
      <c r="K74" s="6">
        <f t="shared" si="7"/>
        <v>1.4720000000000002</v>
      </c>
      <c r="L74">
        <v>88</v>
      </c>
    </row>
    <row r="75" spans="1:12" x14ac:dyDescent="0.3">
      <c r="A75" t="s">
        <v>380</v>
      </c>
      <c r="B75" t="s">
        <v>381</v>
      </c>
      <c r="C75" t="s">
        <v>108</v>
      </c>
      <c r="D75" t="s">
        <v>11</v>
      </c>
      <c r="E75" t="s">
        <v>378</v>
      </c>
      <c r="F75" t="s">
        <v>382</v>
      </c>
      <c r="G75" s="1">
        <v>306.5283</v>
      </c>
      <c r="H75" s="1">
        <f t="shared" si="4"/>
        <v>346.37697899999995</v>
      </c>
      <c r="I75" s="1">
        <f t="shared" si="5"/>
        <v>490.44528000000003</v>
      </c>
      <c r="J75" s="1">
        <f t="shared" si="6"/>
        <v>451.20965760000007</v>
      </c>
      <c r="K75" s="6">
        <f t="shared" si="7"/>
        <v>1.4720000000000002</v>
      </c>
      <c r="L75">
        <v>88</v>
      </c>
    </row>
    <row r="76" spans="1:12" x14ac:dyDescent="0.3">
      <c r="A76" t="s">
        <v>389</v>
      </c>
      <c r="B76" t="s">
        <v>381</v>
      </c>
      <c r="C76" t="s">
        <v>108</v>
      </c>
      <c r="D76" t="s">
        <v>163</v>
      </c>
      <c r="E76" t="s">
        <v>378</v>
      </c>
      <c r="F76" t="s">
        <v>382</v>
      </c>
      <c r="G76" s="1">
        <v>345.68834999999996</v>
      </c>
      <c r="H76" s="1">
        <f t="shared" si="4"/>
        <v>390.62783549999989</v>
      </c>
      <c r="I76" s="1">
        <f t="shared" si="5"/>
        <v>553.10136</v>
      </c>
      <c r="J76" s="1">
        <f t="shared" si="6"/>
        <v>508.85325120000005</v>
      </c>
      <c r="K76" s="6">
        <f t="shared" si="7"/>
        <v>1.4720000000000004</v>
      </c>
      <c r="L76">
        <v>88</v>
      </c>
    </row>
    <row r="77" spans="1:12" x14ac:dyDescent="0.3">
      <c r="A77" t="s">
        <v>367</v>
      </c>
      <c r="B77" t="s">
        <v>364</v>
      </c>
      <c r="C77" t="s">
        <v>67</v>
      </c>
      <c r="D77" t="s">
        <v>11</v>
      </c>
      <c r="E77" t="s">
        <v>292</v>
      </c>
      <c r="F77" t="s">
        <v>302</v>
      </c>
      <c r="G77" s="1">
        <v>231.96764999999999</v>
      </c>
      <c r="H77" s="1">
        <f t="shared" si="4"/>
        <v>262.12344449999995</v>
      </c>
      <c r="I77" s="1">
        <f t="shared" si="5"/>
        <v>371.14823999999999</v>
      </c>
      <c r="J77" s="1">
        <f t="shared" si="6"/>
        <v>341.45638079999998</v>
      </c>
      <c r="K77" s="6">
        <f t="shared" si="7"/>
        <v>1.472</v>
      </c>
      <c r="L77">
        <v>87</v>
      </c>
    </row>
    <row r="78" spans="1:12" x14ac:dyDescent="0.3">
      <c r="A78" t="s">
        <v>388</v>
      </c>
      <c r="B78" t="s">
        <v>381</v>
      </c>
      <c r="C78" t="s">
        <v>108</v>
      </c>
      <c r="D78" t="s">
        <v>163</v>
      </c>
      <c r="E78" t="s">
        <v>378</v>
      </c>
      <c r="F78" t="s">
        <v>382</v>
      </c>
      <c r="G78" s="1">
        <v>345.68834999999996</v>
      </c>
      <c r="H78" s="1">
        <f t="shared" si="4"/>
        <v>390.62783549999989</v>
      </c>
      <c r="I78" s="1">
        <f t="shared" si="5"/>
        <v>553.10136</v>
      </c>
      <c r="J78" s="1">
        <f t="shared" si="6"/>
        <v>508.85325120000005</v>
      </c>
      <c r="K78" s="6">
        <f t="shared" si="7"/>
        <v>1.4720000000000004</v>
      </c>
      <c r="L78">
        <v>87</v>
      </c>
    </row>
    <row r="79" spans="1:12" x14ac:dyDescent="0.3">
      <c r="A79" t="s">
        <v>384</v>
      </c>
      <c r="B79" t="s">
        <v>381</v>
      </c>
      <c r="C79" t="s">
        <v>15</v>
      </c>
      <c r="D79" t="s">
        <v>16</v>
      </c>
      <c r="E79" t="s">
        <v>378</v>
      </c>
      <c r="F79" t="s">
        <v>382</v>
      </c>
      <c r="G79" s="1">
        <v>247.78289999999998</v>
      </c>
      <c r="H79" s="1">
        <f t="shared" si="4"/>
        <v>279.99467699999997</v>
      </c>
      <c r="I79" s="1">
        <f t="shared" si="5"/>
        <v>396.45263999999997</v>
      </c>
      <c r="J79" s="1">
        <f t="shared" si="6"/>
        <v>364.7364288</v>
      </c>
      <c r="K79" s="6">
        <f t="shared" si="7"/>
        <v>1.4720000000000002</v>
      </c>
      <c r="L79">
        <v>85</v>
      </c>
    </row>
    <row r="80" spans="1:12" x14ac:dyDescent="0.3">
      <c r="A80" t="s">
        <v>386</v>
      </c>
      <c r="B80" t="s">
        <v>381</v>
      </c>
      <c r="C80" t="s">
        <v>10</v>
      </c>
      <c r="D80" t="s">
        <v>16</v>
      </c>
      <c r="E80" t="s">
        <v>378</v>
      </c>
      <c r="F80" t="s">
        <v>382</v>
      </c>
      <c r="G80" s="1">
        <v>247.78289999999998</v>
      </c>
      <c r="H80" s="1">
        <f t="shared" si="4"/>
        <v>279.99467699999997</v>
      </c>
      <c r="I80" s="1">
        <f t="shared" si="5"/>
        <v>396.45263999999997</v>
      </c>
      <c r="J80" s="1">
        <f t="shared" si="6"/>
        <v>364.7364288</v>
      </c>
      <c r="K80" s="6">
        <f t="shared" si="7"/>
        <v>1.4720000000000002</v>
      </c>
      <c r="L80">
        <v>85</v>
      </c>
    </row>
    <row r="81" spans="1:12" x14ac:dyDescent="0.3">
      <c r="A81" t="s">
        <v>173</v>
      </c>
      <c r="B81" t="s">
        <v>174</v>
      </c>
      <c r="C81" t="s">
        <v>10</v>
      </c>
      <c r="D81" t="s">
        <v>16</v>
      </c>
      <c r="E81" t="s">
        <v>92</v>
      </c>
      <c r="F81" t="s">
        <v>93</v>
      </c>
      <c r="G81" s="1">
        <v>283.52430000000004</v>
      </c>
      <c r="H81" s="1">
        <f t="shared" si="4"/>
        <v>320.38245900000004</v>
      </c>
      <c r="I81" s="1">
        <f t="shared" si="5"/>
        <v>453.63888000000009</v>
      </c>
      <c r="J81" s="1">
        <f t="shared" si="6"/>
        <v>417.34776960000011</v>
      </c>
      <c r="K81" s="6">
        <f t="shared" si="7"/>
        <v>1.4720000000000002</v>
      </c>
      <c r="L81">
        <v>84</v>
      </c>
    </row>
    <row r="82" spans="1:12" x14ac:dyDescent="0.3">
      <c r="A82" t="s">
        <v>202</v>
      </c>
      <c r="B82" t="s">
        <v>199</v>
      </c>
      <c r="C82" t="s">
        <v>15</v>
      </c>
      <c r="D82" t="s">
        <v>16</v>
      </c>
      <c r="E82" t="s">
        <v>92</v>
      </c>
      <c r="F82" t="s">
        <v>96</v>
      </c>
      <c r="G82" s="1">
        <v>348.48930000000001</v>
      </c>
      <c r="H82" s="1">
        <f t="shared" si="4"/>
        <v>393.79290899999995</v>
      </c>
      <c r="I82" s="1">
        <f t="shared" si="5"/>
        <v>557.58288000000005</v>
      </c>
      <c r="J82" s="1">
        <f t="shared" si="6"/>
        <v>512.97624960000007</v>
      </c>
      <c r="K82" s="6">
        <f t="shared" si="7"/>
        <v>1.4720000000000002</v>
      </c>
      <c r="L82">
        <v>84</v>
      </c>
    </row>
    <row r="83" spans="1:12" x14ac:dyDescent="0.3">
      <c r="A83" t="s">
        <v>90</v>
      </c>
      <c r="B83" t="s">
        <v>252</v>
      </c>
      <c r="C83" t="s">
        <v>15</v>
      </c>
      <c r="D83" t="s">
        <v>16</v>
      </c>
      <c r="E83" t="s">
        <v>92</v>
      </c>
      <c r="F83" t="s">
        <v>93</v>
      </c>
      <c r="G83" s="1">
        <v>304.90949999999998</v>
      </c>
      <c r="H83" s="1">
        <f t="shared" si="4"/>
        <v>344.54773499999993</v>
      </c>
      <c r="I83" s="1">
        <f t="shared" si="5"/>
        <v>487.85519999999997</v>
      </c>
      <c r="J83" s="1">
        <f t="shared" si="6"/>
        <v>448.82678399999998</v>
      </c>
      <c r="K83" s="6">
        <f t="shared" si="7"/>
        <v>1.472</v>
      </c>
      <c r="L83">
        <v>84</v>
      </c>
    </row>
    <row r="84" spans="1:12" x14ac:dyDescent="0.3">
      <c r="A84" t="s">
        <v>387</v>
      </c>
      <c r="B84" t="s">
        <v>381</v>
      </c>
      <c r="C84" t="s">
        <v>35</v>
      </c>
      <c r="D84" t="s">
        <v>16</v>
      </c>
      <c r="E84" t="s">
        <v>378</v>
      </c>
      <c r="F84" t="s">
        <v>382</v>
      </c>
      <c r="G84" s="1">
        <v>247.78289999999998</v>
      </c>
      <c r="H84" s="1">
        <f t="shared" si="4"/>
        <v>279.99467699999997</v>
      </c>
      <c r="I84" s="1">
        <f t="shared" si="5"/>
        <v>396.45263999999997</v>
      </c>
      <c r="J84" s="1">
        <f t="shared" si="6"/>
        <v>364.7364288</v>
      </c>
      <c r="K84" s="6">
        <f t="shared" si="7"/>
        <v>1.4720000000000002</v>
      </c>
      <c r="L84">
        <v>84</v>
      </c>
    </row>
    <row r="85" spans="1:12" x14ac:dyDescent="0.3">
      <c r="A85" t="s">
        <v>97</v>
      </c>
      <c r="B85" t="s">
        <v>95</v>
      </c>
      <c r="C85" t="s">
        <v>10</v>
      </c>
      <c r="D85" t="s">
        <v>11</v>
      </c>
      <c r="E85" t="s">
        <v>92</v>
      </c>
      <c r="F85" t="s">
        <v>96</v>
      </c>
      <c r="G85" s="1">
        <v>246.22799999999998</v>
      </c>
      <c r="H85" s="1">
        <f t="shared" si="4"/>
        <v>278.23763999999994</v>
      </c>
      <c r="I85" s="1">
        <f t="shared" si="5"/>
        <v>393.96479999999997</v>
      </c>
      <c r="J85" s="1">
        <f t="shared" si="6"/>
        <v>362.44761599999998</v>
      </c>
      <c r="K85" s="6">
        <f t="shared" si="7"/>
        <v>1.472</v>
      </c>
      <c r="L85">
        <v>83</v>
      </c>
    </row>
    <row r="86" spans="1:12" x14ac:dyDescent="0.3">
      <c r="A86" t="s">
        <v>187</v>
      </c>
      <c r="B86" t="s">
        <v>183</v>
      </c>
      <c r="C86" t="s">
        <v>15</v>
      </c>
      <c r="D86" t="s">
        <v>11</v>
      </c>
      <c r="E86" t="s">
        <v>92</v>
      </c>
      <c r="F86" t="s">
        <v>184</v>
      </c>
      <c r="G86" s="1">
        <v>253.84275</v>
      </c>
      <c r="H86" s="1">
        <f t="shared" si="4"/>
        <v>286.84230749999995</v>
      </c>
      <c r="I86" s="1">
        <f t="shared" si="5"/>
        <v>406.14840000000004</v>
      </c>
      <c r="J86" s="1">
        <f t="shared" si="6"/>
        <v>373.65652800000004</v>
      </c>
      <c r="K86" s="6">
        <f t="shared" si="7"/>
        <v>1.4720000000000002</v>
      </c>
      <c r="L86">
        <v>83</v>
      </c>
    </row>
    <row r="87" spans="1:12" x14ac:dyDescent="0.3">
      <c r="A87" t="s">
        <v>226</v>
      </c>
      <c r="B87" t="s">
        <v>227</v>
      </c>
      <c r="C87" t="s">
        <v>15</v>
      </c>
      <c r="D87" t="s">
        <v>16</v>
      </c>
      <c r="E87" t="s">
        <v>92</v>
      </c>
      <c r="F87" t="s">
        <v>93</v>
      </c>
      <c r="G87" s="1">
        <v>291.91649999999998</v>
      </c>
      <c r="H87" s="1">
        <f t="shared" si="4"/>
        <v>329.86564499999997</v>
      </c>
      <c r="I87" s="1">
        <f t="shared" si="5"/>
        <v>467.06639999999999</v>
      </c>
      <c r="J87" s="1">
        <f t="shared" si="6"/>
        <v>429.70108800000003</v>
      </c>
      <c r="K87" s="6">
        <f t="shared" si="7"/>
        <v>1.4720000000000002</v>
      </c>
      <c r="L87">
        <v>80</v>
      </c>
    </row>
    <row r="88" spans="1:12" x14ac:dyDescent="0.3">
      <c r="A88" t="s">
        <v>164</v>
      </c>
      <c r="B88" t="s">
        <v>161</v>
      </c>
      <c r="C88" t="s">
        <v>50</v>
      </c>
      <c r="D88" t="s">
        <v>16</v>
      </c>
      <c r="E88" t="s">
        <v>92</v>
      </c>
      <c r="F88" t="s">
        <v>96</v>
      </c>
      <c r="G88" s="1">
        <v>147.6942</v>
      </c>
      <c r="H88" s="1">
        <f t="shared" si="4"/>
        <v>166.89444599999999</v>
      </c>
      <c r="I88" s="1">
        <f t="shared" si="5"/>
        <v>236.31072</v>
      </c>
      <c r="J88" s="1">
        <f t="shared" si="6"/>
        <v>217.40586240000002</v>
      </c>
      <c r="K88" s="6">
        <f t="shared" si="7"/>
        <v>1.4720000000000002</v>
      </c>
      <c r="L88">
        <v>79</v>
      </c>
    </row>
    <row r="89" spans="1:12" x14ac:dyDescent="0.3">
      <c r="A89" t="s">
        <v>264</v>
      </c>
      <c r="B89" t="s">
        <v>260</v>
      </c>
      <c r="C89" t="s">
        <v>10</v>
      </c>
      <c r="D89" t="s">
        <v>11</v>
      </c>
      <c r="E89" t="s">
        <v>92</v>
      </c>
      <c r="F89" t="s">
        <v>184</v>
      </c>
      <c r="G89" s="1">
        <v>283.4391</v>
      </c>
      <c r="H89" s="1">
        <f t="shared" si="4"/>
        <v>320.28618299999994</v>
      </c>
      <c r="I89" s="1">
        <f t="shared" si="5"/>
        <v>453.50256000000002</v>
      </c>
      <c r="J89" s="1">
        <f t="shared" si="6"/>
        <v>417.22235520000004</v>
      </c>
      <c r="K89" s="6">
        <f t="shared" si="7"/>
        <v>1.4720000000000002</v>
      </c>
      <c r="L89">
        <v>79</v>
      </c>
    </row>
    <row r="90" spans="1:12" x14ac:dyDescent="0.3">
      <c r="A90" t="s">
        <v>200</v>
      </c>
      <c r="B90" t="s">
        <v>199</v>
      </c>
      <c r="C90" t="s">
        <v>15</v>
      </c>
      <c r="D90" t="s">
        <v>16</v>
      </c>
      <c r="E90" t="s">
        <v>92</v>
      </c>
      <c r="F90" t="s">
        <v>96</v>
      </c>
      <c r="G90" s="1">
        <v>348.48930000000001</v>
      </c>
      <c r="H90" s="1">
        <f t="shared" si="4"/>
        <v>393.79290899999995</v>
      </c>
      <c r="I90" s="1">
        <f t="shared" si="5"/>
        <v>557.58288000000005</v>
      </c>
      <c r="J90" s="1">
        <f t="shared" si="6"/>
        <v>512.97624960000007</v>
      </c>
      <c r="K90" s="6">
        <f t="shared" si="7"/>
        <v>1.4720000000000002</v>
      </c>
      <c r="L90">
        <v>78</v>
      </c>
    </row>
    <row r="91" spans="1:12" x14ac:dyDescent="0.3">
      <c r="A91" t="s">
        <v>248</v>
      </c>
      <c r="B91" t="s">
        <v>247</v>
      </c>
      <c r="C91" t="s">
        <v>15</v>
      </c>
      <c r="D91" t="s">
        <v>16</v>
      </c>
      <c r="E91" t="s">
        <v>92</v>
      </c>
      <c r="F91" t="s">
        <v>93</v>
      </c>
      <c r="G91" s="1">
        <v>528.70859999999993</v>
      </c>
      <c r="H91" s="1">
        <f t="shared" si="4"/>
        <v>597.44071799999983</v>
      </c>
      <c r="I91" s="1">
        <f t="shared" si="5"/>
        <v>845.93375999999989</v>
      </c>
      <c r="J91" s="1">
        <f t="shared" si="6"/>
        <v>778.25905919999991</v>
      </c>
      <c r="K91" s="6">
        <f t="shared" si="7"/>
        <v>1.472</v>
      </c>
      <c r="L91">
        <v>78</v>
      </c>
    </row>
    <row r="92" spans="1:12" x14ac:dyDescent="0.3">
      <c r="A92" t="s">
        <v>55</v>
      </c>
      <c r="B92" t="s">
        <v>39</v>
      </c>
      <c r="C92" t="s">
        <v>50</v>
      </c>
      <c r="D92" t="s">
        <v>16</v>
      </c>
      <c r="E92" t="s">
        <v>32</v>
      </c>
      <c r="F92" t="s">
        <v>41</v>
      </c>
      <c r="G92" s="1">
        <v>266.03699999999998</v>
      </c>
      <c r="H92" s="1">
        <f t="shared" si="4"/>
        <v>300.62180999999993</v>
      </c>
      <c r="I92" s="1">
        <f t="shared" si="5"/>
        <v>425.6592</v>
      </c>
      <c r="J92" s="1">
        <f t="shared" si="6"/>
        <v>391.60646400000002</v>
      </c>
      <c r="K92" s="6">
        <f t="shared" si="7"/>
        <v>1.4720000000000002</v>
      </c>
      <c r="L92">
        <v>77</v>
      </c>
    </row>
    <row r="93" spans="1:12" x14ac:dyDescent="0.3">
      <c r="A93" t="s">
        <v>399</v>
      </c>
      <c r="B93" t="s">
        <v>400</v>
      </c>
      <c r="C93" t="s">
        <v>15</v>
      </c>
      <c r="D93" t="s">
        <v>16</v>
      </c>
      <c r="E93" t="s">
        <v>378</v>
      </c>
      <c r="F93" t="s">
        <v>401</v>
      </c>
      <c r="G93" s="1">
        <v>172.1892</v>
      </c>
      <c r="H93" s="1">
        <f t="shared" si="4"/>
        <v>194.57379599999999</v>
      </c>
      <c r="I93" s="1">
        <f t="shared" si="5"/>
        <v>275.50272000000001</v>
      </c>
      <c r="J93" s="1">
        <f t="shared" si="6"/>
        <v>253.46250240000003</v>
      </c>
      <c r="K93" s="6">
        <f t="shared" si="7"/>
        <v>1.4720000000000002</v>
      </c>
      <c r="L93">
        <v>77</v>
      </c>
    </row>
    <row r="94" spans="1:12" x14ac:dyDescent="0.3">
      <c r="A94" t="s">
        <v>169</v>
      </c>
      <c r="B94" t="s">
        <v>168</v>
      </c>
      <c r="C94" t="s">
        <v>10</v>
      </c>
      <c r="D94" t="s">
        <v>11</v>
      </c>
      <c r="E94" t="s">
        <v>92</v>
      </c>
      <c r="F94" t="s">
        <v>136</v>
      </c>
      <c r="G94" s="1">
        <v>253.84275</v>
      </c>
      <c r="H94" s="1">
        <f t="shared" si="4"/>
        <v>286.84230749999995</v>
      </c>
      <c r="I94" s="1">
        <f t="shared" si="5"/>
        <v>406.14840000000004</v>
      </c>
      <c r="J94" s="1">
        <f t="shared" si="6"/>
        <v>373.65652800000004</v>
      </c>
      <c r="K94" s="6">
        <f t="shared" si="7"/>
        <v>1.4720000000000002</v>
      </c>
      <c r="L94">
        <v>76</v>
      </c>
    </row>
    <row r="95" spans="1:12" x14ac:dyDescent="0.3">
      <c r="A95" t="s">
        <v>391</v>
      </c>
      <c r="B95" t="s">
        <v>381</v>
      </c>
      <c r="C95" t="s">
        <v>10</v>
      </c>
      <c r="D95" t="s">
        <v>11</v>
      </c>
      <c r="E95" t="s">
        <v>378</v>
      </c>
      <c r="F95" t="s">
        <v>382</v>
      </c>
      <c r="G95" s="1">
        <v>169.44149999999999</v>
      </c>
      <c r="H95" s="1">
        <f t="shared" si="4"/>
        <v>191.46889499999997</v>
      </c>
      <c r="I95" s="1">
        <f t="shared" si="5"/>
        <v>271.10640000000001</v>
      </c>
      <c r="J95" s="1">
        <f t="shared" si="6"/>
        <v>249.417888</v>
      </c>
      <c r="K95" s="6">
        <f t="shared" si="7"/>
        <v>1.4720000000000002</v>
      </c>
      <c r="L95">
        <v>76</v>
      </c>
    </row>
    <row r="96" spans="1:12" x14ac:dyDescent="0.3">
      <c r="A96" t="s">
        <v>110</v>
      </c>
      <c r="B96" t="s">
        <v>107</v>
      </c>
      <c r="C96" t="s">
        <v>108</v>
      </c>
      <c r="D96" t="s">
        <v>109</v>
      </c>
      <c r="E96" t="s">
        <v>92</v>
      </c>
      <c r="F96" t="s">
        <v>109</v>
      </c>
      <c r="G96" s="1">
        <v>345.45405</v>
      </c>
      <c r="H96" s="1">
        <f t="shared" si="4"/>
        <v>390.36307649999998</v>
      </c>
      <c r="I96" s="1">
        <f t="shared" si="5"/>
        <v>552.72648000000004</v>
      </c>
      <c r="J96" s="1">
        <f t="shared" si="6"/>
        <v>508.50836160000006</v>
      </c>
      <c r="K96" s="6">
        <f t="shared" si="7"/>
        <v>1.4720000000000002</v>
      </c>
      <c r="L96">
        <v>73</v>
      </c>
    </row>
    <row r="97" spans="1:12" x14ac:dyDescent="0.3">
      <c r="A97" t="s">
        <v>123</v>
      </c>
      <c r="B97" t="s">
        <v>121</v>
      </c>
      <c r="C97" t="s">
        <v>10</v>
      </c>
      <c r="D97" t="s">
        <v>11</v>
      </c>
      <c r="E97" t="s">
        <v>92</v>
      </c>
      <c r="F97" t="s">
        <v>122</v>
      </c>
      <c r="G97" s="1">
        <v>129.37620000000001</v>
      </c>
      <c r="H97" s="1">
        <f t="shared" si="4"/>
        <v>146.19510600000001</v>
      </c>
      <c r="I97" s="1">
        <f t="shared" si="5"/>
        <v>207.00192000000004</v>
      </c>
      <c r="J97" s="1">
        <f t="shared" si="6"/>
        <v>190.44176640000003</v>
      </c>
      <c r="K97" s="6">
        <f t="shared" si="7"/>
        <v>1.4720000000000002</v>
      </c>
      <c r="L97">
        <v>73</v>
      </c>
    </row>
    <row r="98" spans="1:12" x14ac:dyDescent="0.3">
      <c r="A98" t="s">
        <v>229</v>
      </c>
      <c r="B98" t="s">
        <v>227</v>
      </c>
      <c r="C98" t="s">
        <v>15</v>
      </c>
      <c r="D98" t="s">
        <v>11</v>
      </c>
      <c r="E98" t="s">
        <v>92</v>
      </c>
      <c r="F98" t="s">
        <v>93</v>
      </c>
      <c r="G98" s="1">
        <v>368.05334999999997</v>
      </c>
      <c r="H98" s="1">
        <f t="shared" si="4"/>
        <v>415.90028549999994</v>
      </c>
      <c r="I98" s="1">
        <f t="shared" si="5"/>
        <v>588.88535999999999</v>
      </c>
      <c r="J98" s="1">
        <f t="shared" si="6"/>
        <v>541.77453120000007</v>
      </c>
      <c r="K98" s="6">
        <f t="shared" si="7"/>
        <v>1.4720000000000004</v>
      </c>
      <c r="L98">
        <v>72</v>
      </c>
    </row>
    <row r="99" spans="1:12" x14ac:dyDescent="0.3">
      <c r="A99" t="s">
        <v>250</v>
      </c>
      <c r="B99" t="s">
        <v>247</v>
      </c>
      <c r="C99" t="s">
        <v>15</v>
      </c>
      <c r="D99" t="s">
        <v>16</v>
      </c>
      <c r="E99" t="s">
        <v>92</v>
      </c>
      <c r="F99" t="s">
        <v>93</v>
      </c>
      <c r="G99" s="1">
        <v>377.57444999999996</v>
      </c>
      <c r="H99" s="1">
        <f t="shared" si="4"/>
        <v>426.65912849999989</v>
      </c>
      <c r="I99" s="1">
        <f t="shared" si="5"/>
        <v>604.11911999999995</v>
      </c>
      <c r="J99" s="1">
        <f t="shared" si="6"/>
        <v>555.78959039999995</v>
      </c>
      <c r="K99" s="6">
        <f t="shared" si="7"/>
        <v>1.472</v>
      </c>
      <c r="L99">
        <v>72</v>
      </c>
    </row>
    <row r="100" spans="1:12" x14ac:dyDescent="0.3">
      <c r="A100" t="s">
        <v>325</v>
      </c>
      <c r="B100" t="s">
        <v>326</v>
      </c>
      <c r="C100" t="s">
        <v>10</v>
      </c>
      <c r="D100" t="s">
        <v>11</v>
      </c>
      <c r="E100" t="s">
        <v>292</v>
      </c>
      <c r="F100" t="s">
        <v>293</v>
      </c>
      <c r="G100" s="1">
        <v>142.47569999999999</v>
      </c>
      <c r="H100" s="1">
        <f t="shared" si="4"/>
        <v>160.99754099999998</v>
      </c>
      <c r="I100" s="1">
        <f t="shared" si="5"/>
        <v>227.96111999999999</v>
      </c>
      <c r="J100" s="1">
        <f t="shared" si="6"/>
        <v>209.72423040000001</v>
      </c>
      <c r="K100" s="6">
        <f t="shared" si="7"/>
        <v>1.4720000000000002</v>
      </c>
      <c r="L100">
        <v>72</v>
      </c>
    </row>
    <row r="101" spans="1:12" x14ac:dyDescent="0.3">
      <c r="A101" t="s">
        <v>64</v>
      </c>
      <c r="B101" t="s">
        <v>60</v>
      </c>
      <c r="C101" t="s">
        <v>35</v>
      </c>
      <c r="D101" t="s">
        <v>65</v>
      </c>
      <c r="E101" t="s">
        <v>32</v>
      </c>
      <c r="F101" t="s">
        <v>63</v>
      </c>
      <c r="G101" s="1">
        <v>264.24779999999998</v>
      </c>
      <c r="H101" s="1">
        <f t="shared" si="4"/>
        <v>298.60001399999993</v>
      </c>
      <c r="I101" s="1">
        <f t="shared" si="5"/>
        <v>422.79647999999997</v>
      </c>
      <c r="J101" s="1">
        <f t="shared" si="6"/>
        <v>388.97276160000001</v>
      </c>
      <c r="K101" s="6">
        <f t="shared" si="7"/>
        <v>1.4720000000000002</v>
      </c>
      <c r="L101">
        <v>71</v>
      </c>
    </row>
    <row r="102" spans="1:12" x14ac:dyDescent="0.3">
      <c r="A102" t="s">
        <v>188</v>
      </c>
      <c r="B102" t="s">
        <v>183</v>
      </c>
      <c r="C102" t="s">
        <v>10</v>
      </c>
      <c r="D102" t="s">
        <v>16</v>
      </c>
      <c r="E102" t="s">
        <v>92</v>
      </c>
      <c r="F102" t="s">
        <v>184</v>
      </c>
      <c r="G102" s="1">
        <v>339.50069999999994</v>
      </c>
      <c r="H102" s="1">
        <f t="shared" si="4"/>
        <v>383.63579099999987</v>
      </c>
      <c r="I102" s="1">
        <f t="shared" si="5"/>
        <v>543.20111999999995</v>
      </c>
      <c r="J102" s="1">
        <f t="shared" si="6"/>
        <v>499.74503039999996</v>
      </c>
      <c r="K102" s="6">
        <f t="shared" si="7"/>
        <v>1.4720000000000002</v>
      </c>
      <c r="L102">
        <v>69</v>
      </c>
    </row>
    <row r="103" spans="1:12" x14ac:dyDescent="0.3">
      <c r="A103" t="s">
        <v>346</v>
      </c>
      <c r="B103" t="s">
        <v>345</v>
      </c>
      <c r="C103" t="s">
        <v>69</v>
      </c>
      <c r="D103" t="s">
        <v>11</v>
      </c>
      <c r="E103" t="s">
        <v>292</v>
      </c>
      <c r="F103" t="s">
        <v>302</v>
      </c>
      <c r="G103" s="1">
        <v>441.11234999999999</v>
      </c>
      <c r="H103" s="1">
        <f t="shared" si="4"/>
        <v>498.45695549999994</v>
      </c>
      <c r="I103" s="1">
        <f t="shared" si="5"/>
        <v>705.77976000000001</v>
      </c>
      <c r="J103" s="1">
        <f t="shared" si="6"/>
        <v>649.3173792</v>
      </c>
      <c r="K103" s="6">
        <f t="shared" si="7"/>
        <v>1.472</v>
      </c>
      <c r="L103">
        <v>69</v>
      </c>
    </row>
    <row r="104" spans="1:12" x14ac:dyDescent="0.3">
      <c r="A104" t="s">
        <v>390</v>
      </c>
      <c r="B104" t="s">
        <v>381</v>
      </c>
      <c r="C104" t="s">
        <v>10</v>
      </c>
      <c r="D104" t="s">
        <v>11</v>
      </c>
      <c r="E104" t="s">
        <v>378</v>
      </c>
      <c r="F104" t="s">
        <v>382</v>
      </c>
      <c r="G104" s="1">
        <v>169.44149999999999</v>
      </c>
      <c r="H104" s="1">
        <f t="shared" si="4"/>
        <v>191.46889499999997</v>
      </c>
      <c r="I104" s="1">
        <f t="shared" si="5"/>
        <v>271.10640000000001</v>
      </c>
      <c r="J104" s="1">
        <f t="shared" si="6"/>
        <v>249.417888</v>
      </c>
      <c r="K104" s="6">
        <f t="shared" si="7"/>
        <v>1.4720000000000002</v>
      </c>
      <c r="L104">
        <v>69</v>
      </c>
    </row>
    <row r="105" spans="1:12" x14ac:dyDescent="0.3">
      <c r="A105" t="s">
        <v>78</v>
      </c>
      <c r="B105" t="s">
        <v>71</v>
      </c>
      <c r="C105" t="s">
        <v>35</v>
      </c>
      <c r="D105" t="s">
        <v>11</v>
      </c>
      <c r="E105" t="s">
        <v>32</v>
      </c>
      <c r="F105" t="s">
        <v>33</v>
      </c>
      <c r="G105" s="1">
        <v>260.6694</v>
      </c>
      <c r="H105" s="1">
        <f t="shared" si="4"/>
        <v>294.55642199999994</v>
      </c>
      <c r="I105" s="1">
        <f t="shared" si="5"/>
        <v>417.07104000000004</v>
      </c>
      <c r="J105" s="1">
        <f t="shared" si="6"/>
        <v>383.70535680000006</v>
      </c>
      <c r="K105" s="6">
        <f t="shared" si="7"/>
        <v>1.4720000000000002</v>
      </c>
      <c r="L105">
        <v>68</v>
      </c>
    </row>
    <row r="106" spans="1:12" x14ac:dyDescent="0.3">
      <c r="A106" t="s">
        <v>289</v>
      </c>
      <c r="B106" t="s">
        <v>282</v>
      </c>
      <c r="C106" t="s">
        <v>15</v>
      </c>
      <c r="D106" t="s">
        <v>11</v>
      </c>
      <c r="E106" t="s">
        <v>92</v>
      </c>
      <c r="F106" t="s">
        <v>93</v>
      </c>
      <c r="G106" s="1">
        <v>843.94860000000006</v>
      </c>
      <c r="H106" s="1">
        <f t="shared" si="4"/>
        <v>953.66191800000001</v>
      </c>
      <c r="I106" s="1">
        <f t="shared" si="5"/>
        <v>1350.3177600000001</v>
      </c>
      <c r="J106" s="1">
        <f t="shared" si="6"/>
        <v>1242.2923392000002</v>
      </c>
      <c r="K106" s="6">
        <f t="shared" si="7"/>
        <v>1.4720000000000002</v>
      </c>
      <c r="L106">
        <v>68</v>
      </c>
    </row>
    <row r="107" spans="1:12" x14ac:dyDescent="0.3">
      <c r="A107" t="s">
        <v>321</v>
      </c>
      <c r="B107" t="s">
        <v>319</v>
      </c>
      <c r="C107" t="s">
        <v>15</v>
      </c>
      <c r="D107" t="s">
        <v>11</v>
      </c>
      <c r="E107" t="s">
        <v>292</v>
      </c>
      <c r="F107" t="s">
        <v>293</v>
      </c>
      <c r="G107" s="1">
        <v>185.99159999999998</v>
      </c>
      <c r="H107" s="1">
        <f t="shared" si="4"/>
        <v>210.17050799999996</v>
      </c>
      <c r="I107" s="1">
        <f t="shared" si="5"/>
        <v>297.58655999999996</v>
      </c>
      <c r="J107" s="1">
        <f t="shared" si="6"/>
        <v>273.77963519999997</v>
      </c>
      <c r="K107" s="6">
        <f t="shared" si="7"/>
        <v>1.472</v>
      </c>
      <c r="L107">
        <v>68</v>
      </c>
    </row>
    <row r="108" spans="1:12" x14ac:dyDescent="0.3">
      <c r="A108" t="s">
        <v>158</v>
      </c>
      <c r="B108" t="s">
        <v>156</v>
      </c>
      <c r="C108" t="s">
        <v>35</v>
      </c>
      <c r="D108" t="s">
        <v>11</v>
      </c>
      <c r="E108" t="s">
        <v>92</v>
      </c>
      <c r="F108" t="s">
        <v>136</v>
      </c>
      <c r="G108" s="1">
        <v>490.31534999999997</v>
      </c>
      <c r="H108" s="1">
        <f t="shared" si="4"/>
        <v>554.05634549999991</v>
      </c>
      <c r="I108" s="1">
        <f t="shared" si="5"/>
        <v>784.50455999999997</v>
      </c>
      <c r="J108" s="1">
        <f t="shared" si="6"/>
        <v>721.74419520000004</v>
      </c>
      <c r="K108" s="6">
        <f t="shared" si="7"/>
        <v>1.4720000000000002</v>
      </c>
      <c r="L108">
        <v>65</v>
      </c>
    </row>
    <row r="109" spans="1:12" x14ac:dyDescent="0.3">
      <c r="A109" t="s">
        <v>266</v>
      </c>
      <c r="B109" t="s">
        <v>260</v>
      </c>
      <c r="C109" t="s">
        <v>10</v>
      </c>
      <c r="D109" t="s">
        <v>11</v>
      </c>
      <c r="E109" t="s">
        <v>92</v>
      </c>
      <c r="F109" t="s">
        <v>184</v>
      </c>
      <c r="G109" s="1">
        <v>329.92635000000001</v>
      </c>
      <c r="H109" s="1">
        <f t="shared" si="4"/>
        <v>372.81677550000001</v>
      </c>
      <c r="I109" s="1">
        <f t="shared" si="5"/>
        <v>527.88216</v>
      </c>
      <c r="J109" s="1">
        <f t="shared" si="6"/>
        <v>485.65158719999999</v>
      </c>
      <c r="K109" s="6">
        <f t="shared" si="7"/>
        <v>1.472</v>
      </c>
      <c r="L109">
        <v>65</v>
      </c>
    </row>
    <row r="110" spans="1:12" x14ac:dyDescent="0.3">
      <c r="A110" t="s">
        <v>285</v>
      </c>
      <c r="B110" t="s">
        <v>282</v>
      </c>
      <c r="C110" t="s">
        <v>15</v>
      </c>
      <c r="D110" t="s">
        <v>16</v>
      </c>
      <c r="E110" t="s">
        <v>92</v>
      </c>
      <c r="F110" t="s">
        <v>93</v>
      </c>
      <c r="G110" s="1">
        <v>750.87824999999987</v>
      </c>
      <c r="H110" s="1">
        <f t="shared" si="4"/>
        <v>848.49242249999975</v>
      </c>
      <c r="I110" s="1">
        <f t="shared" si="5"/>
        <v>1201.4051999999999</v>
      </c>
      <c r="J110" s="1">
        <f t="shared" si="6"/>
        <v>1105.292784</v>
      </c>
      <c r="K110" s="6">
        <f t="shared" si="7"/>
        <v>1.4720000000000002</v>
      </c>
      <c r="L110">
        <v>65</v>
      </c>
    </row>
    <row r="111" spans="1:12" x14ac:dyDescent="0.3">
      <c r="A111" t="s">
        <v>350</v>
      </c>
      <c r="B111" t="s">
        <v>349</v>
      </c>
      <c r="C111" t="s">
        <v>67</v>
      </c>
      <c r="D111" t="s">
        <v>11</v>
      </c>
      <c r="E111" t="s">
        <v>292</v>
      </c>
      <c r="F111" t="s">
        <v>293</v>
      </c>
      <c r="G111" s="1">
        <v>355.48635000000002</v>
      </c>
      <c r="H111" s="1">
        <f t="shared" si="4"/>
        <v>401.69957549999998</v>
      </c>
      <c r="I111" s="1">
        <f t="shared" si="5"/>
        <v>568.77816000000007</v>
      </c>
      <c r="J111" s="1">
        <f t="shared" si="6"/>
        <v>523.27590720000012</v>
      </c>
      <c r="K111" s="6">
        <f t="shared" si="7"/>
        <v>1.4720000000000002</v>
      </c>
      <c r="L111">
        <v>65</v>
      </c>
    </row>
    <row r="112" spans="1:12" x14ac:dyDescent="0.3">
      <c r="A112" t="s">
        <v>26</v>
      </c>
      <c r="B112" t="s">
        <v>18</v>
      </c>
      <c r="C112" t="s">
        <v>10</v>
      </c>
      <c r="D112" t="s">
        <v>11</v>
      </c>
      <c r="E112" t="s">
        <v>19</v>
      </c>
      <c r="F112" t="s">
        <v>20</v>
      </c>
      <c r="G112" s="1">
        <v>397.88400000000001</v>
      </c>
      <c r="H112" s="1">
        <f t="shared" si="4"/>
        <v>449.60891999999996</v>
      </c>
      <c r="I112" s="1">
        <f t="shared" si="5"/>
        <v>636.61440000000005</v>
      </c>
      <c r="J112" s="1">
        <f t="shared" si="6"/>
        <v>585.68524800000012</v>
      </c>
      <c r="K112" s="6">
        <f t="shared" si="7"/>
        <v>1.4720000000000002</v>
      </c>
      <c r="L112">
        <v>64</v>
      </c>
    </row>
    <row r="113" spans="1:12" x14ac:dyDescent="0.3">
      <c r="A113" t="s">
        <v>36</v>
      </c>
      <c r="B113" t="s">
        <v>31</v>
      </c>
      <c r="C113" t="s">
        <v>37</v>
      </c>
      <c r="D113" t="s">
        <v>11</v>
      </c>
      <c r="E113" t="s">
        <v>32</v>
      </c>
      <c r="F113" t="s">
        <v>33</v>
      </c>
      <c r="G113" s="1">
        <v>589.64789999999994</v>
      </c>
      <c r="H113" s="1">
        <f t="shared" si="4"/>
        <v>666.30212699999981</v>
      </c>
      <c r="I113" s="1">
        <f t="shared" si="5"/>
        <v>943.4366399999999</v>
      </c>
      <c r="J113" s="1">
        <f t="shared" si="6"/>
        <v>867.9617088</v>
      </c>
      <c r="K113" s="6">
        <f t="shared" si="7"/>
        <v>1.4720000000000002</v>
      </c>
      <c r="L113">
        <v>64</v>
      </c>
    </row>
    <row r="114" spans="1:12" x14ac:dyDescent="0.3">
      <c r="A114" t="s">
        <v>128</v>
      </c>
      <c r="B114" t="s">
        <v>129</v>
      </c>
      <c r="C114" t="s">
        <v>15</v>
      </c>
      <c r="D114" t="s">
        <v>16</v>
      </c>
      <c r="E114" t="s">
        <v>92</v>
      </c>
      <c r="F114" t="s">
        <v>93</v>
      </c>
      <c r="G114" s="1">
        <v>549.35895000000005</v>
      </c>
      <c r="H114" s="1">
        <f t="shared" si="4"/>
        <v>620.77561349999996</v>
      </c>
      <c r="I114" s="1">
        <f t="shared" si="5"/>
        <v>878.97432000000015</v>
      </c>
      <c r="J114" s="1">
        <f t="shared" si="6"/>
        <v>808.65637440000012</v>
      </c>
      <c r="K114" s="6">
        <f t="shared" si="7"/>
        <v>1.472</v>
      </c>
      <c r="L114">
        <v>63</v>
      </c>
    </row>
    <row r="115" spans="1:12" x14ac:dyDescent="0.3">
      <c r="A115" t="s">
        <v>72</v>
      </c>
      <c r="B115" t="s">
        <v>71</v>
      </c>
      <c r="C115" t="s">
        <v>15</v>
      </c>
      <c r="D115" t="s">
        <v>16</v>
      </c>
      <c r="E115" t="s">
        <v>32</v>
      </c>
      <c r="F115" t="s">
        <v>33</v>
      </c>
      <c r="G115" s="1">
        <v>314.38799999999998</v>
      </c>
      <c r="H115" s="1">
        <f t="shared" si="4"/>
        <v>355.25843999999995</v>
      </c>
      <c r="I115" s="1">
        <f t="shared" si="5"/>
        <v>503.02080000000001</v>
      </c>
      <c r="J115" s="1">
        <f t="shared" si="6"/>
        <v>462.77913600000005</v>
      </c>
      <c r="K115" s="6">
        <f t="shared" si="7"/>
        <v>1.4720000000000002</v>
      </c>
      <c r="L115">
        <v>62</v>
      </c>
    </row>
    <row r="116" spans="1:12" x14ac:dyDescent="0.3">
      <c r="A116" t="s">
        <v>201</v>
      </c>
      <c r="B116" t="s">
        <v>199</v>
      </c>
      <c r="C116" t="s">
        <v>15</v>
      </c>
      <c r="D116" t="s">
        <v>16</v>
      </c>
      <c r="E116" t="s">
        <v>92</v>
      </c>
      <c r="F116" t="s">
        <v>96</v>
      </c>
      <c r="G116" s="1">
        <v>354.99644999999998</v>
      </c>
      <c r="H116" s="1">
        <f t="shared" si="4"/>
        <v>401.14598849999993</v>
      </c>
      <c r="I116" s="1">
        <f t="shared" si="5"/>
        <v>567.99432000000002</v>
      </c>
      <c r="J116" s="1">
        <f t="shared" si="6"/>
        <v>522.55477440000004</v>
      </c>
      <c r="K116" s="6">
        <f t="shared" si="7"/>
        <v>1.4720000000000002</v>
      </c>
      <c r="L116">
        <v>62</v>
      </c>
    </row>
    <row r="117" spans="1:12" x14ac:dyDescent="0.3">
      <c r="A117" t="s">
        <v>253</v>
      </c>
      <c r="B117" t="s">
        <v>252</v>
      </c>
      <c r="C117" t="s">
        <v>15</v>
      </c>
      <c r="D117" t="s">
        <v>16</v>
      </c>
      <c r="E117" t="s">
        <v>92</v>
      </c>
      <c r="F117" t="s">
        <v>93</v>
      </c>
      <c r="G117" s="1">
        <v>220.12484999999998</v>
      </c>
      <c r="H117" s="1">
        <f t="shared" si="4"/>
        <v>248.74108049999995</v>
      </c>
      <c r="I117" s="1">
        <f t="shared" si="5"/>
        <v>352.19975999999997</v>
      </c>
      <c r="J117" s="1">
        <f t="shared" si="6"/>
        <v>324.02377919999998</v>
      </c>
      <c r="K117" s="6">
        <f t="shared" si="7"/>
        <v>1.472</v>
      </c>
      <c r="L117">
        <v>62</v>
      </c>
    </row>
    <row r="118" spans="1:12" x14ac:dyDescent="0.3">
      <c r="A118" t="s">
        <v>262</v>
      </c>
      <c r="B118" t="s">
        <v>260</v>
      </c>
      <c r="C118" t="s">
        <v>10</v>
      </c>
      <c r="D118" t="s">
        <v>11</v>
      </c>
      <c r="E118" t="s">
        <v>92</v>
      </c>
      <c r="F118" t="s">
        <v>184</v>
      </c>
      <c r="G118" s="1">
        <v>268.85924999999997</v>
      </c>
      <c r="H118" s="1">
        <f t="shared" si="4"/>
        <v>303.81095249999993</v>
      </c>
      <c r="I118" s="1">
        <f t="shared" si="5"/>
        <v>430.1748</v>
      </c>
      <c r="J118" s="1">
        <f t="shared" si="6"/>
        <v>395.76081600000003</v>
      </c>
      <c r="K118" s="6">
        <f t="shared" si="7"/>
        <v>1.4720000000000002</v>
      </c>
      <c r="L118">
        <v>62</v>
      </c>
    </row>
    <row r="119" spans="1:12" x14ac:dyDescent="0.3">
      <c r="A119" t="s">
        <v>287</v>
      </c>
      <c r="B119" t="s">
        <v>282</v>
      </c>
      <c r="C119" t="s">
        <v>15</v>
      </c>
      <c r="D119" t="s">
        <v>11</v>
      </c>
      <c r="E119" t="s">
        <v>92</v>
      </c>
      <c r="F119" t="s">
        <v>93</v>
      </c>
      <c r="G119" s="1">
        <v>657.81854999999996</v>
      </c>
      <c r="H119" s="1">
        <f t="shared" si="4"/>
        <v>743.33496149999985</v>
      </c>
      <c r="I119" s="1">
        <f t="shared" si="5"/>
        <v>1052.5096799999999</v>
      </c>
      <c r="J119" s="1">
        <f t="shared" si="6"/>
        <v>968.30890559999989</v>
      </c>
      <c r="K119" s="6">
        <f t="shared" si="7"/>
        <v>1.472</v>
      </c>
      <c r="L119">
        <v>62</v>
      </c>
    </row>
    <row r="120" spans="1:12" x14ac:dyDescent="0.3">
      <c r="A120" t="s">
        <v>288</v>
      </c>
      <c r="B120" t="s">
        <v>282</v>
      </c>
      <c r="C120" t="s">
        <v>15</v>
      </c>
      <c r="D120" t="s">
        <v>16</v>
      </c>
      <c r="E120" t="s">
        <v>92</v>
      </c>
      <c r="F120" t="s">
        <v>93</v>
      </c>
      <c r="G120" s="1">
        <v>1588.4368499999998</v>
      </c>
      <c r="H120" s="1">
        <f t="shared" si="4"/>
        <v>1794.9336404999997</v>
      </c>
      <c r="I120" s="1">
        <f t="shared" si="5"/>
        <v>2541.4989599999999</v>
      </c>
      <c r="J120" s="1">
        <f t="shared" si="6"/>
        <v>2338.1790431999998</v>
      </c>
      <c r="K120" s="6">
        <f t="shared" si="7"/>
        <v>1.472</v>
      </c>
      <c r="L120">
        <v>61</v>
      </c>
    </row>
    <row r="121" spans="1:12" x14ac:dyDescent="0.3">
      <c r="A121" t="s">
        <v>341</v>
      </c>
      <c r="B121" t="s">
        <v>340</v>
      </c>
      <c r="C121" t="s">
        <v>15</v>
      </c>
      <c r="D121" t="s">
        <v>16</v>
      </c>
      <c r="E121" t="s">
        <v>292</v>
      </c>
      <c r="F121" t="s">
        <v>293</v>
      </c>
      <c r="G121" s="1">
        <v>174.0849</v>
      </c>
      <c r="H121" s="1">
        <f t="shared" si="4"/>
        <v>196.715937</v>
      </c>
      <c r="I121" s="1">
        <f t="shared" si="5"/>
        <v>278.53584000000001</v>
      </c>
      <c r="J121" s="1">
        <f t="shared" si="6"/>
        <v>256.25297280000001</v>
      </c>
      <c r="K121" s="6">
        <f t="shared" si="7"/>
        <v>1.472</v>
      </c>
      <c r="L121">
        <v>61</v>
      </c>
    </row>
    <row r="122" spans="1:12" x14ac:dyDescent="0.3">
      <c r="A122" t="s">
        <v>119</v>
      </c>
      <c r="B122" t="s">
        <v>117</v>
      </c>
      <c r="C122" t="s">
        <v>10</v>
      </c>
      <c r="D122" t="s">
        <v>16</v>
      </c>
      <c r="E122" t="s">
        <v>92</v>
      </c>
      <c r="F122" t="s">
        <v>93</v>
      </c>
      <c r="G122" s="1">
        <v>155.25569999999999</v>
      </c>
      <c r="H122" s="1">
        <f t="shared" si="4"/>
        <v>175.43894099999997</v>
      </c>
      <c r="I122" s="1">
        <f t="shared" si="5"/>
        <v>248.40912</v>
      </c>
      <c r="J122" s="1">
        <f t="shared" si="6"/>
        <v>228.53639040000002</v>
      </c>
      <c r="K122" s="6">
        <f t="shared" si="7"/>
        <v>1.4720000000000002</v>
      </c>
      <c r="L122">
        <v>60</v>
      </c>
    </row>
    <row r="123" spans="1:12" x14ac:dyDescent="0.3">
      <c r="A123" t="s">
        <v>407</v>
      </c>
      <c r="B123" t="s">
        <v>404</v>
      </c>
      <c r="C123" t="s">
        <v>10</v>
      </c>
      <c r="D123" t="s">
        <v>16</v>
      </c>
      <c r="E123" t="s">
        <v>378</v>
      </c>
      <c r="F123" t="s">
        <v>401</v>
      </c>
      <c r="G123" s="1">
        <v>263.72594999999995</v>
      </c>
      <c r="H123" s="1">
        <f t="shared" si="4"/>
        <v>298.01032349999991</v>
      </c>
      <c r="I123" s="1">
        <f t="shared" si="5"/>
        <v>421.96151999999995</v>
      </c>
      <c r="J123" s="1">
        <f t="shared" si="6"/>
        <v>388.20459839999995</v>
      </c>
      <c r="K123" s="6">
        <f t="shared" si="7"/>
        <v>1.472</v>
      </c>
      <c r="L123">
        <v>60</v>
      </c>
    </row>
    <row r="124" spans="1:12" x14ac:dyDescent="0.3">
      <c r="A124" t="s">
        <v>305</v>
      </c>
      <c r="B124" t="s">
        <v>301</v>
      </c>
      <c r="C124" t="s">
        <v>15</v>
      </c>
      <c r="D124" t="s">
        <v>142</v>
      </c>
      <c r="E124" t="s">
        <v>292</v>
      </c>
      <c r="F124" t="s">
        <v>302</v>
      </c>
      <c r="G124" s="1">
        <v>244.63049999999998</v>
      </c>
      <c r="H124" s="1">
        <f t="shared" si="4"/>
        <v>276.43246499999998</v>
      </c>
      <c r="I124" s="1">
        <f t="shared" si="5"/>
        <v>391.40879999999999</v>
      </c>
      <c r="J124" s="1">
        <f t="shared" si="6"/>
        <v>360.09609599999999</v>
      </c>
      <c r="K124" s="6">
        <f t="shared" si="7"/>
        <v>1.472</v>
      </c>
      <c r="L124">
        <v>58</v>
      </c>
    </row>
    <row r="125" spans="1:12" x14ac:dyDescent="0.3">
      <c r="A125" t="s">
        <v>383</v>
      </c>
      <c r="B125" t="s">
        <v>381</v>
      </c>
      <c r="C125" t="s">
        <v>67</v>
      </c>
      <c r="D125" t="s">
        <v>11</v>
      </c>
      <c r="E125" t="s">
        <v>378</v>
      </c>
      <c r="F125" t="s">
        <v>382</v>
      </c>
      <c r="G125" s="1">
        <v>306.5283</v>
      </c>
      <c r="H125" s="1">
        <f t="shared" si="4"/>
        <v>346.37697899999995</v>
      </c>
      <c r="I125" s="1">
        <f t="shared" si="5"/>
        <v>490.44528000000003</v>
      </c>
      <c r="J125" s="1">
        <f t="shared" si="6"/>
        <v>451.20965760000007</v>
      </c>
      <c r="K125" s="6">
        <f t="shared" si="7"/>
        <v>1.4720000000000002</v>
      </c>
      <c r="L125">
        <v>58</v>
      </c>
    </row>
    <row r="126" spans="1:12" x14ac:dyDescent="0.3">
      <c r="A126" t="s">
        <v>94</v>
      </c>
      <c r="B126" t="s">
        <v>95</v>
      </c>
      <c r="C126" t="s">
        <v>67</v>
      </c>
      <c r="D126" t="s">
        <v>11</v>
      </c>
      <c r="E126" t="s">
        <v>92</v>
      </c>
      <c r="F126" t="s">
        <v>96</v>
      </c>
      <c r="G126" s="1">
        <v>311.29950000000002</v>
      </c>
      <c r="H126" s="1">
        <f t="shared" si="4"/>
        <v>351.76843500000001</v>
      </c>
      <c r="I126" s="1">
        <f t="shared" si="5"/>
        <v>498.07920000000007</v>
      </c>
      <c r="J126" s="1">
        <f t="shared" si="6"/>
        <v>458.23286400000006</v>
      </c>
      <c r="K126" s="6">
        <f t="shared" si="7"/>
        <v>1.4720000000000002</v>
      </c>
      <c r="L126">
        <v>57</v>
      </c>
    </row>
    <row r="127" spans="1:12" x14ac:dyDescent="0.3">
      <c r="A127" t="s">
        <v>286</v>
      </c>
      <c r="B127" t="s">
        <v>282</v>
      </c>
      <c r="C127" t="s">
        <v>15</v>
      </c>
      <c r="D127" t="s">
        <v>16</v>
      </c>
      <c r="E127" t="s">
        <v>92</v>
      </c>
      <c r="F127" t="s">
        <v>93</v>
      </c>
      <c r="G127" s="1">
        <v>1495.3771499999998</v>
      </c>
      <c r="H127" s="1">
        <f t="shared" si="4"/>
        <v>1689.7761794999997</v>
      </c>
      <c r="I127" s="1">
        <f t="shared" si="5"/>
        <v>2392.6034399999999</v>
      </c>
      <c r="J127" s="1">
        <f t="shared" si="6"/>
        <v>2201.1951647999999</v>
      </c>
      <c r="K127" s="6">
        <f t="shared" si="7"/>
        <v>1.4720000000000002</v>
      </c>
      <c r="L127">
        <v>56</v>
      </c>
    </row>
    <row r="128" spans="1:12" x14ac:dyDescent="0.3">
      <c r="A128" t="s">
        <v>146</v>
      </c>
      <c r="B128" t="s">
        <v>145</v>
      </c>
      <c r="C128" t="s">
        <v>15</v>
      </c>
      <c r="D128" t="s">
        <v>16</v>
      </c>
      <c r="E128" t="s">
        <v>92</v>
      </c>
      <c r="F128" t="s">
        <v>93</v>
      </c>
      <c r="G128" s="1">
        <v>266.67599999999999</v>
      </c>
      <c r="H128" s="1">
        <f t="shared" si="4"/>
        <v>301.34387999999996</v>
      </c>
      <c r="I128" s="1">
        <f t="shared" si="5"/>
        <v>426.6816</v>
      </c>
      <c r="J128" s="1">
        <f t="shared" si="6"/>
        <v>392.54707200000001</v>
      </c>
      <c r="K128" s="6">
        <f t="shared" si="7"/>
        <v>1.4720000000000002</v>
      </c>
      <c r="L128">
        <v>55</v>
      </c>
    </row>
    <row r="129" spans="1:12" x14ac:dyDescent="0.3">
      <c r="A129" t="s">
        <v>355</v>
      </c>
      <c r="B129" t="s">
        <v>349</v>
      </c>
      <c r="C129" t="s">
        <v>67</v>
      </c>
      <c r="D129" t="s">
        <v>11</v>
      </c>
      <c r="E129" t="s">
        <v>292</v>
      </c>
      <c r="F129" t="s">
        <v>293</v>
      </c>
      <c r="G129" s="1">
        <v>443.60444999999993</v>
      </c>
      <c r="H129" s="1">
        <f t="shared" si="4"/>
        <v>501.2730284999999</v>
      </c>
      <c r="I129" s="1">
        <f t="shared" si="5"/>
        <v>709.76711999999998</v>
      </c>
      <c r="J129" s="1">
        <f t="shared" si="6"/>
        <v>652.98575040000003</v>
      </c>
      <c r="K129" s="6">
        <f t="shared" si="7"/>
        <v>1.4720000000000002</v>
      </c>
      <c r="L129">
        <v>55</v>
      </c>
    </row>
    <row r="130" spans="1:12" x14ac:dyDescent="0.3">
      <c r="A130" t="s">
        <v>83</v>
      </c>
      <c r="B130" t="s">
        <v>80</v>
      </c>
      <c r="C130" t="s">
        <v>15</v>
      </c>
      <c r="D130" t="s">
        <v>16</v>
      </c>
      <c r="E130" t="s">
        <v>32</v>
      </c>
      <c r="F130" t="s">
        <v>81</v>
      </c>
      <c r="G130" s="1">
        <v>272.87430000000001</v>
      </c>
      <c r="H130" s="1">
        <f t="shared" si="4"/>
        <v>308.347959</v>
      </c>
      <c r="I130" s="1">
        <f t="shared" si="5"/>
        <v>436.59888000000001</v>
      </c>
      <c r="J130" s="1">
        <f t="shared" si="6"/>
        <v>401.67096960000003</v>
      </c>
      <c r="K130" s="6">
        <f t="shared" si="7"/>
        <v>1.4720000000000002</v>
      </c>
      <c r="L130">
        <v>54</v>
      </c>
    </row>
    <row r="131" spans="1:12" x14ac:dyDescent="0.3">
      <c r="A131" t="s">
        <v>130</v>
      </c>
      <c r="B131" t="s">
        <v>129</v>
      </c>
      <c r="C131" t="s">
        <v>10</v>
      </c>
      <c r="D131" t="s">
        <v>16</v>
      </c>
      <c r="E131" t="s">
        <v>92</v>
      </c>
      <c r="F131" t="s">
        <v>93</v>
      </c>
      <c r="G131" s="1">
        <v>284.98334999999997</v>
      </c>
      <c r="H131" s="1">
        <f t="shared" ref="H131:H194" si="8">G131*1.13</f>
        <v>322.03118549999994</v>
      </c>
      <c r="I131" s="1">
        <f t="shared" ref="I131:I194" si="9">G131*1.6</f>
        <v>455.97335999999996</v>
      </c>
      <c r="J131" s="1">
        <f t="shared" ref="J131:J194" si="10">I131*0.92</f>
        <v>419.4954912</v>
      </c>
      <c r="K131" s="6">
        <f t="shared" ref="K131:K194" si="11">J131/G131</f>
        <v>1.4720000000000002</v>
      </c>
      <c r="L131">
        <v>50</v>
      </c>
    </row>
    <row r="132" spans="1:12" x14ac:dyDescent="0.3">
      <c r="A132" t="s">
        <v>241</v>
      </c>
      <c r="B132" t="s">
        <v>236</v>
      </c>
      <c r="C132" t="s">
        <v>15</v>
      </c>
      <c r="D132" t="s">
        <v>11</v>
      </c>
      <c r="E132" t="s">
        <v>92</v>
      </c>
      <c r="F132" t="s">
        <v>93</v>
      </c>
      <c r="G132" s="1">
        <v>954.59145000000001</v>
      </c>
      <c r="H132" s="1">
        <f t="shared" si="8"/>
        <v>1078.6883384999999</v>
      </c>
      <c r="I132" s="1">
        <f t="shared" si="9"/>
        <v>1527.3463200000001</v>
      </c>
      <c r="J132" s="1">
        <f t="shared" si="10"/>
        <v>1405.1586144000003</v>
      </c>
      <c r="K132" s="6">
        <f t="shared" si="11"/>
        <v>1.4720000000000002</v>
      </c>
      <c r="L132">
        <v>50</v>
      </c>
    </row>
    <row r="133" spans="1:12" x14ac:dyDescent="0.3">
      <c r="A133" t="s">
        <v>186</v>
      </c>
      <c r="B133" t="s">
        <v>183</v>
      </c>
      <c r="C133" t="s">
        <v>15</v>
      </c>
      <c r="D133" t="s">
        <v>11</v>
      </c>
      <c r="E133" t="s">
        <v>92</v>
      </c>
      <c r="F133" t="s">
        <v>184</v>
      </c>
      <c r="G133" s="1">
        <v>244.33229999999998</v>
      </c>
      <c r="H133" s="1">
        <f t="shared" si="8"/>
        <v>276.09549899999996</v>
      </c>
      <c r="I133" s="1">
        <f t="shared" si="9"/>
        <v>390.93167999999997</v>
      </c>
      <c r="J133" s="1">
        <f t="shared" si="10"/>
        <v>359.65714559999998</v>
      </c>
      <c r="K133" s="6">
        <f t="shared" si="11"/>
        <v>1.472</v>
      </c>
      <c r="L133">
        <v>49</v>
      </c>
    </row>
    <row r="134" spans="1:12" x14ac:dyDescent="0.3">
      <c r="A134" t="s">
        <v>182</v>
      </c>
      <c r="B134" t="s">
        <v>183</v>
      </c>
      <c r="C134" t="s">
        <v>15</v>
      </c>
      <c r="D134" t="s">
        <v>11</v>
      </c>
      <c r="E134" t="s">
        <v>92</v>
      </c>
      <c r="F134" t="s">
        <v>184</v>
      </c>
      <c r="G134" s="1">
        <v>339.50069999999994</v>
      </c>
      <c r="H134" s="1">
        <f t="shared" si="8"/>
        <v>383.63579099999987</v>
      </c>
      <c r="I134" s="1">
        <f t="shared" si="9"/>
        <v>543.20111999999995</v>
      </c>
      <c r="J134" s="1">
        <f t="shared" si="10"/>
        <v>499.74503039999996</v>
      </c>
      <c r="K134" s="6">
        <f t="shared" si="11"/>
        <v>1.4720000000000002</v>
      </c>
      <c r="L134">
        <v>48</v>
      </c>
    </row>
    <row r="135" spans="1:12" x14ac:dyDescent="0.3">
      <c r="A135" t="s">
        <v>198</v>
      </c>
      <c r="B135" t="s">
        <v>199</v>
      </c>
      <c r="C135" t="s">
        <v>15</v>
      </c>
      <c r="D135" t="s">
        <v>16</v>
      </c>
      <c r="E135" t="s">
        <v>92</v>
      </c>
      <c r="F135" t="s">
        <v>96</v>
      </c>
      <c r="G135" s="1">
        <v>253.6617</v>
      </c>
      <c r="H135" s="1">
        <f t="shared" si="8"/>
        <v>286.63772099999994</v>
      </c>
      <c r="I135" s="1">
        <f t="shared" si="9"/>
        <v>405.85872000000001</v>
      </c>
      <c r="J135" s="1">
        <f t="shared" si="10"/>
        <v>373.39002240000002</v>
      </c>
      <c r="K135" s="6">
        <f t="shared" si="11"/>
        <v>1.4720000000000002</v>
      </c>
      <c r="L135">
        <v>48</v>
      </c>
    </row>
    <row r="136" spans="1:12" x14ac:dyDescent="0.3">
      <c r="A136" t="s">
        <v>230</v>
      </c>
      <c r="B136" t="s">
        <v>231</v>
      </c>
      <c r="C136" t="s">
        <v>15</v>
      </c>
      <c r="D136" t="s">
        <v>11</v>
      </c>
      <c r="E136" t="s">
        <v>92</v>
      </c>
      <c r="F136" t="s">
        <v>184</v>
      </c>
      <c r="G136" s="1">
        <v>165.36255</v>
      </c>
      <c r="H136" s="1">
        <f t="shared" si="8"/>
        <v>186.85968149999999</v>
      </c>
      <c r="I136" s="1">
        <f t="shared" si="9"/>
        <v>264.58008000000001</v>
      </c>
      <c r="J136" s="1">
        <f t="shared" si="10"/>
        <v>243.41367360000001</v>
      </c>
      <c r="K136" s="6">
        <f t="shared" si="11"/>
        <v>1.472</v>
      </c>
      <c r="L136">
        <v>47</v>
      </c>
    </row>
    <row r="137" spans="1:12" x14ac:dyDescent="0.3">
      <c r="A137" t="s">
        <v>342</v>
      </c>
      <c r="B137" t="s">
        <v>340</v>
      </c>
      <c r="C137" t="s">
        <v>10</v>
      </c>
      <c r="D137" t="s">
        <v>16</v>
      </c>
      <c r="E137" t="s">
        <v>292</v>
      </c>
      <c r="F137" t="s">
        <v>293</v>
      </c>
      <c r="G137" s="1">
        <v>358.53224999999998</v>
      </c>
      <c r="H137" s="1">
        <f t="shared" si="8"/>
        <v>405.14144249999993</v>
      </c>
      <c r="I137" s="1">
        <f t="shared" si="9"/>
        <v>573.65160000000003</v>
      </c>
      <c r="J137" s="1">
        <f t="shared" si="10"/>
        <v>527.75947200000007</v>
      </c>
      <c r="K137" s="6">
        <f t="shared" si="11"/>
        <v>1.4720000000000002</v>
      </c>
      <c r="L137">
        <v>47</v>
      </c>
    </row>
    <row r="138" spans="1:12" x14ac:dyDescent="0.3">
      <c r="A138" t="s">
        <v>178</v>
      </c>
      <c r="B138" t="s">
        <v>176</v>
      </c>
      <c r="C138" t="s">
        <v>10</v>
      </c>
      <c r="D138" t="s">
        <v>11</v>
      </c>
      <c r="E138" t="s">
        <v>92</v>
      </c>
      <c r="F138" t="s">
        <v>93</v>
      </c>
      <c r="G138" s="1">
        <v>1419.40005</v>
      </c>
      <c r="H138" s="1">
        <f t="shared" si="8"/>
        <v>1603.9220564999998</v>
      </c>
      <c r="I138" s="1">
        <f t="shared" si="9"/>
        <v>2271.0400800000002</v>
      </c>
      <c r="J138" s="1">
        <f t="shared" si="10"/>
        <v>2089.3568736000002</v>
      </c>
      <c r="K138" s="6">
        <f t="shared" si="11"/>
        <v>1.4720000000000002</v>
      </c>
      <c r="L138">
        <v>46</v>
      </c>
    </row>
    <row r="139" spans="1:12" x14ac:dyDescent="0.3">
      <c r="A139" t="s">
        <v>203</v>
      </c>
      <c r="B139" t="s">
        <v>199</v>
      </c>
      <c r="C139" t="s">
        <v>15</v>
      </c>
      <c r="D139" t="s">
        <v>16</v>
      </c>
      <c r="E139" t="s">
        <v>92</v>
      </c>
      <c r="F139" t="s">
        <v>96</v>
      </c>
      <c r="G139" s="1">
        <v>326.17754999999994</v>
      </c>
      <c r="H139" s="1">
        <f t="shared" si="8"/>
        <v>368.58063149999992</v>
      </c>
      <c r="I139" s="1">
        <f t="shared" si="9"/>
        <v>521.88407999999993</v>
      </c>
      <c r="J139" s="1">
        <f t="shared" si="10"/>
        <v>480.13335359999996</v>
      </c>
      <c r="K139" s="6">
        <f t="shared" si="11"/>
        <v>1.4720000000000002</v>
      </c>
      <c r="L139">
        <v>46</v>
      </c>
    </row>
    <row r="140" spans="1:12" x14ac:dyDescent="0.3">
      <c r="A140" t="s">
        <v>284</v>
      </c>
      <c r="B140" t="s">
        <v>282</v>
      </c>
      <c r="C140" t="s">
        <v>15</v>
      </c>
      <c r="D140" t="s">
        <v>16</v>
      </c>
      <c r="E140" t="s">
        <v>92</v>
      </c>
      <c r="F140" t="s">
        <v>93</v>
      </c>
      <c r="G140" s="1">
        <v>1588.4368499999998</v>
      </c>
      <c r="H140" s="1">
        <f t="shared" si="8"/>
        <v>1794.9336404999997</v>
      </c>
      <c r="I140" s="1">
        <f t="shared" si="9"/>
        <v>2541.4989599999999</v>
      </c>
      <c r="J140" s="1">
        <f t="shared" si="10"/>
        <v>2338.1790431999998</v>
      </c>
      <c r="K140" s="6">
        <f t="shared" si="11"/>
        <v>1.472</v>
      </c>
      <c r="L140">
        <v>46</v>
      </c>
    </row>
    <row r="141" spans="1:12" x14ac:dyDescent="0.3">
      <c r="A141" t="s">
        <v>249</v>
      </c>
      <c r="B141" t="s">
        <v>247</v>
      </c>
      <c r="C141" t="s">
        <v>15</v>
      </c>
      <c r="D141" t="s">
        <v>16</v>
      </c>
      <c r="E141" t="s">
        <v>92</v>
      </c>
      <c r="F141" t="s">
        <v>93</v>
      </c>
      <c r="G141" s="1">
        <v>528.70859999999993</v>
      </c>
      <c r="H141" s="1">
        <f t="shared" si="8"/>
        <v>597.44071799999983</v>
      </c>
      <c r="I141" s="1">
        <f t="shared" si="9"/>
        <v>845.93375999999989</v>
      </c>
      <c r="J141" s="1">
        <f t="shared" si="10"/>
        <v>778.25905919999991</v>
      </c>
      <c r="K141" s="6">
        <f t="shared" si="11"/>
        <v>1.472</v>
      </c>
      <c r="L141">
        <v>45</v>
      </c>
    </row>
    <row r="142" spans="1:12" x14ac:dyDescent="0.3">
      <c r="A142" t="s">
        <v>348</v>
      </c>
      <c r="B142" t="s">
        <v>349</v>
      </c>
      <c r="C142" t="s">
        <v>10</v>
      </c>
      <c r="D142" t="s">
        <v>11</v>
      </c>
      <c r="E142" t="s">
        <v>292</v>
      </c>
      <c r="F142" t="s">
        <v>293</v>
      </c>
      <c r="G142" s="1">
        <v>316.31564999999995</v>
      </c>
      <c r="H142" s="1">
        <f t="shared" si="8"/>
        <v>357.4366844999999</v>
      </c>
      <c r="I142" s="1">
        <f t="shared" si="9"/>
        <v>506.10503999999992</v>
      </c>
      <c r="J142" s="1">
        <f t="shared" si="10"/>
        <v>465.61663679999992</v>
      </c>
      <c r="K142" s="6">
        <f t="shared" si="11"/>
        <v>1.472</v>
      </c>
      <c r="L142">
        <v>45</v>
      </c>
    </row>
    <row r="143" spans="1:12" x14ac:dyDescent="0.3">
      <c r="A143" t="s">
        <v>356</v>
      </c>
      <c r="B143" t="s">
        <v>349</v>
      </c>
      <c r="C143" t="s">
        <v>67</v>
      </c>
      <c r="D143" t="s">
        <v>11</v>
      </c>
      <c r="E143" t="s">
        <v>292</v>
      </c>
      <c r="F143" t="s">
        <v>293</v>
      </c>
      <c r="G143" s="1">
        <v>521.94584999999995</v>
      </c>
      <c r="H143" s="1">
        <f t="shared" si="8"/>
        <v>589.79881049999995</v>
      </c>
      <c r="I143" s="1">
        <f t="shared" si="9"/>
        <v>835.11335999999994</v>
      </c>
      <c r="J143" s="1">
        <f t="shared" si="10"/>
        <v>768.30429119999997</v>
      </c>
      <c r="K143" s="6">
        <f t="shared" si="11"/>
        <v>1.472</v>
      </c>
      <c r="L143">
        <v>44</v>
      </c>
    </row>
    <row r="144" spans="1:12" x14ac:dyDescent="0.3">
      <c r="A144" t="s">
        <v>147</v>
      </c>
      <c r="B144" t="s">
        <v>145</v>
      </c>
      <c r="C144" t="s">
        <v>10</v>
      </c>
      <c r="D144" t="s">
        <v>16</v>
      </c>
      <c r="E144" t="s">
        <v>92</v>
      </c>
      <c r="F144" t="s">
        <v>93</v>
      </c>
      <c r="G144" s="1">
        <v>266.67599999999999</v>
      </c>
      <c r="H144" s="1">
        <f t="shared" si="8"/>
        <v>301.34387999999996</v>
      </c>
      <c r="I144" s="1">
        <f t="shared" si="9"/>
        <v>426.6816</v>
      </c>
      <c r="J144" s="1">
        <f t="shared" si="10"/>
        <v>392.54707200000001</v>
      </c>
      <c r="K144" s="6">
        <f t="shared" si="11"/>
        <v>1.4720000000000002</v>
      </c>
      <c r="L144">
        <v>43</v>
      </c>
    </row>
    <row r="145" spans="1:12" x14ac:dyDescent="0.3">
      <c r="A145" t="s">
        <v>243</v>
      </c>
      <c r="B145" t="s">
        <v>236</v>
      </c>
      <c r="C145" t="s">
        <v>15</v>
      </c>
      <c r="D145" t="s">
        <v>11</v>
      </c>
      <c r="E145" t="s">
        <v>92</v>
      </c>
      <c r="F145" t="s">
        <v>93</v>
      </c>
      <c r="G145" s="1">
        <v>1047.5553</v>
      </c>
      <c r="H145" s="1">
        <f t="shared" si="8"/>
        <v>1183.7374889999999</v>
      </c>
      <c r="I145" s="1">
        <f t="shared" si="9"/>
        <v>1676.0884800000001</v>
      </c>
      <c r="J145" s="1">
        <f t="shared" si="10"/>
        <v>1542.0014016000002</v>
      </c>
      <c r="K145" s="6">
        <f t="shared" si="11"/>
        <v>1.4720000000000002</v>
      </c>
      <c r="L145">
        <v>43</v>
      </c>
    </row>
    <row r="146" spans="1:12" x14ac:dyDescent="0.3">
      <c r="A146" t="s">
        <v>251</v>
      </c>
      <c r="B146" t="s">
        <v>252</v>
      </c>
      <c r="C146" t="s">
        <v>15</v>
      </c>
      <c r="D146" t="s">
        <v>11</v>
      </c>
      <c r="E146" t="s">
        <v>92</v>
      </c>
      <c r="F146" t="s">
        <v>93</v>
      </c>
      <c r="G146" s="1">
        <v>749.34465</v>
      </c>
      <c r="H146" s="1">
        <f t="shared" si="8"/>
        <v>846.75945449999995</v>
      </c>
      <c r="I146" s="1">
        <f t="shared" si="9"/>
        <v>1198.95144</v>
      </c>
      <c r="J146" s="1">
        <f t="shared" si="10"/>
        <v>1103.0353248000001</v>
      </c>
      <c r="K146" s="6">
        <f t="shared" si="11"/>
        <v>1.4720000000000002</v>
      </c>
      <c r="L146">
        <v>43</v>
      </c>
    </row>
    <row r="147" spans="1:12" x14ac:dyDescent="0.3">
      <c r="A147" t="s">
        <v>368</v>
      </c>
      <c r="B147" t="s">
        <v>364</v>
      </c>
      <c r="C147" t="s">
        <v>15</v>
      </c>
      <c r="D147" t="s">
        <v>16</v>
      </c>
      <c r="E147" t="s">
        <v>292</v>
      </c>
      <c r="F147" t="s">
        <v>302</v>
      </c>
      <c r="G147" s="1">
        <v>186.9288</v>
      </c>
      <c r="H147" s="1">
        <f t="shared" si="8"/>
        <v>211.22954399999998</v>
      </c>
      <c r="I147" s="1">
        <f t="shared" si="9"/>
        <v>299.08607999999998</v>
      </c>
      <c r="J147" s="1">
        <f t="shared" si="10"/>
        <v>275.15919359999998</v>
      </c>
      <c r="K147" s="6">
        <f t="shared" si="11"/>
        <v>1.472</v>
      </c>
      <c r="L147">
        <v>43</v>
      </c>
    </row>
    <row r="148" spans="1:12" x14ac:dyDescent="0.3">
      <c r="A148" t="s">
        <v>115</v>
      </c>
      <c r="B148" t="s">
        <v>113</v>
      </c>
      <c r="C148" t="s">
        <v>67</v>
      </c>
      <c r="D148" t="s">
        <v>11</v>
      </c>
      <c r="E148" t="s">
        <v>92</v>
      </c>
      <c r="F148" t="s">
        <v>93</v>
      </c>
      <c r="G148" s="1">
        <v>541.81875000000002</v>
      </c>
      <c r="H148" s="1">
        <f t="shared" si="8"/>
        <v>612.25518749999992</v>
      </c>
      <c r="I148" s="1">
        <f t="shared" si="9"/>
        <v>866.91000000000008</v>
      </c>
      <c r="J148" s="1">
        <f t="shared" si="10"/>
        <v>797.55720000000008</v>
      </c>
      <c r="K148" s="6">
        <f t="shared" si="11"/>
        <v>1.472</v>
      </c>
      <c r="L148">
        <v>40</v>
      </c>
    </row>
    <row r="149" spans="1:12" x14ac:dyDescent="0.3">
      <c r="A149" t="s">
        <v>167</v>
      </c>
      <c r="B149" t="s">
        <v>168</v>
      </c>
      <c r="C149" t="s">
        <v>50</v>
      </c>
      <c r="D149" t="s">
        <v>11</v>
      </c>
      <c r="E149" t="s">
        <v>92</v>
      </c>
      <c r="F149" t="s">
        <v>136</v>
      </c>
      <c r="G149" s="1">
        <v>139.63215</v>
      </c>
      <c r="H149" s="1">
        <f t="shared" si="8"/>
        <v>157.78432949999998</v>
      </c>
      <c r="I149" s="1">
        <f t="shared" si="9"/>
        <v>223.41144</v>
      </c>
      <c r="J149" s="1">
        <f t="shared" si="10"/>
        <v>205.5385248</v>
      </c>
      <c r="K149" s="6">
        <f t="shared" si="11"/>
        <v>1.472</v>
      </c>
      <c r="L149">
        <v>40</v>
      </c>
    </row>
    <row r="150" spans="1:12" x14ac:dyDescent="0.3">
      <c r="A150" t="s">
        <v>242</v>
      </c>
      <c r="B150" t="s">
        <v>236</v>
      </c>
      <c r="C150" t="s">
        <v>15</v>
      </c>
      <c r="D150" t="s">
        <v>11</v>
      </c>
      <c r="E150" t="s">
        <v>92</v>
      </c>
      <c r="F150" t="s">
        <v>93</v>
      </c>
      <c r="G150" s="1">
        <v>991.78125</v>
      </c>
      <c r="H150" s="1">
        <f t="shared" si="8"/>
        <v>1120.7128124999999</v>
      </c>
      <c r="I150" s="1">
        <f t="shared" si="9"/>
        <v>1586.8500000000001</v>
      </c>
      <c r="J150" s="1">
        <f t="shared" si="10"/>
        <v>1459.9020000000003</v>
      </c>
      <c r="K150" s="6">
        <f t="shared" si="11"/>
        <v>1.4720000000000002</v>
      </c>
      <c r="L150">
        <v>40</v>
      </c>
    </row>
    <row r="151" spans="1:12" x14ac:dyDescent="0.3">
      <c r="A151" t="s">
        <v>38</v>
      </c>
      <c r="B151" t="s">
        <v>39</v>
      </c>
      <c r="C151" t="s">
        <v>40</v>
      </c>
      <c r="D151" t="s">
        <v>11</v>
      </c>
      <c r="E151" t="s">
        <v>32</v>
      </c>
      <c r="F151" t="s">
        <v>41</v>
      </c>
      <c r="G151" s="1">
        <v>1080.79395</v>
      </c>
      <c r="H151" s="1">
        <f t="shared" si="8"/>
        <v>1221.2971634999999</v>
      </c>
      <c r="I151" s="1">
        <f t="shared" si="9"/>
        <v>1729.2703200000001</v>
      </c>
      <c r="J151" s="1">
        <f t="shared" si="10"/>
        <v>1590.9286944</v>
      </c>
      <c r="K151" s="6">
        <f t="shared" si="11"/>
        <v>1.472</v>
      </c>
      <c r="L151">
        <v>39</v>
      </c>
    </row>
    <row r="152" spans="1:12" x14ac:dyDescent="0.3">
      <c r="A152" t="s">
        <v>85</v>
      </c>
      <c r="B152" t="s">
        <v>80</v>
      </c>
      <c r="C152" t="s">
        <v>10</v>
      </c>
      <c r="D152" t="s">
        <v>11</v>
      </c>
      <c r="E152" t="s">
        <v>32</v>
      </c>
      <c r="F152" t="s">
        <v>81</v>
      </c>
      <c r="G152" s="1">
        <v>358.53224999999998</v>
      </c>
      <c r="H152" s="1">
        <f t="shared" si="8"/>
        <v>405.14144249999993</v>
      </c>
      <c r="I152" s="1">
        <f t="shared" si="9"/>
        <v>573.65160000000003</v>
      </c>
      <c r="J152" s="1">
        <f t="shared" si="10"/>
        <v>527.75947200000007</v>
      </c>
      <c r="K152" s="6">
        <f t="shared" si="11"/>
        <v>1.4720000000000002</v>
      </c>
      <c r="L152">
        <v>39</v>
      </c>
    </row>
    <row r="153" spans="1:12" x14ac:dyDescent="0.3">
      <c r="A153" t="s">
        <v>245</v>
      </c>
      <c r="B153" t="s">
        <v>236</v>
      </c>
      <c r="C153" t="s">
        <v>15</v>
      </c>
      <c r="D153" t="s">
        <v>11</v>
      </c>
      <c r="E153" t="s">
        <v>92</v>
      </c>
      <c r="F153" t="s">
        <v>93</v>
      </c>
      <c r="G153" s="1">
        <v>843.04335000000003</v>
      </c>
      <c r="H153" s="1">
        <f t="shared" si="8"/>
        <v>952.63898549999999</v>
      </c>
      <c r="I153" s="1">
        <f t="shared" si="9"/>
        <v>1348.8693600000001</v>
      </c>
      <c r="J153" s="1">
        <f t="shared" si="10"/>
        <v>1240.9598112000001</v>
      </c>
      <c r="K153" s="6">
        <f t="shared" si="11"/>
        <v>1.472</v>
      </c>
      <c r="L153">
        <v>39</v>
      </c>
    </row>
    <row r="154" spans="1:12" x14ac:dyDescent="0.3">
      <c r="A154" t="s">
        <v>396</v>
      </c>
      <c r="B154" t="s">
        <v>394</v>
      </c>
      <c r="C154" t="s">
        <v>10</v>
      </c>
      <c r="D154" t="s">
        <v>11</v>
      </c>
      <c r="E154" t="s">
        <v>378</v>
      </c>
      <c r="F154" t="s">
        <v>382</v>
      </c>
      <c r="G154" s="1">
        <v>600.26594999999998</v>
      </c>
      <c r="H154" s="1">
        <f t="shared" si="8"/>
        <v>678.30052349999994</v>
      </c>
      <c r="I154" s="1">
        <f t="shared" si="9"/>
        <v>960.42552000000001</v>
      </c>
      <c r="J154" s="1">
        <f t="shared" si="10"/>
        <v>883.59147840000003</v>
      </c>
      <c r="K154" s="6">
        <f t="shared" si="11"/>
        <v>1.4720000000000002</v>
      </c>
      <c r="L154">
        <v>39</v>
      </c>
    </row>
    <row r="155" spans="1:12" x14ac:dyDescent="0.3">
      <c r="A155" t="s">
        <v>240</v>
      </c>
      <c r="B155" t="s">
        <v>236</v>
      </c>
      <c r="C155" t="s">
        <v>15</v>
      </c>
      <c r="D155" t="s">
        <v>11</v>
      </c>
      <c r="E155" t="s">
        <v>92</v>
      </c>
      <c r="F155" t="s">
        <v>93</v>
      </c>
      <c r="G155" s="1">
        <v>601.34159999999997</v>
      </c>
      <c r="H155" s="1">
        <f t="shared" si="8"/>
        <v>679.51600799999994</v>
      </c>
      <c r="I155" s="1">
        <f t="shared" si="9"/>
        <v>962.14656000000002</v>
      </c>
      <c r="J155" s="1">
        <f t="shared" si="10"/>
        <v>885.17483520000008</v>
      </c>
      <c r="K155" s="6">
        <f t="shared" si="11"/>
        <v>1.4720000000000002</v>
      </c>
      <c r="L155">
        <v>38</v>
      </c>
    </row>
    <row r="156" spans="1:12" x14ac:dyDescent="0.3">
      <c r="A156" t="s">
        <v>120</v>
      </c>
      <c r="B156" t="s">
        <v>121</v>
      </c>
      <c r="C156" t="s">
        <v>15</v>
      </c>
      <c r="D156" t="s">
        <v>16</v>
      </c>
      <c r="E156" t="s">
        <v>92</v>
      </c>
      <c r="F156" t="s">
        <v>122</v>
      </c>
      <c r="G156" s="1">
        <v>129.37620000000001</v>
      </c>
      <c r="H156" s="1">
        <f t="shared" si="8"/>
        <v>146.19510600000001</v>
      </c>
      <c r="I156" s="1">
        <f t="shared" si="9"/>
        <v>207.00192000000004</v>
      </c>
      <c r="J156" s="1">
        <f t="shared" si="10"/>
        <v>190.44176640000003</v>
      </c>
      <c r="K156" s="6">
        <f t="shared" si="11"/>
        <v>1.4720000000000002</v>
      </c>
      <c r="L156">
        <v>37</v>
      </c>
    </row>
    <row r="157" spans="1:12" x14ac:dyDescent="0.3">
      <c r="A157" t="s">
        <v>353</v>
      </c>
      <c r="B157" t="s">
        <v>349</v>
      </c>
      <c r="C157" t="s">
        <v>67</v>
      </c>
      <c r="D157" t="s">
        <v>11</v>
      </c>
      <c r="E157" t="s">
        <v>292</v>
      </c>
      <c r="F157" t="s">
        <v>293</v>
      </c>
      <c r="G157" s="1">
        <v>521.94584999999995</v>
      </c>
      <c r="H157" s="1">
        <f t="shared" si="8"/>
        <v>589.79881049999995</v>
      </c>
      <c r="I157" s="1">
        <f t="shared" si="9"/>
        <v>835.11335999999994</v>
      </c>
      <c r="J157" s="1">
        <f t="shared" si="10"/>
        <v>768.30429119999997</v>
      </c>
      <c r="K157" s="6">
        <f t="shared" si="11"/>
        <v>1.472</v>
      </c>
      <c r="L157">
        <v>37</v>
      </c>
    </row>
    <row r="158" spans="1:12" x14ac:dyDescent="0.3">
      <c r="A158" t="s">
        <v>99</v>
      </c>
      <c r="B158" t="s">
        <v>95</v>
      </c>
      <c r="C158" t="s">
        <v>10</v>
      </c>
      <c r="D158" t="s">
        <v>11</v>
      </c>
      <c r="E158" t="s">
        <v>92</v>
      </c>
      <c r="F158" t="s">
        <v>96</v>
      </c>
      <c r="G158" s="1">
        <v>186.7371</v>
      </c>
      <c r="H158" s="1">
        <f t="shared" si="8"/>
        <v>211.01292299999997</v>
      </c>
      <c r="I158" s="1">
        <f t="shared" si="9"/>
        <v>298.77936</v>
      </c>
      <c r="J158" s="1">
        <f t="shared" si="10"/>
        <v>274.87701120000003</v>
      </c>
      <c r="K158" s="6">
        <f t="shared" si="11"/>
        <v>1.4720000000000002</v>
      </c>
      <c r="L158">
        <v>36</v>
      </c>
    </row>
    <row r="159" spans="1:12" x14ac:dyDescent="0.3">
      <c r="A159" t="s">
        <v>208</v>
      </c>
      <c r="B159" t="s">
        <v>206</v>
      </c>
      <c r="C159" t="s">
        <v>10</v>
      </c>
      <c r="D159" t="s">
        <v>16</v>
      </c>
      <c r="E159" t="s">
        <v>92</v>
      </c>
      <c r="F159" t="s">
        <v>93</v>
      </c>
      <c r="G159" s="1">
        <v>530.44454999999994</v>
      </c>
      <c r="H159" s="1">
        <f t="shared" si="8"/>
        <v>599.40234149999992</v>
      </c>
      <c r="I159" s="1">
        <f t="shared" si="9"/>
        <v>848.71127999999999</v>
      </c>
      <c r="J159" s="1">
        <f t="shared" si="10"/>
        <v>780.81437760000006</v>
      </c>
      <c r="K159" s="6">
        <f t="shared" si="11"/>
        <v>1.4720000000000002</v>
      </c>
      <c r="L159">
        <v>34</v>
      </c>
    </row>
    <row r="160" spans="1:12" x14ac:dyDescent="0.3">
      <c r="A160" t="s">
        <v>311</v>
      </c>
      <c r="B160" t="s">
        <v>308</v>
      </c>
      <c r="C160" t="s">
        <v>35</v>
      </c>
      <c r="D160" t="s">
        <v>11</v>
      </c>
      <c r="E160" t="s">
        <v>292</v>
      </c>
      <c r="F160" t="s">
        <v>302</v>
      </c>
      <c r="G160" s="1">
        <v>994.8377999999999</v>
      </c>
      <c r="H160" s="1">
        <f t="shared" si="8"/>
        <v>1124.1667139999997</v>
      </c>
      <c r="I160" s="1">
        <f t="shared" si="9"/>
        <v>1591.7404799999999</v>
      </c>
      <c r="J160" s="1">
        <f t="shared" si="10"/>
        <v>1464.4012416</v>
      </c>
      <c r="K160" s="6">
        <f t="shared" si="11"/>
        <v>1.4720000000000002</v>
      </c>
      <c r="L160">
        <v>34</v>
      </c>
    </row>
    <row r="161" spans="1:12" x14ac:dyDescent="0.3">
      <c r="A161" t="s">
        <v>344</v>
      </c>
      <c r="B161" t="s">
        <v>345</v>
      </c>
      <c r="C161" t="s">
        <v>74</v>
      </c>
      <c r="D161" t="s">
        <v>11</v>
      </c>
      <c r="E161" t="s">
        <v>292</v>
      </c>
      <c r="F161" t="s">
        <v>302</v>
      </c>
      <c r="G161" s="1">
        <v>386.77605</v>
      </c>
      <c r="H161" s="1">
        <f t="shared" si="8"/>
        <v>437.05693649999995</v>
      </c>
      <c r="I161" s="1">
        <f t="shared" si="9"/>
        <v>618.84168</v>
      </c>
      <c r="J161" s="1">
        <f t="shared" si="10"/>
        <v>569.33434560000001</v>
      </c>
      <c r="K161" s="6">
        <f t="shared" si="11"/>
        <v>1.472</v>
      </c>
      <c r="L161">
        <v>34</v>
      </c>
    </row>
    <row r="162" spans="1:12" x14ac:dyDescent="0.3">
      <c r="A162" t="s">
        <v>213</v>
      </c>
      <c r="B162" t="s">
        <v>214</v>
      </c>
      <c r="C162" t="s">
        <v>15</v>
      </c>
      <c r="D162" t="s">
        <v>16</v>
      </c>
      <c r="E162" t="s">
        <v>92</v>
      </c>
      <c r="F162" t="s">
        <v>93</v>
      </c>
      <c r="G162" s="1">
        <v>4886.8377</v>
      </c>
      <c r="H162" s="1">
        <f t="shared" si="8"/>
        <v>5522.1266009999999</v>
      </c>
      <c r="I162" s="1">
        <f t="shared" si="9"/>
        <v>7818.9403200000006</v>
      </c>
      <c r="J162" s="1">
        <f t="shared" si="10"/>
        <v>7193.4250944000005</v>
      </c>
      <c r="K162" s="6">
        <f t="shared" si="11"/>
        <v>1.4720000000000002</v>
      </c>
      <c r="L162">
        <v>33</v>
      </c>
    </row>
    <row r="163" spans="1:12" x14ac:dyDescent="0.3">
      <c r="A163" t="s">
        <v>269</v>
      </c>
      <c r="B163" t="s">
        <v>268</v>
      </c>
      <c r="C163" t="s">
        <v>10</v>
      </c>
      <c r="D163" t="s">
        <v>16</v>
      </c>
      <c r="E163" t="s">
        <v>92</v>
      </c>
      <c r="F163" t="s">
        <v>93</v>
      </c>
      <c r="G163" s="1">
        <v>3057.1250999999997</v>
      </c>
      <c r="H163" s="1">
        <f t="shared" si="8"/>
        <v>3454.5513629999996</v>
      </c>
      <c r="I163" s="1">
        <f t="shared" si="9"/>
        <v>4891.4001600000001</v>
      </c>
      <c r="J163" s="1">
        <f t="shared" si="10"/>
        <v>4500.0881472000001</v>
      </c>
      <c r="K163" s="6">
        <f t="shared" si="11"/>
        <v>1.4720000000000002</v>
      </c>
      <c r="L163">
        <v>33</v>
      </c>
    </row>
    <row r="164" spans="1:12" x14ac:dyDescent="0.3">
      <c r="A164" t="s">
        <v>351</v>
      </c>
      <c r="B164" t="s">
        <v>349</v>
      </c>
      <c r="C164" t="s">
        <v>67</v>
      </c>
      <c r="D164" t="s">
        <v>11</v>
      </c>
      <c r="E164" t="s">
        <v>292</v>
      </c>
      <c r="F164" t="s">
        <v>293</v>
      </c>
      <c r="G164" s="1">
        <v>521.94584999999995</v>
      </c>
      <c r="H164" s="1">
        <f t="shared" si="8"/>
        <v>589.79881049999995</v>
      </c>
      <c r="I164" s="1">
        <f t="shared" si="9"/>
        <v>835.11335999999994</v>
      </c>
      <c r="J164" s="1">
        <f t="shared" si="10"/>
        <v>768.30429119999997</v>
      </c>
      <c r="K164" s="6">
        <f t="shared" si="11"/>
        <v>1.472</v>
      </c>
      <c r="L164">
        <v>33</v>
      </c>
    </row>
    <row r="165" spans="1:12" x14ac:dyDescent="0.3">
      <c r="A165" t="s">
        <v>358</v>
      </c>
      <c r="B165" t="s">
        <v>349</v>
      </c>
      <c r="C165" t="s">
        <v>67</v>
      </c>
      <c r="D165" t="s">
        <v>11</v>
      </c>
      <c r="E165" t="s">
        <v>292</v>
      </c>
      <c r="F165" t="s">
        <v>293</v>
      </c>
      <c r="G165" s="1">
        <v>698.18205</v>
      </c>
      <c r="H165" s="1">
        <f t="shared" si="8"/>
        <v>788.94571649999989</v>
      </c>
      <c r="I165" s="1">
        <f t="shared" si="9"/>
        <v>1117.0912800000001</v>
      </c>
      <c r="J165" s="1">
        <f t="shared" si="10"/>
        <v>1027.7239776000001</v>
      </c>
      <c r="K165" s="6">
        <f t="shared" si="11"/>
        <v>1.4720000000000002</v>
      </c>
      <c r="L165">
        <v>33</v>
      </c>
    </row>
    <row r="166" spans="1:12" x14ac:dyDescent="0.3">
      <c r="A166" t="s">
        <v>234</v>
      </c>
      <c r="B166" t="s">
        <v>231</v>
      </c>
      <c r="C166" t="s">
        <v>15</v>
      </c>
      <c r="D166" t="s">
        <v>11</v>
      </c>
      <c r="E166" t="s">
        <v>92</v>
      </c>
      <c r="F166" t="s">
        <v>184</v>
      </c>
      <c r="G166" s="1">
        <v>192.15795</v>
      </c>
      <c r="H166" s="1">
        <f t="shared" si="8"/>
        <v>217.13848349999998</v>
      </c>
      <c r="I166" s="1">
        <f t="shared" si="9"/>
        <v>307.45272</v>
      </c>
      <c r="J166" s="1">
        <f t="shared" si="10"/>
        <v>282.85650240000001</v>
      </c>
      <c r="K166" s="6">
        <f t="shared" si="11"/>
        <v>1.472</v>
      </c>
      <c r="L166">
        <v>32</v>
      </c>
    </row>
    <row r="167" spans="1:12" x14ac:dyDescent="0.3">
      <c r="A167" t="s">
        <v>361</v>
      </c>
      <c r="B167" t="s">
        <v>362</v>
      </c>
      <c r="C167" t="s">
        <v>108</v>
      </c>
      <c r="D167" t="s">
        <v>11</v>
      </c>
      <c r="E167" t="s">
        <v>292</v>
      </c>
      <c r="F167" t="s">
        <v>293</v>
      </c>
      <c r="G167" s="1">
        <v>215.48145</v>
      </c>
      <c r="H167" s="1">
        <f t="shared" si="8"/>
        <v>243.49403849999996</v>
      </c>
      <c r="I167" s="1">
        <f t="shared" si="9"/>
        <v>344.77032000000003</v>
      </c>
      <c r="J167" s="1">
        <f t="shared" si="10"/>
        <v>317.18869440000003</v>
      </c>
      <c r="K167" s="6">
        <f t="shared" si="11"/>
        <v>1.4720000000000002</v>
      </c>
      <c r="L167">
        <v>32</v>
      </c>
    </row>
    <row r="168" spans="1:12" x14ac:dyDescent="0.3">
      <c r="A168" t="s">
        <v>70</v>
      </c>
      <c r="B168" t="s">
        <v>71</v>
      </c>
      <c r="C168" t="s">
        <v>10</v>
      </c>
      <c r="D168" t="s">
        <v>11</v>
      </c>
      <c r="E168" t="s">
        <v>32</v>
      </c>
      <c r="F168" t="s">
        <v>33</v>
      </c>
      <c r="G168" s="1">
        <v>350.19329999999997</v>
      </c>
      <c r="H168" s="1">
        <f t="shared" si="8"/>
        <v>395.7184289999999</v>
      </c>
      <c r="I168" s="1">
        <f t="shared" si="9"/>
        <v>560.30927999999994</v>
      </c>
      <c r="J168" s="1">
        <f t="shared" si="10"/>
        <v>515.48453759999995</v>
      </c>
      <c r="K168" s="6">
        <f t="shared" si="11"/>
        <v>1.472</v>
      </c>
      <c r="L168">
        <v>31</v>
      </c>
    </row>
    <row r="169" spans="1:12" x14ac:dyDescent="0.3">
      <c r="A169" t="s">
        <v>79</v>
      </c>
      <c r="B169" t="s">
        <v>80</v>
      </c>
      <c r="C169" t="s">
        <v>10</v>
      </c>
      <c r="D169" t="s">
        <v>11</v>
      </c>
      <c r="E169" t="s">
        <v>32</v>
      </c>
      <c r="F169" t="s">
        <v>81</v>
      </c>
      <c r="G169" s="1">
        <v>358.53224999999998</v>
      </c>
      <c r="H169" s="1">
        <f t="shared" si="8"/>
        <v>405.14144249999993</v>
      </c>
      <c r="I169" s="1">
        <f t="shared" si="9"/>
        <v>573.65160000000003</v>
      </c>
      <c r="J169" s="1">
        <f t="shared" si="10"/>
        <v>527.75947200000007</v>
      </c>
      <c r="K169" s="6">
        <f t="shared" si="11"/>
        <v>1.4720000000000002</v>
      </c>
      <c r="L169">
        <v>31</v>
      </c>
    </row>
    <row r="170" spans="1:12" x14ac:dyDescent="0.3">
      <c r="A170" t="s">
        <v>179</v>
      </c>
      <c r="B170" t="s">
        <v>176</v>
      </c>
      <c r="C170" t="s">
        <v>10</v>
      </c>
      <c r="D170" t="s">
        <v>11</v>
      </c>
      <c r="E170" t="s">
        <v>92</v>
      </c>
      <c r="F170" t="s">
        <v>93</v>
      </c>
      <c r="G170" s="1">
        <v>1809.8290499999998</v>
      </c>
      <c r="H170" s="1">
        <f t="shared" si="8"/>
        <v>2045.1068264999997</v>
      </c>
      <c r="I170" s="1">
        <f t="shared" si="9"/>
        <v>2895.7264799999998</v>
      </c>
      <c r="J170" s="1">
        <f t="shared" si="10"/>
        <v>2664.0683616000001</v>
      </c>
      <c r="K170" s="6">
        <f t="shared" si="11"/>
        <v>1.4720000000000002</v>
      </c>
      <c r="L170">
        <v>31</v>
      </c>
    </row>
    <row r="171" spans="1:12" x14ac:dyDescent="0.3">
      <c r="A171" t="s">
        <v>180</v>
      </c>
      <c r="B171" t="s">
        <v>176</v>
      </c>
      <c r="C171" t="s">
        <v>10</v>
      </c>
      <c r="D171" t="s">
        <v>11</v>
      </c>
      <c r="E171" t="s">
        <v>92</v>
      </c>
      <c r="F171" t="s">
        <v>93</v>
      </c>
      <c r="G171" s="1">
        <v>1140.5085000000001</v>
      </c>
      <c r="H171" s="1">
        <f t="shared" si="8"/>
        <v>1288.7746050000001</v>
      </c>
      <c r="I171" s="1">
        <f t="shared" si="9"/>
        <v>1824.8136000000004</v>
      </c>
      <c r="J171" s="1">
        <f t="shared" si="10"/>
        <v>1678.8285120000005</v>
      </c>
      <c r="K171" s="6">
        <f t="shared" si="11"/>
        <v>1.4720000000000002</v>
      </c>
      <c r="L171">
        <v>31</v>
      </c>
    </row>
    <row r="172" spans="1:12" x14ac:dyDescent="0.3">
      <c r="A172" t="s">
        <v>211</v>
      </c>
      <c r="B172" t="s">
        <v>210</v>
      </c>
      <c r="C172" t="s">
        <v>10</v>
      </c>
      <c r="D172" t="s">
        <v>11</v>
      </c>
      <c r="E172" t="s">
        <v>92</v>
      </c>
      <c r="F172" t="s">
        <v>93</v>
      </c>
      <c r="G172" s="1">
        <v>786.82199999999989</v>
      </c>
      <c r="H172" s="1">
        <f t="shared" si="8"/>
        <v>889.10885999999982</v>
      </c>
      <c r="I172" s="1">
        <f t="shared" si="9"/>
        <v>1258.9151999999999</v>
      </c>
      <c r="J172" s="1">
        <f t="shared" si="10"/>
        <v>1158.201984</v>
      </c>
      <c r="K172" s="6">
        <f t="shared" si="11"/>
        <v>1.4720000000000002</v>
      </c>
      <c r="L172">
        <v>31</v>
      </c>
    </row>
    <row r="173" spans="1:12" x14ac:dyDescent="0.3">
      <c r="A173" t="s">
        <v>256</v>
      </c>
      <c r="B173" t="s">
        <v>252</v>
      </c>
      <c r="C173" t="s">
        <v>15</v>
      </c>
      <c r="D173" t="s">
        <v>11</v>
      </c>
      <c r="E173" t="s">
        <v>92</v>
      </c>
      <c r="F173" t="s">
        <v>93</v>
      </c>
      <c r="G173" s="1">
        <v>749.34465</v>
      </c>
      <c r="H173" s="1">
        <f t="shared" si="8"/>
        <v>846.75945449999995</v>
      </c>
      <c r="I173" s="1">
        <f t="shared" si="9"/>
        <v>1198.95144</v>
      </c>
      <c r="J173" s="1">
        <f t="shared" si="10"/>
        <v>1103.0353248000001</v>
      </c>
      <c r="K173" s="6">
        <f t="shared" si="11"/>
        <v>1.4720000000000002</v>
      </c>
      <c r="L173">
        <v>30</v>
      </c>
    </row>
    <row r="174" spans="1:12" x14ac:dyDescent="0.3">
      <c r="A174" t="s">
        <v>281</v>
      </c>
      <c r="B174" t="s">
        <v>282</v>
      </c>
      <c r="C174" t="s">
        <v>15</v>
      </c>
      <c r="D174" t="s">
        <v>11</v>
      </c>
      <c r="E174" t="s">
        <v>92</v>
      </c>
      <c r="F174" t="s">
        <v>93</v>
      </c>
      <c r="G174" s="1">
        <v>657.81854999999996</v>
      </c>
      <c r="H174" s="1">
        <f t="shared" si="8"/>
        <v>743.33496149999985</v>
      </c>
      <c r="I174" s="1">
        <f t="shared" si="9"/>
        <v>1052.5096799999999</v>
      </c>
      <c r="J174" s="1">
        <f t="shared" si="10"/>
        <v>968.30890559999989</v>
      </c>
      <c r="K174" s="6">
        <f t="shared" si="11"/>
        <v>1.472</v>
      </c>
      <c r="L174">
        <v>30</v>
      </c>
    </row>
    <row r="175" spans="1:12" x14ac:dyDescent="0.3">
      <c r="A175" t="s">
        <v>309</v>
      </c>
      <c r="B175" t="s">
        <v>308</v>
      </c>
      <c r="C175" t="s">
        <v>35</v>
      </c>
      <c r="D175" t="s">
        <v>11</v>
      </c>
      <c r="E175" t="s">
        <v>292</v>
      </c>
      <c r="F175" t="s">
        <v>302</v>
      </c>
      <c r="G175" s="1">
        <v>522.10559999999998</v>
      </c>
      <c r="H175" s="1">
        <f t="shared" si="8"/>
        <v>589.9793279999999</v>
      </c>
      <c r="I175" s="1">
        <f t="shared" si="9"/>
        <v>835.36896000000002</v>
      </c>
      <c r="J175" s="1">
        <f t="shared" si="10"/>
        <v>768.53944320000005</v>
      </c>
      <c r="K175" s="6">
        <f t="shared" si="11"/>
        <v>1.4720000000000002</v>
      </c>
      <c r="L175">
        <v>29</v>
      </c>
    </row>
    <row r="176" spans="1:12" x14ac:dyDescent="0.3">
      <c r="A176" t="s">
        <v>246</v>
      </c>
      <c r="B176" t="s">
        <v>247</v>
      </c>
      <c r="C176" t="s">
        <v>15</v>
      </c>
      <c r="D176" t="s">
        <v>16</v>
      </c>
      <c r="E176" t="s">
        <v>92</v>
      </c>
      <c r="F176" t="s">
        <v>93</v>
      </c>
      <c r="G176" s="1">
        <v>286.19745</v>
      </c>
      <c r="H176" s="1">
        <f t="shared" si="8"/>
        <v>323.40311849999995</v>
      </c>
      <c r="I176" s="1">
        <f t="shared" si="9"/>
        <v>457.91592000000003</v>
      </c>
      <c r="J176" s="1">
        <f t="shared" si="10"/>
        <v>421.28264640000003</v>
      </c>
      <c r="K176" s="6">
        <f t="shared" si="11"/>
        <v>1.4720000000000002</v>
      </c>
      <c r="L176">
        <v>28</v>
      </c>
    </row>
    <row r="177" spans="1:12" x14ac:dyDescent="0.3">
      <c r="A177" t="s">
        <v>125</v>
      </c>
      <c r="B177" t="s">
        <v>126</v>
      </c>
      <c r="C177" t="s">
        <v>67</v>
      </c>
      <c r="D177" t="s">
        <v>11</v>
      </c>
      <c r="E177" t="s">
        <v>92</v>
      </c>
      <c r="F177" t="s">
        <v>127</v>
      </c>
      <c r="G177" s="1">
        <v>543.38430000000005</v>
      </c>
      <c r="H177" s="1">
        <f t="shared" si="8"/>
        <v>614.02425900000003</v>
      </c>
      <c r="I177" s="1">
        <f t="shared" si="9"/>
        <v>869.41488000000015</v>
      </c>
      <c r="J177" s="1">
        <f t="shared" si="10"/>
        <v>799.8616896000002</v>
      </c>
      <c r="K177" s="6">
        <f t="shared" si="11"/>
        <v>1.4720000000000002</v>
      </c>
      <c r="L177">
        <v>27</v>
      </c>
    </row>
    <row r="178" spans="1:12" x14ac:dyDescent="0.3">
      <c r="A178" t="s">
        <v>177</v>
      </c>
      <c r="B178" t="s">
        <v>176</v>
      </c>
      <c r="C178" t="s">
        <v>10</v>
      </c>
      <c r="D178" t="s">
        <v>11</v>
      </c>
      <c r="E178" t="s">
        <v>92</v>
      </c>
      <c r="F178" t="s">
        <v>93</v>
      </c>
      <c r="G178" s="1">
        <v>647.81819999999993</v>
      </c>
      <c r="H178" s="1">
        <f t="shared" si="8"/>
        <v>732.03456599999981</v>
      </c>
      <c r="I178" s="1">
        <f t="shared" si="9"/>
        <v>1036.5091199999999</v>
      </c>
      <c r="J178" s="1">
        <f t="shared" si="10"/>
        <v>953.58839039999998</v>
      </c>
      <c r="K178" s="6">
        <f t="shared" si="11"/>
        <v>1.4720000000000002</v>
      </c>
      <c r="L178">
        <v>27</v>
      </c>
    </row>
    <row r="179" spans="1:12" x14ac:dyDescent="0.3">
      <c r="A179" t="s">
        <v>270</v>
      </c>
      <c r="B179" t="s">
        <v>268</v>
      </c>
      <c r="C179" t="s">
        <v>15</v>
      </c>
      <c r="D179" t="s">
        <v>16</v>
      </c>
      <c r="E179" t="s">
        <v>92</v>
      </c>
      <c r="F179" t="s">
        <v>93</v>
      </c>
      <c r="G179" s="1">
        <v>315.71924999999999</v>
      </c>
      <c r="H179" s="1">
        <f t="shared" si="8"/>
        <v>356.76275249999998</v>
      </c>
      <c r="I179" s="1">
        <f t="shared" si="9"/>
        <v>505.1508</v>
      </c>
      <c r="J179" s="1">
        <f t="shared" si="10"/>
        <v>464.73873600000002</v>
      </c>
      <c r="K179" s="6">
        <f t="shared" si="11"/>
        <v>1.4720000000000002</v>
      </c>
      <c r="L179">
        <v>27</v>
      </c>
    </row>
    <row r="180" spans="1:12" x14ac:dyDescent="0.3">
      <c r="A180" t="s">
        <v>175</v>
      </c>
      <c r="B180" t="s">
        <v>176</v>
      </c>
      <c r="C180" t="s">
        <v>10</v>
      </c>
      <c r="D180" t="s">
        <v>11</v>
      </c>
      <c r="E180" t="s">
        <v>92</v>
      </c>
      <c r="F180" t="s">
        <v>93</v>
      </c>
      <c r="G180" s="1">
        <v>2683.6615499999998</v>
      </c>
      <c r="H180" s="1">
        <f t="shared" si="8"/>
        <v>3032.5375514999996</v>
      </c>
      <c r="I180" s="1">
        <f t="shared" si="9"/>
        <v>4293.8584799999999</v>
      </c>
      <c r="J180" s="1">
        <f t="shared" si="10"/>
        <v>3950.3498015999999</v>
      </c>
      <c r="K180" s="6">
        <f t="shared" si="11"/>
        <v>1.472</v>
      </c>
      <c r="L180">
        <v>26</v>
      </c>
    </row>
    <row r="181" spans="1:12" x14ac:dyDescent="0.3">
      <c r="A181" t="s">
        <v>204</v>
      </c>
      <c r="B181" t="s">
        <v>199</v>
      </c>
      <c r="C181" t="s">
        <v>15</v>
      </c>
      <c r="D181" t="s">
        <v>11</v>
      </c>
      <c r="E181" t="s">
        <v>92</v>
      </c>
      <c r="F181" t="s">
        <v>96</v>
      </c>
      <c r="G181" s="1">
        <v>380.09849999999994</v>
      </c>
      <c r="H181" s="1">
        <f t="shared" si="8"/>
        <v>429.51130499999988</v>
      </c>
      <c r="I181" s="1">
        <f t="shared" si="9"/>
        <v>608.15759999999989</v>
      </c>
      <c r="J181" s="1">
        <f t="shared" si="10"/>
        <v>559.5049919999999</v>
      </c>
      <c r="K181" s="6">
        <f t="shared" si="11"/>
        <v>1.472</v>
      </c>
      <c r="L181">
        <v>26</v>
      </c>
    </row>
    <row r="182" spans="1:12" x14ac:dyDescent="0.3">
      <c r="A182" t="s">
        <v>278</v>
      </c>
      <c r="B182" t="s">
        <v>279</v>
      </c>
      <c r="C182" t="s">
        <v>15</v>
      </c>
      <c r="D182" t="s">
        <v>16</v>
      </c>
      <c r="E182" t="s">
        <v>92</v>
      </c>
      <c r="F182" t="s">
        <v>93</v>
      </c>
      <c r="G182" s="1">
        <v>170.43195</v>
      </c>
      <c r="H182" s="1">
        <f t="shared" si="8"/>
        <v>192.58810349999999</v>
      </c>
      <c r="I182" s="1">
        <f t="shared" si="9"/>
        <v>272.69112000000001</v>
      </c>
      <c r="J182" s="1">
        <f t="shared" si="10"/>
        <v>250.87583040000001</v>
      </c>
      <c r="K182" s="6">
        <f t="shared" si="11"/>
        <v>1.472</v>
      </c>
      <c r="L182">
        <v>26</v>
      </c>
    </row>
    <row r="183" spans="1:12" x14ac:dyDescent="0.3">
      <c r="A183" t="s">
        <v>395</v>
      </c>
      <c r="B183" t="s">
        <v>394</v>
      </c>
      <c r="C183" t="s">
        <v>108</v>
      </c>
      <c r="D183" t="s">
        <v>163</v>
      </c>
      <c r="E183" t="s">
        <v>378</v>
      </c>
      <c r="F183" t="s">
        <v>382</v>
      </c>
      <c r="G183" s="1">
        <v>187.24829999999997</v>
      </c>
      <c r="H183" s="1">
        <f t="shared" si="8"/>
        <v>211.59057899999993</v>
      </c>
      <c r="I183" s="1">
        <f t="shared" si="9"/>
        <v>299.59727999999996</v>
      </c>
      <c r="J183" s="1">
        <f t="shared" si="10"/>
        <v>275.62949759999998</v>
      </c>
      <c r="K183" s="6">
        <f t="shared" si="11"/>
        <v>1.4720000000000002</v>
      </c>
      <c r="L183">
        <v>26</v>
      </c>
    </row>
    <row r="184" spans="1:12" x14ac:dyDescent="0.3">
      <c r="A184" t="s">
        <v>59</v>
      </c>
      <c r="B184" t="s">
        <v>60</v>
      </c>
      <c r="C184" t="s">
        <v>61</v>
      </c>
      <c r="D184" t="s">
        <v>62</v>
      </c>
      <c r="E184" t="s">
        <v>32</v>
      </c>
      <c r="F184" t="s">
        <v>63</v>
      </c>
      <c r="G184" s="1">
        <v>719.62049999999999</v>
      </c>
      <c r="H184" s="1">
        <f t="shared" si="8"/>
        <v>813.17116499999986</v>
      </c>
      <c r="I184" s="1">
        <f t="shared" si="9"/>
        <v>1151.3928000000001</v>
      </c>
      <c r="J184" s="1">
        <f t="shared" si="10"/>
        <v>1059.2813760000001</v>
      </c>
      <c r="K184" s="6">
        <f t="shared" si="11"/>
        <v>1.4720000000000002</v>
      </c>
      <c r="L184">
        <v>25</v>
      </c>
    </row>
    <row r="185" spans="1:12" x14ac:dyDescent="0.3">
      <c r="A185" t="s">
        <v>216</v>
      </c>
      <c r="B185" t="s">
        <v>214</v>
      </c>
      <c r="C185" t="s">
        <v>15</v>
      </c>
      <c r="D185" t="s">
        <v>16</v>
      </c>
      <c r="E185" t="s">
        <v>92</v>
      </c>
      <c r="F185" t="s">
        <v>93</v>
      </c>
      <c r="G185" s="1">
        <v>6398.3922000000002</v>
      </c>
      <c r="H185" s="1">
        <f t="shared" si="8"/>
        <v>7230.1831859999993</v>
      </c>
      <c r="I185" s="1">
        <f t="shared" si="9"/>
        <v>10237.427520000001</v>
      </c>
      <c r="J185" s="1">
        <f t="shared" si="10"/>
        <v>9418.4333184000006</v>
      </c>
      <c r="K185" s="6">
        <f t="shared" si="11"/>
        <v>1.472</v>
      </c>
      <c r="L185">
        <v>25</v>
      </c>
    </row>
    <row r="186" spans="1:12" x14ac:dyDescent="0.3">
      <c r="A186" t="s">
        <v>298</v>
      </c>
      <c r="B186" t="s">
        <v>299</v>
      </c>
      <c r="C186" t="s">
        <v>35</v>
      </c>
      <c r="D186" t="s">
        <v>11</v>
      </c>
      <c r="E186" t="s">
        <v>292</v>
      </c>
      <c r="F186" t="s">
        <v>293</v>
      </c>
      <c r="G186" s="1">
        <v>174.60674999999998</v>
      </c>
      <c r="H186" s="1">
        <f t="shared" si="8"/>
        <v>197.30562749999996</v>
      </c>
      <c r="I186" s="1">
        <f t="shared" si="9"/>
        <v>279.37079999999997</v>
      </c>
      <c r="J186" s="1">
        <f t="shared" si="10"/>
        <v>257.02113600000001</v>
      </c>
      <c r="K186" s="6">
        <f t="shared" si="11"/>
        <v>1.4720000000000002</v>
      </c>
      <c r="L186">
        <v>25</v>
      </c>
    </row>
    <row r="187" spans="1:12" x14ac:dyDescent="0.3">
      <c r="A187" t="s">
        <v>102</v>
      </c>
      <c r="B187" t="s">
        <v>103</v>
      </c>
      <c r="C187" t="s">
        <v>15</v>
      </c>
      <c r="D187" t="s">
        <v>11</v>
      </c>
      <c r="E187" t="s">
        <v>92</v>
      </c>
      <c r="F187" t="s">
        <v>93</v>
      </c>
      <c r="G187" s="1">
        <v>191.02904999999998</v>
      </c>
      <c r="H187" s="1">
        <f t="shared" si="8"/>
        <v>215.86282649999995</v>
      </c>
      <c r="I187" s="1">
        <f t="shared" si="9"/>
        <v>305.64648</v>
      </c>
      <c r="J187" s="1">
        <f t="shared" si="10"/>
        <v>281.19476159999999</v>
      </c>
      <c r="K187" s="6">
        <f t="shared" si="11"/>
        <v>1.472</v>
      </c>
      <c r="L187">
        <v>24</v>
      </c>
    </row>
    <row r="188" spans="1:12" x14ac:dyDescent="0.3">
      <c r="A188" t="s">
        <v>263</v>
      </c>
      <c r="B188" t="s">
        <v>260</v>
      </c>
      <c r="C188" t="s">
        <v>10</v>
      </c>
      <c r="D188" t="s">
        <v>11</v>
      </c>
      <c r="E188" t="s">
        <v>92</v>
      </c>
      <c r="F188" t="s">
        <v>184</v>
      </c>
      <c r="G188" s="1">
        <v>318.0729</v>
      </c>
      <c r="H188" s="1">
        <f t="shared" si="8"/>
        <v>359.42237699999998</v>
      </c>
      <c r="I188" s="1">
        <f t="shared" si="9"/>
        <v>508.91664000000003</v>
      </c>
      <c r="J188" s="1">
        <f t="shared" si="10"/>
        <v>468.20330880000006</v>
      </c>
      <c r="K188" s="6">
        <f t="shared" si="11"/>
        <v>1.4720000000000002</v>
      </c>
      <c r="L188">
        <v>24</v>
      </c>
    </row>
    <row r="189" spans="1:12" x14ac:dyDescent="0.3">
      <c r="A189" t="s">
        <v>274</v>
      </c>
      <c r="B189" t="s">
        <v>275</v>
      </c>
      <c r="C189" t="s">
        <v>108</v>
      </c>
      <c r="D189" t="s">
        <v>109</v>
      </c>
      <c r="E189" t="s">
        <v>92</v>
      </c>
      <c r="F189" t="s">
        <v>109</v>
      </c>
      <c r="G189" s="1">
        <v>580.27589999999998</v>
      </c>
      <c r="H189" s="1">
        <f t="shared" si="8"/>
        <v>655.7117669999999</v>
      </c>
      <c r="I189" s="1">
        <f t="shared" si="9"/>
        <v>928.44144000000006</v>
      </c>
      <c r="J189" s="1">
        <f t="shared" si="10"/>
        <v>854.16612480000003</v>
      </c>
      <c r="K189" s="6">
        <f t="shared" si="11"/>
        <v>1.4720000000000002</v>
      </c>
      <c r="L189">
        <v>24</v>
      </c>
    </row>
    <row r="190" spans="1:12" x14ac:dyDescent="0.3">
      <c r="A190" t="s">
        <v>307</v>
      </c>
      <c r="B190" t="s">
        <v>308</v>
      </c>
      <c r="C190" t="s">
        <v>67</v>
      </c>
      <c r="D190" t="s">
        <v>11</v>
      </c>
      <c r="E190" t="s">
        <v>292</v>
      </c>
      <c r="F190" t="s">
        <v>302</v>
      </c>
      <c r="G190" s="1">
        <v>436.14944999999994</v>
      </c>
      <c r="H190" s="1">
        <f t="shared" si="8"/>
        <v>492.8488784999999</v>
      </c>
      <c r="I190" s="1">
        <f t="shared" si="9"/>
        <v>697.83911999999998</v>
      </c>
      <c r="J190" s="1">
        <f t="shared" si="10"/>
        <v>642.01199040000006</v>
      </c>
      <c r="K190" s="6">
        <f t="shared" si="11"/>
        <v>1.4720000000000004</v>
      </c>
      <c r="L190">
        <v>24</v>
      </c>
    </row>
    <row r="191" spans="1:12" x14ac:dyDescent="0.3">
      <c r="A191" t="s">
        <v>370</v>
      </c>
      <c r="B191" t="s">
        <v>364</v>
      </c>
      <c r="C191" t="s">
        <v>10</v>
      </c>
      <c r="D191" t="s">
        <v>11</v>
      </c>
      <c r="E191" t="s">
        <v>292</v>
      </c>
      <c r="F191" t="s">
        <v>302</v>
      </c>
      <c r="G191" s="1">
        <v>183.02024999999998</v>
      </c>
      <c r="H191" s="1">
        <f t="shared" si="8"/>
        <v>206.81288249999994</v>
      </c>
      <c r="I191" s="1">
        <f t="shared" si="9"/>
        <v>292.83239999999995</v>
      </c>
      <c r="J191" s="1">
        <f t="shared" si="10"/>
        <v>269.40580799999998</v>
      </c>
      <c r="K191" s="6">
        <f t="shared" si="11"/>
        <v>1.472</v>
      </c>
      <c r="L191">
        <v>24</v>
      </c>
    </row>
    <row r="192" spans="1:12" x14ac:dyDescent="0.3">
      <c r="A192" t="s">
        <v>261</v>
      </c>
      <c r="B192" t="s">
        <v>260</v>
      </c>
      <c r="C192" t="s">
        <v>15</v>
      </c>
      <c r="D192" t="s">
        <v>16</v>
      </c>
      <c r="E192" t="s">
        <v>92</v>
      </c>
      <c r="F192" t="s">
        <v>184</v>
      </c>
      <c r="G192" s="1">
        <v>396.44624999999996</v>
      </c>
      <c r="H192" s="1">
        <f t="shared" si="8"/>
        <v>447.98426249999994</v>
      </c>
      <c r="I192" s="1">
        <f t="shared" si="9"/>
        <v>634.31399999999996</v>
      </c>
      <c r="J192" s="1">
        <f t="shared" si="10"/>
        <v>583.56888000000004</v>
      </c>
      <c r="K192" s="6">
        <f t="shared" si="11"/>
        <v>1.4720000000000002</v>
      </c>
      <c r="L192">
        <v>23</v>
      </c>
    </row>
    <row r="193" spans="1:12" x14ac:dyDescent="0.3">
      <c r="A193" t="s">
        <v>332</v>
      </c>
      <c r="B193" t="s">
        <v>330</v>
      </c>
      <c r="C193" t="s">
        <v>67</v>
      </c>
      <c r="D193" t="s">
        <v>11</v>
      </c>
      <c r="E193" t="s">
        <v>292</v>
      </c>
      <c r="F193" t="s">
        <v>293</v>
      </c>
      <c r="G193" s="1">
        <v>805.86419999999987</v>
      </c>
      <c r="H193" s="1">
        <f t="shared" si="8"/>
        <v>910.62654599999973</v>
      </c>
      <c r="I193" s="1">
        <f t="shared" si="9"/>
        <v>1289.3827199999998</v>
      </c>
      <c r="J193" s="1">
        <f t="shared" si="10"/>
        <v>1186.2321023999998</v>
      </c>
      <c r="K193" s="6">
        <f t="shared" si="11"/>
        <v>1.472</v>
      </c>
      <c r="L193">
        <v>23</v>
      </c>
    </row>
    <row r="194" spans="1:12" x14ac:dyDescent="0.3">
      <c r="A194" t="s">
        <v>27</v>
      </c>
      <c r="B194" t="s">
        <v>18</v>
      </c>
      <c r="C194" t="s">
        <v>10</v>
      </c>
      <c r="D194" t="s">
        <v>11</v>
      </c>
      <c r="E194" t="s">
        <v>19</v>
      </c>
      <c r="F194" t="s">
        <v>20</v>
      </c>
      <c r="G194" s="1">
        <v>397.88400000000001</v>
      </c>
      <c r="H194" s="1">
        <f t="shared" si="8"/>
        <v>449.60891999999996</v>
      </c>
      <c r="I194" s="1">
        <f t="shared" si="9"/>
        <v>636.61440000000005</v>
      </c>
      <c r="J194" s="1">
        <f t="shared" si="10"/>
        <v>585.68524800000012</v>
      </c>
      <c r="K194" s="6">
        <f t="shared" si="11"/>
        <v>1.4720000000000002</v>
      </c>
      <c r="L194">
        <v>22</v>
      </c>
    </row>
    <row r="195" spans="1:12" x14ac:dyDescent="0.3">
      <c r="A195" t="s">
        <v>46</v>
      </c>
      <c r="B195" t="s">
        <v>39</v>
      </c>
      <c r="C195" t="s">
        <v>47</v>
      </c>
      <c r="D195" t="s">
        <v>11</v>
      </c>
      <c r="E195" t="s">
        <v>32</v>
      </c>
      <c r="F195" t="s">
        <v>41</v>
      </c>
      <c r="G195" s="1">
        <v>658.34039999999993</v>
      </c>
      <c r="H195" s="1">
        <f t="shared" ref="H195:H258" si="12">G195*1.13</f>
        <v>743.92465199999981</v>
      </c>
      <c r="I195" s="1">
        <f t="shared" ref="I195:I258" si="13">G195*1.6</f>
        <v>1053.34464</v>
      </c>
      <c r="J195" s="1">
        <f t="shared" ref="J195:J258" si="14">I195*0.92</f>
        <v>969.07706880000012</v>
      </c>
      <c r="K195" s="6">
        <f t="shared" ref="K195:K258" si="15">J195/G195</f>
        <v>1.4720000000000004</v>
      </c>
      <c r="L195">
        <v>22</v>
      </c>
    </row>
    <row r="196" spans="1:12" x14ac:dyDescent="0.3">
      <c r="A196" t="s">
        <v>52</v>
      </c>
      <c r="B196" t="s">
        <v>39</v>
      </c>
      <c r="C196" t="s">
        <v>53</v>
      </c>
      <c r="D196" t="s">
        <v>11</v>
      </c>
      <c r="E196" t="s">
        <v>32</v>
      </c>
      <c r="F196" t="s">
        <v>41</v>
      </c>
      <c r="G196" s="1">
        <v>954.12284999999997</v>
      </c>
      <c r="H196" s="1">
        <f t="shared" si="12"/>
        <v>1078.1588204999998</v>
      </c>
      <c r="I196" s="1">
        <f t="shared" si="13"/>
        <v>1526.59656</v>
      </c>
      <c r="J196" s="1">
        <f t="shared" si="14"/>
        <v>1404.4688352000001</v>
      </c>
      <c r="K196" s="6">
        <f t="shared" si="15"/>
        <v>1.4720000000000002</v>
      </c>
      <c r="L196">
        <v>22</v>
      </c>
    </row>
    <row r="197" spans="1:12" x14ac:dyDescent="0.3">
      <c r="A197" t="s">
        <v>82</v>
      </c>
      <c r="B197" t="s">
        <v>80</v>
      </c>
      <c r="C197" t="s">
        <v>15</v>
      </c>
      <c r="D197" t="s">
        <v>11</v>
      </c>
      <c r="E197" t="s">
        <v>32</v>
      </c>
      <c r="F197" t="s">
        <v>81</v>
      </c>
      <c r="G197" s="1">
        <v>280.49969999999996</v>
      </c>
      <c r="H197" s="1">
        <f t="shared" si="12"/>
        <v>316.96466099999992</v>
      </c>
      <c r="I197" s="1">
        <f t="shared" si="13"/>
        <v>448.79951999999997</v>
      </c>
      <c r="J197" s="1">
        <f t="shared" si="14"/>
        <v>412.89555839999997</v>
      </c>
      <c r="K197" s="6">
        <f t="shared" si="15"/>
        <v>1.4720000000000002</v>
      </c>
      <c r="L197">
        <v>22</v>
      </c>
    </row>
    <row r="198" spans="1:12" x14ac:dyDescent="0.3">
      <c r="A198" t="s">
        <v>51</v>
      </c>
      <c r="B198" t="s">
        <v>39</v>
      </c>
      <c r="C198" t="s">
        <v>50</v>
      </c>
      <c r="D198" t="s">
        <v>16</v>
      </c>
      <c r="E198" t="s">
        <v>32</v>
      </c>
      <c r="F198" t="s">
        <v>41</v>
      </c>
      <c r="G198" s="1">
        <v>812.19029999999998</v>
      </c>
      <c r="H198" s="1">
        <f t="shared" si="12"/>
        <v>917.77503899999988</v>
      </c>
      <c r="I198" s="1">
        <f t="shared" si="13"/>
        <v>1299.5044800000001</v>
      </c>
      <c r="J198" s="1">
        <f t="shared" si="14"/>
        <v>1195.5441216000002</v>
      </c>
      <c r="K198" s="6">
        <f t="shared" si="15"/>
        <v>1.4720000000000002</v>
      </c>
      <c r="L198">
        <v>21</v>
      </c>
    </row>
    <row r="199" spans="1:12" x14ac:dyDescent="0.3">
      <c r="A199" t="s">
        <v>133</v>
      </c>
      <c r="B199" t="s">
        <v>129</v>
      </c>
      <c r="C199" t="s">
        <v>15</v>
      </c>
      <c r="D199" t="s">
        <v>11</v>
      </c>
      <c r="E199" t="s">
        <v>92</v>
      </c>
      <c r="F199" t="s">
        <v>93</v>
      </c>
      <c r="G199" s="1">
        <v>762.81689999999992</v>
      </c>
      <c r="H199" s="1">
        <f t="shared" si="12"/>
        <v>861.98309699999982</v>
      </c>
      <c r="I199" s="1">
        <f t="shared" si="13"/>
        <v>1220.50704</v>
      </c>
      <c r="J199" s="1">
        <f t="shared" si="14"/>
        <v>1122.8664768000001</v>
      </c>
      <c r="K199" s="6">
        <f t="shared" si="15"/>
        <v>1.4720000000000002</v>
      </c>
      <c r="L199">
        <v>21</v>
      </c>
    </row>
    <row r="200" spans="1:12" x14ac:dyDescent="0.3">
      <c r="A200" t="s">
        <v>181</v>
      </c>
      <c r="B200" t="s">
        <v>176</v>
      </c>
      <c r="C200" t="s">
        <v>10</v>
      </c>
      <c r="D200" t="s">
        <v>11</v>
      </c>
      <c r="E200" t="s">
        <v>92</v>
      </c>
      <c r="F200" t="s">
        <v>93</v>
      </c>
      <c r="G200" s="1">
        <v>1066.1502</v>
      </c>
      <c r="H200" s="1">
        <f t="shared" si="12"/>
        <v>1204.749726</v>
      </c>
      <c r="I200" s="1">
        <f t="shared" si="13"/>
        <v>1705.8403200000002</v>
      </c>
      <c r="J200" s="1">
        <f t="shared" si="14"/>
        <v>1569.3730944000004</v>
      </c>
      <c r="K200" s="6">
        <f t="shared" si="15"/>
        <v>1.4720000000000002</v>
      </c>
      <c r="L200">
        <v>21</v>
      </c>
    </row>
    <row r="201" spans="1:12" x14ac:dyDescent="0.3">
      <c r="A201" t="s">
        <v>180</v>
      </c>
      <c r="B201" t="s">
        <v>210</v>
      </c>
      <c r="C201" t="s">
        <v>15</v>
      </c>
      <c r="D201" t="s">
        <v>11</v>
      </c>
      <c r="E201" t="s">
        <v>92</v>
      </c>
      <c r="F201" t="s">
        <v>93</v>
      </c>
      <c r="G201" s="1">
        <v>1852.79115</v>
      </c>
      <c r="H201" s="1">
        <f t="shared" si="12"/>
        <v>2093.6539994999998</v>
      </c>
      <c r="I201" s="1">
        <f t="shared" si="13"/>
        <v>2964.4658400000003</v>
      </c>
      <c r="J201" s="1">
        <f t="shared" si="14"/>
        <v>2727.3085728000005</v>
      </c>
      <c r="K201" s="6">
        <f t="shared" si="15"/>
        <v>1.4720000000000002</v>
      </c>
      <c r="L201">
        <v>21</v>
      </c>
    </row>
    <row r="202" spans="1:12" x14ac:dyDescent="0.3">
      <c r="A202" t="s">
        <v>266</v>
      </c>
      <c r="B202" t="s">
        <v>260</v>
      </c>
      <c r="C202" t="s">
        <v>67</v>
      </c>
      <c r="D202" t="s">
        <v>11</v>
      </c>
      <c r="E202" t="s">
        <v>92</v>
      </c>
      <c r="F202" t="s">
        <v>184</v>
      </c>
      <c r="G202" s="1">
        <v>329.92635000000001</v>
      </c>
      <c r="H202" s="1">
        <f t="shared" si="12"/>
        <v>372.81677550000001</v>
      </c>
      <c r="I202" s="1">
        <f t="shared" si="13"/>
        <v>527.88216</v>
      </c>
      <c r="J202" s="1">
        <f t="shared" si="14"/>
        <v>485.65158719999999</v>
      </c>
      <c r="K202" s="6">
        <f t="shared" si="15"/>
        <v>1.472</v>
      </c>
      <c r="L202">
        <v>21</v>
      </c>
    </row>
    <row r="203" spans="1:12" x14ac:dyDescent="0.3">
      <c r="A203" t="s">
        <v>333</v>
      </c>
      <c r="B203" t="s">
        <v>330</v>
      </c>
      <c r="C203" t="s">
        <v>10</v>
      </c>
      <c r="D203" t="s">
        <v>11</v>
      </c>
      <c r="E203" t="s">
        <v>292</v>
      </c>
      <c r="F203" t="s">
        <v>293</v>
      </c>
      <c r="G203" s="1">
        <v>310.94805000000002</v>
      </c>
      <c r="H203" s="1">
        <f t="shared" si="12"/>
        <v>351.37129649999997</v>
      </c>
      <c r="I203" s="1">
        <f t="shared" si="13"/>
        <v>497.51688000000007</v>
      </c>
      <c r="J203" s="1">
        <f t="shared" si="14"/>
        <v>457.71552960000008</v>
      </c>
      <c r="K203" s="6">
        <f t="shared" si="15"/>
        <v>1.4720000000000002</v>
      </c>
      <c r="L203">
        <v>21</v>
      </c>
    </row>
    <row r="204" spans="1:12" x14ac:dyDescent="0.3">
      <c r="A204" t="s">
        <v>75</v>
      </c>
      <c r="B204" t="s">
        <v>71</v>
      </c>
      <c r="C204" t="s">
        <v>10</v>
      </c>
      <c r="D204" t="s">
        <v>11</v>
      </c>
      <c r="E204" t="s">
        <v>32</v>
      </c>
      <c r="F204" t="s">
        <v>33</v>
      </c>
      <c r="G204" s="1">
        <v>529.26239999999996</v>
      </c>
      <c r="H204" s="1">
        <f t="shared" si="12"/>
        <v>598.06651199999988</v>
      </c>
      <c r="I204" s="1">
        <f t="shared" si="13"/>
        <v>846.81984</v>
      </c>
      <c r="J204" s="1">
        <f t="shared" si="14"/>
        <v>779.07425280000007</v>
      </c>
      <c r="K204" s="6">
        <f t="shared" si="15"/>
        <v>1.4720000000000002</v>
      </c>
      <c r="L204">
        <v>20</v>
      </c>
    </row>
    <row r="205" spans="1:12" x14ac:dyDescent="0.3">
      <c r="A205" t="s">
        <v>86</v>
      </c>
      <c r="B205" t="s">
        <v>80</v>
      </c>
      <c r="C205" t="s">
        <v>10</v>
      </c>
      <c r="D205" t="s">
        <v>16</v>
      </c>
      <c r="E205" t="s">
        <v>32</v>
      </c>
      <c r="F205" t="s">
        <v>81</v>
      </c>
      <c r="G205" s="1">
        <v>356.63655</v>
      </c>
      <c r="H205" s="1">
        <f t="shared" si="12"/>
        <v>402.99930149999994</v>
      </c>
      <c r="I205" s="1">
        <f t="shared" si="13"/>
        <v>570.61847999999998</v>
      </c>
      <c r="J205" s="1">
        <f t="shared" si="14"/>
        <v>524.96900159999996</v>
      </c>
      <c r="K205" s="6">
        <f t="shared" si="15"/>
        <v>1.472</v>
      </c>
      <c r="L205">
        <v>20</v>
      </c>
    </row>
    <row r="206" spans="1:12" x14ac:dyDescent="0.3">
      <c r="A206" t="s">
        <v>265</v>
      </c>
      <c r="B206" t="s">
        <v>260</v>
      </c>
      <c r="C206" t="s">
        <v>10</v>
      </c>
      <c r="D206" t="s">
        <v>11</v>
      </c>
      <c r="E206" t="s">
        <v>92</v>
      </c>
      <c r="F206" t="s">
        <v>184</v>
      </c>
      <c r="G206" s="1">
        <v>589.65854999999988</v>
      </c>
      <c r="H206" s="1">
        <f t="shared" si="12"/>
        <v>666.31416149999984</v>
      </c>
      <c r="I206" s="1">
        <f t="shared" si="13"/>
        <v>943.45367999999985</v>
      </c>
      <c r="J206" s="1">
        <f t="shared" si="14"/>
        <v>867.97738559999993</v>
      </c>
      <c r="K206" s="6">
        <f t="shared" si="15"/>
        <v>1.4720000000000002</v>
      </c>
      <c r="L206">
        <v>20</v>
      </c>
    </row>
    <row r="207" spans="1:12" x14ac:dyDescent="0.3">
      <c r="A207" t="s">
        <v>100</v>
      </c>
      <c r="B207" t="s">
        <v>95</v>
      </c>
      <c r="C207" t="s">
        <v>10</v>
      </c>
      <c r="D207" t="s">
        <v>11</v>
      </c>
      <c r="E207" t="s">
        <v>92</v>
      </c>
      <c r="F207" t="s">
        <v>96</v>
      </c>
      <c r="G207" s="1">
        <v>387.53219999999999</v>
      </c>
      <c r="H207" s="1">
        <f t="shared" si="12"/>
        <v>437.91138599999994</v>
      </c>
      <c r="I207" s="1">
        <f t="shared" si="13"/>
        <v>620.05151999999998</v>
      </c>
      <c r="J207" s="1">
        <f t="shared" si="14"/>
        <v>570.4473984</v>
      </c>
      <c r="K207" s="6">
        <f t="shared" si="15"/>
        <v>1.472</v>
      </c>
      <c r="L207">
        <v>19</v>
      </c>
    </row>
    <row r="208" spans="1:12" x14ac:dyDescent="0.3">
      <c r="A208" t="s">
        <v>162</v>
      </c>
      <c r="B208" t="s">
        <v>161</v>
      </c>
      <c r="C208" t="s">
        <v>15</v>
      </c>
      <c r="D208" t="s">
        <v>163</v>
      </c>
      <c r="E208" t="s">
        <v>92</v>
      </c>
      <c r="F208" t="s">
        <v>96</v>
      </c>
      <c r="G208" s="1">
        <v>240.65804999999997</v>
      </c>
      <c r="H208" s="1">
        <f t="shared" si="12"/>
        <v>271.94359649999996</v>
      </c>
      <c r="I208" s="1">
        <f t="shared" si="13"/>
        <v>385.05287999999996</v>
      </c>
      <c r="J208" s="1">
        <f t="shared" si="14"/>
        <v>354.24864959999996</v>
      </c>
      <c r="K208" s="6">
        <f t="shared" si="15"/>
        <v>1.472</v>
      </c>
      <c r="L208">
        <v>19</v>
      </c>
    </row>
    <row r="209" spans="1:12" x14ac:dyDescent="0.3">
      <c r="A209" t="s">
        <v>315</v>
      </c>
      <c r="B209" t="s">
        <v>316</v>
      </c>
      <c r="C209" t="s">
        <v>74</v>
      </c>
      <c r="D209" t="s">
        <v>11</v>
      </c>
      <c r="E209" t="s">
        <v>292</v>
      </c>
      <c r="F209" t="s">
        <v>302</v>
      </c>
      <c r="G209" s="1">
        <v>652.58939999999996</v>
      </c>
      <c r="H209" s="1">
        <f t="shared" si="12"/>
        <v>737.42602199999988</v>
      </c>
      <c r="I209" s="1">
        <f t="shared" si="13"/>
        <v>1044.1430399999999</v>
      </c>
      <c r="J209" s="1">
        <f t="shared" si="14"/>
        <v>960.61159680000003</v>
      </c>
      <c r="K209" s="6">
        <f t="shared" si="15"/>
        <v>1.4720000000000002</v>
      </c>
      <c r="L209">
        <v>19</v>
      </c>
    </row>
    <row r="210" spans="1:12" x14ac:dyDescent="0.3">
      <c r="A210" t="s">
        <v>189</v>
      </c>
      <c r="B210" t="s">
        <v>190</v>
      </c>
      <c r="C210" t="s">
        <v>10</v>
      </c>
      <c r="D210" t="s">
        <v>11</v>
      </c>
      <c r="E210" t="s">
        <v>92</v>
      </c>
      <c r="F210" t="s">
        <v>93</v>
      </c>
      <c r="G210" s="1">
        <v>7479.5269499999995</v>
      </c>
      <c r="H210" s="1">
        <f t="shared" si="12"/>
        <v>8451.8654534999987</v>
      </c>
      <c r="I210" s="1">
        <f t="shared" si="13"/>
        <v>11967.243119999999</v>
      </c>
      <c r="J210" s="1">
        <f t="shared" si="14"/>
        <v>11009.8636704</v>
      </c>
      <c r="K210" s="6">
        <f t="shared" si="15"/>
        <v>1.4720000000000002</v>
      </c>
      <c r="L210">
        <v>18</v>
      </c>
    </row>
    <row r="211" spans="1:12" x14ac:dyDescent="0.3">
      <c r="A211" t="s">
        <v>73</v>
      </c>
      <c r="B211" t="s">
        <v>71</v>
      </c>
      <c r="C211" t="s">
        <v>74</v>
      </c>
      <c r="D211" t="s">
        <v>11</v>
      </c>
      <c r="E211" t="s">
        <v>32</v>
      </c>
      <c r="F211" t="s">
        <v>33</v>
      </c>
      <c r="G211" s="1">
        <v>439.73849999999993</v>
      </c>
      <c r="H211" s="1">
        <f t="shared" si="12"/>
        <v>496.90450499999986</v>
      </c>
      <c r="I211" s="1">
        <f t="shared" si="13"/>
        <v>703.58159999999998</v>
      </c>
      <c r="J211" s="1">
        <f t="shared" si="14"/>
        <v>647.295072</v>
      </c>
      <c r="K211" s="6">
        <f t="shared" si="15"/>
        <v>1.4720000000000002</v>
      </c>
      <c r="L211">
        <v>17</v>
      </c>
    </row>
    <row r="212" spans="1:12" x14ac:dyDescent="0.3">
      <c r="A212" t="s">
        <v>149</v>
      </c>
      <c r="B212" t="s">
        <v>145</v>
      </c>
      <c r="C212" t="s">
        <v>15</v>
      </c>
      <c r="D212" t="s">
        <v>16</v>
      </c>
      <c r="E212" t="s">
        <v>92</v>
      </c>
      <c r="F212" t="s">
        <v>93</v>
      </c>
      <c r="G212" s="1">
        <v>582.74669999999992</v>
      </c>
      <c r="H212" s="1">
        <f t="shared" si="12"/>
        <v>658.5037709999998</v>
      </c>
      <c r="I212" s="1">
        <f t="shared" si="13"/>
        <v>932.39471999999989</v>
      </c>
      <c r="J212" s="1">
        <f t="shared" si="14"/>
        <v>857.80314239999996</v>
      </c>
      <c r="K212" s="6">
        <f t="shared" si="15"/>
        <v>1.4720000000000002</v>
      </c>
      <c r="L212">
        <v>17</v>
      </c>
    </row>
    <row r="213" spans="1:12" x14ac:dyDescent="0.3">
      <c r="A213" t="s">
        <v>261</v>
      </c>
      <c r="B213" t="s">
        <v>260</v>
      </c>
      <c r="C213" t="s">
        <v>10</v>
      </c>
      <c r="D213" t="s">
        <v>16</v>
      </c>
      <c r="E213" t="s">
        <v>92</v>
      </c>
      <c r="F213" t="s">
        <v>184</v>
      </c>
      <c r="G213" s="1">
        <v>390.9828</v>
      </c>
      <c r="H213" s="1">
        <f t="shared" si="12"/>
        <v>441.81056399999994</v>
      </c>
      <c r="I213" s="1">
        <f t="shared" si="13"/>
        <v>625.57248000000004</v>
      </c>
      <c r="J213" s="1">
        <f t="shared" si="14"/>
        <v>575.52668160000007</v>
      </c>
      <c r="K213" s="6">
        <f t="shared" si="15"/>
        <v>1.4720000000000002</v>
      </c>
      <c r="L213">
        <v>17</v>
      </c>
    </row>
    <row r="214" spans="1:12" x14ac:dyDescent="0.3">
      <c r="A214" t="s">
        <v>304</v>
      </c>
      <c r="B214" t="s">
        <v>301</v>
      </c>
      <c r="C214" t="s">
        <v>15</v>
      </c>
      <c r="D214" t="s">
        <v>11</v>
      </c>
      <c r="E214" t="s">
        <v>292</v>
      </c>
      <c r="F214" t="s">
        <v>302</v>
      </c>
      <c r="G214" s="1">
        <v>304.18529999999998</v>
      </c>
      <c r="H214" s="1">
        <f t="shared" si="12"/>
        <v>343.72938899999997</v>
      </c>
      <c r="I214" s="1">
        <f t="shared" si="13"/>
        <v>486.69648000000001</v>
      </c>
      <c r="J214" s="1">
        <f t="shared" si="14"/>
        <v>447.76076160000002</v>
      </c>
      <c r="K214" s="6">
        <f t="shared" si="15"/>
        <v>1.4720000000000002</v>
      </c>
      <c r="L214">
        <v>17</v>
      </c>
    </row>
    <row r="215" spans="1:12" x14ac:dyDescent="0.3">
      <c r="A215" t="s">
        <v>324</v>
      </c>
      <c r="B215" t="s">
        <v>323</v>
      </c>
      <c r="C215" t="s">
        <v>10</v>
      </c>
      <c r="D215" t="s">
        <v>11</v>
      </c>
      <c r="E215" t="s">
        <v>292</v>
      </c>
      <c r="F215" t="s">
        <v>293</v>
      </c>
      <c r="G215" s="1">
        <v>133.58295000000001</v>
      </c>
      <c r="H215" s="1">
        <f t="shared" si="12"/>
        <v>150.9487335</v>
      </c>
      <c r="I215" s="1">
        <f t="shared" si="13"/>
        <v>213.73272000000003</v>
      </c>
      <c r="J215" s="1">
        <f t="shared" si="14"/>
        <v>196.63410240000005</v>
      </c>
      <c r="K215" s="6">
        <f t="shared" si="15"/>
        <v>1.4720000000000002</v>
      </c>
      <c r="L215">
        <v>17</v>
      </c>
    </row>
    <row r="216" spans="1:12" x14ac:dyDescent="0.3">
      <c r="A216" t="s">
        <v>106</v>
      </c>
      <c r="B216" t="s">
        <v>107</v>
      </c>
      <c r="C216" t="s">
        <v>108</v>
      </c>
      <c r="D216" t="s">
        <v>109</v>
      </c>
      <c r="E216" t="s">
        <v>92</v>
      </c>
      <c r="F216" t="s">
        <v>109</v>
      </c>
      <c r="G216" s="1">
        <v>345.45405</v>
      </c>
      <c r="H216" s="1">
        <f t="shared" si="12"/>
        <v>390.36307649999998</v>
      </c>
      <c r="I216" s="1">
        <f t="shared" si="13"/>
        <v>552.72648000000004</v>
      </c>
      <c r="J216" s="1">
        <f t="shared" si="14"/>
        <v>508.50836160000006</v>
      </c>
      <c r="K216" s="6">
        <f t="shared" si="15"/>
        <v>1.4720000000000002</v>
      </c>
      <c r="L216">
        <v>16</v>
      </c>
    </row>
    <row r="217" spans="1:12" x14ac:dyDescent="0.3">
      <c r="A217" t="s">
        <v>224</v>
      </c>
      <c r="B217" t="s">
        <v>222</v>
      </c>
      <c r="C217" t="s">
        <v>225</v>
      </c>
      <c r="D217" t="s">
        <v>16</v>
      </c>
      <c r="E217" t="s">
        <v>92</v>
      </c>
      <c r="F217" t="s">
        <v>127</v>
      </c>
      <c r="G217" s="1">
        <v>217.56884999999997</v>
      </c>
      <c r="H217" s="1">
        <f t="shared" si="12"/>
        <v>245.85280049999994</v>
      </c>
      <c r="I217" s="1">
        <f t="shared" si="13"/>
        <v>348.11015999999995</v>
      </c>
      <c r="J217" s="1">
        <f t="shared" si="14"/>
        <v>320.26134719999999</v>
      </c>
      <c r="K217" s="6">
        <f t="shared" si="15"/>
        <v>1.4720000000000002</v>
      </c>
      <c r="L217">
        <v>16</v>
      </c>
    </row>
    <row r="218" spans="1:12" x14ac:dyDescent="0.3">
      <c r="A218" t="s">
        <v>235</v>
      </c>
      <c r="B218" t="s">
        <v>236</v>
      </c>
      <c r="C218" t="s">
        <v>15</v>
      </c>
      <c r="D218" t="s">
        <v>16</v>
      </c>
      <c r="E218" t="s">
        <v>92</v>
      </c>
      <c r="F218" t="s">
        <v>93</v>
      </c>
      <c r="G218" s="1">
        <v>6420.693299999999</v>
      </c>
      <c r="H218" s="1">
        <f t="shared" si="12"/>
        <v>7255.3834289999986</v>
      </c>
      <c r="I218" s="1">
        <f t="shared" si="13"/>
        <v>10273.109279999999</v>
      </c>
      <c r="J218" s="1">
        <f t="shared" si="14"/>
        <v>9451.2605375999992</v>
      </c>
      <c r="K218" s="6">
        <f t="shared" si="15"/>
        <v>1.4720000000000002</v>
      </c>
      <c r="L218">
        <v>16</v>
      </c>
    </row>
    <row r="219" spans="1:12" x14ac:dyDescent="0.3">
      <c r="A219" t="s">
        <v>280</v>
      </c>
      <c r="B219" t="s">
        <v>279</v>
      </c>
      <c r="C219" t="s">
        <v>10</v>
      </c>
      <c r="D219" t="s">
        <v>16</v>
      </c>
      <c r="E219" t="s">
        <v>92</v>
      </c>
      <c r="F219" t="s">
        <v>93</v>
      </c>
      <c r="G219" s="1">
        <v>203.24459999999999</v>
      </c>
      <c r="H219" s="1">
        <f t="shared" si="12"/>
        <v>229.66639799999996</v>
      </c>
      <c r="I219" s="1">
        <f t="shared" si="13"/>
        <v>325.19136000000003</v>
      </c>
      <c r="J219" s="1">
        <f t="shared" si="14"/>
        <v>299.17605120000002</v>
      </c>
      <c r="K219" s="6">
        <f t="shared" si="15"/>
        <v>1.4720000000000002</v>
      </c>
      <c r="L219">
        <v>16</v>
      </c>
    </row>
    <row r="220" spans="1:12" x14ac:dyDescent="0.3">
      <c r="A220" t="s">
        <v>297</v>
      </c>
      <c r="B220" t="s">
        <v>291</v>
      </c>
      <c r="C220" t="s">
        <v>10</v>
      </c>
      <c r="D220" t="s">
        <v>11</v>
      </c>
      <c r="E220" t="s">
        <v>292</v>
      </c>
      <c r="F220" t="s">
        <v>293</v>
      </c>
      <c r="G220" s="1">
        <v>483.78689999999995</v>
      </c>
      <c r="H220" s="1">
        <f t="shared" si="12"/>
        <v>546.67919699999993</v>
      </c>
      <c r="I220" s="1">
        <f t="shared" si="13"/>
        <v>774.05903999999998</v>
      </c>
      <c r="J220" s="1">
        <f t="shared" si="14"/>
        <v>712.13431679999997</v>
      </c>
      <c r="K220" s="6">
        <f t="shared" si="15"/>
        <v>1.4720000000000002</v>
      </c>
      <c r="L220">
        <v>16</v>
      </c>
    </row>
    <row r="221" spans="1:12" x14ac:dyDescent="0.3">
      <c r="A221" t="s">
        <v>56</v>
      </c>
      <c r="B221" t="s">
        <v>57</v>
      </c>
      <c r="C221" t="s">
        <v>15</v>
      </c>
      <c r="D221" t="s">
        <v>11</v>
      </c>
      <c r="E221" t="s">
        <v>32</v>
      </c>
      <c r="F221" t="s">
        <v>33</v>
      </c>
      <c r="G221" s="1">
        <v>543.58664999999996</v>
      </c>
      <c r="H221" s="1">
        <f t="shared" si="12"/>
        <v>614.25291449999986</v>
      </c>
      <c r="I221" s="1">
        <f t="shared" si="13"/>
        <v>869.73864000000003</v>
      </c>
      <c r="J221" s="1">
        <f t="shared" si="14"/>
        <v>800.15954880000004</v>
      </c>
      <c r="K221" s="6">
        <f t="shared" si="15"/>
        <v>1.4720000000000002</v>
      </c>
      <c r="L221">
        <v>15</v>
      </c>
    </row>
    <row r="222" spans="1:12" x14ac:dyDescent="0.3">
      <c r="A222" t="s">
        <v>98</v>
      </c>
      <c r="B222" t="s">
        <v>95</v>
      </c>
      <c r="C222" t="s">
        <v>10</v>
      </c>
      <c r="D222" t="s">
        <v>11</v>
      </c>
      <c r="E222" t="s">
        <v>92</v>
      </c>
      <c r="F222" t="s">
        <v>96</v>
      </c>
      <c r="G222" s="1">
        <v>135.60645</v>
      </c>
      <c r="H222" s="1">
        <f t="shared" si="12"/>
        <v>153.23528849999997</v>
      </c>
      <c r="I222" s="1">
        <f t="shared" si="13"/>
        <v>216.97032000000002</v>
      </c>
      <c r="J222" s="1">
        <f t="shared" si="14"/>
        <v>199.61269440000001</v>
      </c>
      <c r="K222" s="6">
        <f t="shared" si="15"/>
        <v>1.4720000000000002</v>
      </c>
      <c r="L222">
        <v>15</v>
      </c>
    </row>
    <row r="223" spans="1:12" x14ac:dyDescent="0.3">
      <c r="A223" t="s">
        <v>140</v>
      </c>
      <c r="B223" t="s">
        <v>141</v>
      </c>
      <c r="C223" t="s">
        <v>15</v>
      </c>
      <c r="D223" t="s">
        <v>142</v>
      </c>
      <c r="E223" t="s">
        <v>92</v>
      </c>
      <c r="F223" t="s">
        <v>143</v>
      </c>
      <c r="G223" s="1">
        <v>194.7885</v>
      </c>
      <c r="H223" s="1">
        <f t="shared" si="12"/>
        <v>220.11100499999998</v>
      </c>
      <c r="I223" s="1">
        <f t="shared" si="13"/>
        <v>311.66160000000002</v>
      </c>
      <c r="J223" s="1">
        <f t="shared" si="14"/>
        <v>286.72867200000002</v>
      </c>
      <c r="K223" s="6">
        <f t="shared" si="15"/>
        <v>1.4720000000000002</v>
      </c>
      <c r="L223">
        <v>15</v>
      </c>
    </row>
    <row r="224" spans="1:12" x14ac:dyDescent="0.3">
      <c r="A224" t="s">
        <v>276</v>
      </c>
      <c r="B224" t="s">
        <v>277</v>
      </c>
      <c r="C224" t="s">
        <v>35</v>
      </c>
      <c r="D224" t="s">
        <v>11</v>
      </c>
      <c r="E224" t="s">
        <v>92</v>
      </c>
      <c r="F224" t="s">
        <v>109</v>
      </c>
      <c r="G224" s="1">
        <v>785.26710000000003</v>
      </c>
      <c r="H224" s="1">
        <f t="shared" si="12"/>
        <v>887.35182299999997</v>
      </c>
      <c r="I224" s="1">
        <f t="shared" si="13"/>
        <v>1256.4273600000001</v>
      </c>
      <c r="J224" s="1">
        <f t="shared" si="14"/>
        <v>1155.9131712000001</v>
      </c>
      <c r="K224" s="6">
        <f t="shared" si="15"/>
        <v>1.472</v>
      </c>
      <c r="L224">
        <v>15</v>
      </c>
    </row>
    <row r="225" spans="1:12" x14ac:dyDescent="0.3">
      <c r="A225" t="s">
        <v>294</v>
      </c>
      <c r="B225" t="s">
        <v>291</v>
      </c>
      <c r="C225" t="s">
        <v>10</v>
      </c>
      <c r="D225" t="s">
        <v>11</v>
      </c>
      <c r="E225" t="s">
        <v>292</v>
      </c>
      <c r="F225" t="s">
        <v>293</v>
      </c>
      <c r="G225" s="1">
        <v>483.78689999999995</v>
      </c>
      <c r="H225" s="1">
        <f t="shared" si="12"/>
        <v>546.67919699999993</v>
      </c>
      <c r="I225" s="1">
        <f t="shared" si="13"/>
        <v>774.05903999999998</v>
      </c>
      <c r="J225" s="1">
        <f t="shared" si="14"/>
        <v>712.13431679999997</v>
      </c>
      <c r="K225" s="6">
        <f t="shared" si="15"/>
        <v>1.4720000000000002</v>
      </c>
      <c r="L225">
        <v>15</v>
      </c>
    </row>
    <row r="226" spans="1:12" x14ac:dyDescent="0.3">
      <c r="A226" t="s">
        <v>337</v>
      </c>
      <c r="B226" t="s">
        <v>338</v>
      </c>
      <c r="C226" t="s">
        <v>67</v>
      </c>
      <c r="D226" t="s">
        <v>11</v>
      </c>
      <c r="E226" t="s">
        <v>292</v>
      </c>
      <c r="F226" t="s">
        <v>293</v>
      </c>
      <c r="G226" s="1">
        <v>253.91729999999998</v>
      </c>
      <c r="H226" s="1">
        <f t="shared" si="12"/>
        <v>286.92654899999997</v>
      </c>
      <c r="I226" s="1">
        <f t="shared" si="13"/>
        <v>406.26767999999998</v>
      </c>
      <c r="J226" s="1">
        <f t="shared" si="14"/>
        <v>373.7662656</v>
      </c>
      <c r="K226" s="6">
        <f t="shared" si="15"/>
        <v>1.472</v>
      </c>
      <c r="L226">
        <v>15</v>
      </c>
    </row>
    <row r="227" spans="1:12" x14ac:dyDescent="0.3">
      <c r="A227" t="s">
        <v>238</v>
      </c>
      <c r="B227" t="s">
        <v>236</v>
      </c>
      <c r="C227" t="s">
        <v>15</v>
      </c>
      <c r="D227" t="s">
        <v>16</v>
      </c>
      <c r="E227" t="s">
        <v>92</v>
      </c>
      <c r="F227" t="s">
        <v>93</v>
      </c>
      <c r="G227" s="1">
        <v>1233.47235</v>
      </c>
      <c r="H227" s="1">
        <f t="shared" si="12"/>
        <v>1393.8237554999998</v>
      </c>
      <c r="I227" s="1">
        <f t="shared" si="13"/>
        <v>1973.5557600000002</v>
      </c>
      <c r="J227" s="1">
        <f t="shared" si="14"/>
        <v>1815.6712992000002</v>
      </c>
      <c r="K227" s="6">
        <f t="shared" si="15"/>
        <v>1.4720000000000002</v>
      </c>
      <c r="L227">
        <v>14</v>
      </c>
    </row>
    <row r="228" spans="1:12" x14ac:dyDescent="0.3">
      <c r="A228" t="s">
        <v>254</v>
      </c>
      <c r="B228" t="s">
        <v>252</v>
      </c>
      <c r="C228" t="s">
        <v>15</v>
      </c>
      <c r="D228" t="s">
        <v>11</v>
      </c>
      <c r="E228" t="s">
        <v>92</v>
      </c>
      <c r="F228" t="s">
        <v>93</v>
      </c>
      <c r="G228" s="1">
        <v>304.90949999999998</v>
      </c>
      <c r="H228" s="1">
        <f t="shared" si="12"/>
        <v>344.54773499999993</v>
      </c>
      <c r="I228" s="1">
        <f t="shared" si="13"/>
        <v>487.85519999999997</v>
      </c>
      <c r="J228" s="1">
        <f t="shared" si="14"/>
        <v>448.82678399999998</v>
      </c>
      <c r="K228" s="6">
        <f t="shared" si="15"/>
        <v>1.472</v>
      </c>
      <c r="L228">
        <v>14</v>
      </c>
    </row>
    <row r="229" spans="1:12" x14ac:dyDescent="0.3">
      <c r="A229" t="s">
        <v>220</v>
      </c>
      <c r="B229" t="s">
        <v>214</v>
      </c>
      <c r="C229" t="s">
        <v>15</v>
      </c>
      <c r="D229" t="s">
        <v>16</v>
      </c>
      <c r="E229" t="s">
        <v>92</v>
      </c>
      <c r="F229" t="s">
        <v>93</v>
      </c>
      <c r="G229" s="1">
        <v>1168.4008499999998</v>
      </c>
      <c r="H229" s="1">
        <f t="shared" si="12"/>
        <v>1320.2929604999997</v>
      </c>
      <c r="I229" s="1">
        <f t="shared" si="13"/>
        <v>1869.4413599999998</v>
      </c>
      <c r="J229" s="1">
        <f t="shared" si="14"/>
        <v>1719.8860511999999</v>
      </c>
      <c r="K229" s="6">
        <f t="shared" si="15"/>
        <v>1.4720000000000002</v>
      </c>
      <c r="L229">
        <v>13</v>
      </c>
    </row>
    <row r="230" spans="1:12" x14ac:dyDescent="0.3">
      <c r="A230" t="s">
        <v>331</v>
      </c>
      <c r="B230" t="s">
        <v>330</v>
      </c>
      <c r="C230" t="s">
        <v>67</v>
      </c>
      <c r="D230" t="s">
        <v>11</v>
      </c>
      <c r="E230" t="s">
        <v>292</v>
      </c>
      <c r="F230" t="s">
        <v>293</v>
      </c>
      <c r="G230" s="1">
        <v>672.62205000000006</v>
      </c>
      <c r="H230" s="1">
        <f t="shared" si="12"/>
        <v>760.06291650000003</v>
      </c>
      <c r="I230" s="1">
        <f t="shared" si="13"/>
        <v>1076.1952800000001</v>
      </c>
      <c r="J230" s="1">
        <f t="shared" si="14"/>
        <v>990.09965760000011</v>
      </c>
      <c r="K230" s="6">
        <f t="shared" si="15"/>
        <v>1.472</v>
      </c>
      <c r="L230">
        <v>13</v>
      </c>
    </row>
    <row r="231" spans="1:12" x14ac:dyDescent="0.3">
      <c r="A231" t="s">
        <v>124</v>
      </c>
      <c r="B231" t="s">
        <v>121</v>
      </c>
      <c r="C231" t="s">
        <v>10</v>
      </c>
      <c r="D231" t="s">
        <v>11</v>
      </c>
      <c r="E231" t="s">
        <v>92</v>
      </c>
      <c r="F231" t="s">
        <v>122</v>
      </c>
      <c r="G231" s="1">
        <v>345.00674999999995</v>
      </c>
      <c r="H231" s="1">
        <f t="shared" si="12"/>
        <v>389.85762749999992</v>
      </c>
      <c r="I231" s="1">
        <f t="shared" si="13"/>
        <v>552.0107999999999</v>
      </c>
      <c r="J231" s="1">
        <f t="shared" si="14"/>
        <v>507.84993599999996</v>
      </c>
      <c r="K231" s="6">
        <f t="shared" si="15"/>
        <v>1.472</v>
      </c>
      <c r="L231">
        <v>12</v>
      </c>
    </row>
    <row r="232" spans="1:12" x14ac:dyDescent="0.3">
      <c r="A232" t="s">
        <v>296</v>
      </c>
      <c r="B232" t="s">
        <v>291</v>
      </c>
      <c r="C232" t="s">
        <v>10</v>
      </c>
      <c r="D232" t="s">
        <v>11</v>
      </c>
      <c r="E232" t="s">
        <v>292</v>
      </c>
      <c r="F232" t="s">
        <v>293</v>
      </c>
      <c r="G232" s="1">
        <v>245.08844999999999</v>
      </c>
      <c r="H232" s="1">
        <f t="shared" si="12"/>
        <v>276.94994849999995</v>
      </c>
      <c r="I232" s="1">
        <f t="shared" si="13"/>
        <v>392.14152000000001</v>
      </c>
      <c r="J232" s="1">
        <f t="shared" si="14"/>
        <v>360.77019840000003</v>
      </c>
      <c r="K232" s="6">
        <f t="shared" si="15"/>
        <v>1.4720000000000002</v>
      </c>
      <c r="L232">
        <v>12</v>
      </c>
    </row>
    <row r="233" spans="1:12" x14ac:dyDescent="0.3">
      <c r="A233" t="s">
        <v>8</v>
      </c>
      <c r="B233" t="s">
        <v>9</v>
      </c>
      <c r="C233" t="s">
        <v>10</v>
      </c>
      <c r="D233" t="s">
        <v>11</v>
      </c>
      <c r="E233" t="s">
        <v>12</v>
      </c>
      <c r="F233" t="s">
        <v>13</v>
      </c>
      <c r="G233" s="1">
        <v>618.79694999999992</v>
      </c>
      <c r="H233" s="1">
        <f t="shared" si="12"/>
        <v>699.24055349999981</v>
      </c>
      <c r="I233" s="1">
        <f t="shared" si="13"/>
        <v>990.07511999999997</v>
      </c>
      <c r="J233" s="1">
        <f t="shared" si="14"/>
        <v>910.86911040000007</v>
      </c>
      <c r="K233" s="6">
        <f t="shared" si="15"/>
        <v>1.4720000000000002</v>
      </c>
      <c r="L233">
        <v>11</v>
      </c>
    </row>
    <row r="234" spans="1:12" x14ac:dyDescent="0.3">
      <c r="A234" t="s">
        <v>21</v>
      </c>
      <c r="B234" t="s">
        <v>18</v>
      </c>
      <c r="C234" t="s">
        <v>10</v>
      </c>
      <c r="D234" t="s">
        <v>16</v>
      </c>
      <c r="E234" t="s">
        <v>19</v>
      </c>
      <c r="F234" t="s">
        <v>20</v>
      </c>
      <c r="G234" s="1">
        <v>271.67084999999997</v>
      </c>
      <c r="H234" s="1">
        <f t="shared" si="12"/>
        <v>306.98806049999996</v>
      </c>
      <c r="I234" s="1">
        <f t="shared" si="13"/>
        <v>434.67336</v>
      </c>
      <c r="J234" s="1">
        <f t="shared" si="14"/>
        <v>399.8994912</v>
      </c>
      <c r="K234" s="6">
        <f t="shared" si="15"/>
        <v>1.4720000000000002</v>
      </c>
      <c r="L234">
        <v>11</v>
      </c>
    </row>
    <row r="235" spans="1:12" x14ac:dyDescent="0.3">
      <c r="A235" t="s">
        <v>191</v>
      </c>
      <c r="B235" t="s">
        <v>190</v>
      </c>
      <c r="C235" t="s">
        <v>10</v>
      </c>
      <c r="D235" t="s">
        <v>11</v>
      </c>
      <c r="E235" t="s">
        <v>92</v>
      </c>
      <c r="F235" t="s">
        <v>93</v>
      </c>
      <c r="G235" s="1">
        <v>5292.2725500000006</v>
      </c>
      <c r="H235" s="1">
        <f t="shared" si="12"/>
        <v>5980.2679815000001</v>
      </c>
      <c r="I235" s="1">
        <f t="shared" si="13"/>
        <v>8467.636080000002</v>
      </c>
      <c r="J235" s="1">
        <f t="shared" si="14"/>
        <v>7790.2251936000021</v>
      </c>
      <c r="K235" s="6">
        <f t="shared" si="15"/>
        <v>1.4720000000000002</v>
      </c>
      <c r="L235">
        <v>11</v>
      </c>
    </row>
    <row r="236" spans="1:12" x14ac:dyDescent="0.3">
      <c r="A236" t="s">
        <v>205</v>
      </c>
      <c r="B236" t="s">
        <v>206</v>
      </c>
      <c r="C236" t="s">
        <v>10</v>
      </c>
      <c r="D236" t="s">
        <v>16</v>
      </c>
      <c r="E236" t="s">
        <v>92</v>
      </c>
      <c r="F236" t="s">
        <v>93</v>
      </c>
      <c r="G236" s="1">
        <v>760.72949999999992</v>
      </c>
      <c r="H236" s="1">
        <f t="shared" si="12"/>
        <v>859.62433499999986</v>
      </c>
      <c r="I236" s="1">
        <f t="shared" si="13"/>
        <v>1217.1671999999999</v>
      </c>
      <c r="J236" s="1">
        <f t="shared" si="14"/>
        <v>1119.7938239999999</v>
      </c>
      <c r="K236" s="6">
        <f t="shared" si="15"/>
        <v>1.472</v>
      </c>
      <c r="L236">
        <v>11</v>
      </c>
    </row>
    <row r="237" spans="1:12" x14ac:dyDescent="0.3">
      <c r="A237" t="s">
        <v>322</v>
      </c>
      <c r="B237" t="s">
        <v>323</v>
      </c>
      <c r="C237" t="s">
        <v>10</v>
      </c>
      <c r="D237" t="s">
        <v>11</v>
      </c>
      <c r="E237" t="s">
        <v>292</v>
      </c>
      <c r="F237" t="s">
        <v>293</v>
      </c>
      <c r="G237" s="1">
        <v>158.50395</v>
      </c>
      <c r="H237" s="1">
        <f t="shared" si="12"/>
        <v>179.10946349999998</v>
      </c>
      <c r="I237" s="1">
        <f t="shared" si="13"/>
        <v>253.60632000000001</v>
      </c>
      <c r="J237" s="1">
        <f t="shared" si="14"/>
        <v>233.31781440000003</v>
      </c>
      <c r="K237" s="6">
        <f t="shared" si="15"/>
        <v>1.4720000000000002</v>
      </c>
      <c r="L237">
        <v>11</v>
      </c>
    </row>
    <row r="238" spans="1:12" x14ac:dyDescent="0.3">
      <c r="A238" t="s">
        <v>153</v>
      </c>
      <c r="B238" t="s">
        <v>152</v>
      </c>
      <c r="C238" t="s">
        <v>10</v>
      </c>
      <c r="D238" t="s">
        <v>11</v>
      </c>
      <c r="E238" t="s">
        <v>92</v>
      </c>
      <c r="F238" t="s">
        <v>93</v>
      </c>
      <c r="G238" s="1">
        <v>2067.8785499999999</v>
      </c>
      <c r="H238" s="1">
        <f t="shared" si="12"/>
        <v>2336.7027614999997</v>
      </c>
      <c r="I238" s="1">
        <f t="shared" si="13"/>
        <v>3308.6056800000001</v>
      </c>
      <c r="J238" s="1">
        <f t="shared" si="14"/>
        <v>3043.9172256000002</v>
      </c>
      <c r="K238" s="6">
        <f t="shared" si="15"/>
        <v>1.4720000000000002</v>
      </c>
      <c r="L238">
        <v>10</v>
      </c>
    </row>
    <row r="239" spans="1:12" x14ac:dyDescent="0.3">
      <c r="A239" t="s">
        <v>207</v>
      </c>
      <c r="B239" t="s">
        <v>206</v>
      </c>
      <c r="C239" t="s">
        <v>10</v>
      </c>
      <c r="D239" t="s">
        <v>16</v>
      </c>
      <c r="E239" t="s">
        <v>92</v>
      </c>
      <c r="F239" t="s">
        <v>93</v>
      </c>
      <c r="G239" s="1">
        <v>760.72949999999992</v>
      </c>
      <c r="H239" s="1">
        <f t="shared" si="12"/>
        <v>859.62433499999986</v>
      </c>
      <c r="I239" s="1">
        <f t="shared" si="13"/>
        <v>1217.1671999999999</v>
      </c>
      <c r="J239" s="1">
        <f t="shared" si="14"/>
        <v>1119.7938239999999</v>
      </c>
      <c r="K239" s="6">
        <f t="shared" si="15"/>
        <v>1.472</v>
      </c>
      <c r="L239">
        <v>10</v>
      </c>
    </row>
    <row r="240" spans="1:12" x14ac:dyDescent="0.3">
      <c r="A240" t="s">
        <v>239</v>
      </c>
      <c r="B240" t="s">
        <v>236</v>
      </c>
      <c r="C240" t="s">
        <v>15</v>
      </c>
      <c r="D240" t="s">
        <v>16</v>
      </c>
      <c r="E240" t="s">
        <v>92</v>
      </c>
      <c r="F240" t="s">
        <v>93</v>
      </c>
      <c r="G240" s="1">
        <v>2553.5185499999998</v>
      </c>
      <c r="H240" s="1">
        <f t="shared" si="12"/>
        <v>2885.4759614999994</v>
      </c>
      <c r="I240" s="1">
        <f t="shared" si="13"/>
        <v>4085.62968</v>
      </c>
      <c r="J240" s="1">
        <f t="shared" si="14"/>
        <v>3758.7793056</v>
      </c>
      <c r="K240" s="6">
        <f t="shared" si="15"/>
        <v>1.4720000000000002</v>
      </c>
      <c r="L240">
        <v>10</v>
      </c>
    </row>
    <row r="241" spans="1:12" x14ac:dyDescent="0.3">
      <c r="A241" t="s">
        <v>290</v>
      </c>
      <c r="B241" t="s">
        <v>291</v>
      </c>
      <c r="C241" t="s">
        <v>10</v>
      </c>
      <c r="D241" t="s">
        <v>11</v>
      </c>
      <c r="E241" t="s">
        <v>292</v>
      </c>
      <c r="F241" t="s">
        <v>293</v>
      </c>
      <c r="G241" s="1">
        <v>245.08844999999999</v>
      </c>
      <c r="H241" s="1">
        <f t="shared" si="12"/>
        <v>276.94994849999995</v>
      </c>
      <c r="I241" s="1">
        <f t="shared" si="13"/>
        <v>392.14152000000001</v>
      </c>
      <c r="J241" s="1">
        <f t="shared" si="14"/>
        <v>360.77019840000003</v>
      </c>
      <c r="K241" s="6">
        <f t="shared" si="15"/>
        <v>1.4720000000000002</v>
      </c>
      <c r="L241">
        <v>10</v>
      </c>
    </row>
    <row r="242" spans="1:12" x14ac:dyDescent="0.3">
      <c r="A242" t="s">
        <v>334</v>
      </c>
      <c r="B242" t="s">
        <v>335</v>
      </c>
      <c r="C242" t="s">
        <v>69</v>
      </c>
      <c r="D242" t="s">
        <v>11</v>
      </c>
      <c r="E242" t="s">
        <v>292</v>
      </c>
      <c r="F242" t="s">
        <v>302</v>
      </c>
      <c r="G242" s="1">
        <v>850.57289999999989</v>
      </c>
      <c r="H242" s="1">
        <f t="shared" si="12"/>
        <v>961.14737699999978</v>
      </c>
      <c r="I242" s="1">
        <f t="shared" si="13"/>
        <v>1360.9166399999999</v>
      </c>
      <c r="J242" s="1">
        <f t="shared" si="14"/>
        <v>1252.0433088</v>
      </c>
      <c r="K242" s="6">
        <f t="shared" si="15"/>
        <v>1.4720000000000002</v>
      </c>
      <c r="L242">
        <v>10</v>
      </c>
    </row>
    <row r="243" spans="1:12" x14ac:dyDescent="0.3">
      <c r="A243" t="s">
        <v>363</v>
      </c>
      <c r="B243" t="s">
        <v>364</v>
      </c>
      <c r="C243" t="s">
        <v>35</v>
      </c>
      <c r="D243" t="s">
        <v>11</v>
      </c>
      <c r="E243" t="s">
        <v>292</v>
      </c>
      <c r="F243" t="s">
        <v>302</v>
      </c>
      <c r="G243" s="1">
        <v>710.49344999999994</v>
      </c>
      <c r="H243" s="1">
        <f t="shared" si="12"/>
        <v>802.85759849999988</v>
      </c>
      <c r="I243" s="1">
        <f t="shared" si="13"/>
        <v>1136.78952</v>
      </c>
      <c r="J243" s="1">
        <f t="shared" si="14"/>
        <v>1045.8463584000001</v>
      </c>
      <c r="K243" s="6">
        <f t="shared" si="15"/>
        <v>1.4720000000000002</v>
      </c>
      <c r="L243">
        <v>10</v>
      </c>
    </row>
    <row r="244" spans="1:12" x14ac:dyDescent="0.3">
      <c r="A244" t="s">
        <v>76</v>
      </c>
      <c r="B244" t="s">
        <v>71</v>
      </c>
      <c r="C244" t="s">
        <v>74</v>
      </c>
      <c r="D244" t="s">
        <v>11</v>
      </c>
      <c r="E244" t="s">
        <v>32</v>
      </c>
      <c r="F244" t="s">
        <v>33</v>
      </c>
      <c r="G244" s="1">
        <v>314.38799999999998</v>
      </c>
      <c r="H244" s="1">
        <f t="shared" si="12"/>
        <v>355.25843999999995</v>
      </c>
      <c r="I244" s="1">
        <f t="shared" si="13"/>
        <v>503.02080000000001</v>
      </c>
      <c r="J244" s="1">
        <f t="shared" si="14"/>
        <v>462.77913600000005</v>
      </c>
      <c r="K244" s="6">
        <f t="shared" si="15"/>
        <v>1.4720000000000002</v>
      </c>
      <c r="L244">
        <v>9</v>
      </c>
    </row>
    <row r="245" spans="1:12" x14ac:dyDescent="0.3">
      <c r="A245" t="s">
        <v>215</v>
      </c>
      <c r="B245" t="s">
        <v>214</v>
      </c>
      <c r="C245" t="s">
        <v>15</v>
      </c>
      <c r="D245" t="s">
        <v>16</v>
      </c>
      <c r="E245" t="s">
        <v>92</v>
      </c>
      <c r="F245" t="s">
        <v>93</v>
      </c>
      <c r="G245" s="1">
        <v>703.59224999999992</v>
      </c>
      <c r="H245" s="1">
        <f t="shared" si="12"/>
        <v>795.05924249999987</v>
      </c>
      <c r="I245" s="1">
        <f t="shared" si="13"/>
        <v>1125.7475999999999</v>
      </c>
      <c r="J245" s="1">
        <f t="shared" si="14"/>
        <v>1035.6877919999999</v>
      </c>
      <c r="K245" s="6">
        <f t="shared" si="15"/>
        <v>1.472</v>
      </c>
      <c r="L245">
        <v>9</v>
      </c>
    </row>
    <row r="246" spans="1:12" x14ac:dyDescent="0.3">
      <c r="A246" t="s">
        <v>255</v>
      </c>
      <c r="B246" t="s">
        <v>252</v>
      </c>
      <c r="C246" t="s">
        <v>15</v>
      </c>
      <c r="D246" t="s">
        <v>11</v>
      </c>
      <c r="E246" t="s">
        <v>92</v>
      </c>
      <c r="F246" t="s">
        <v>93</v>
      </c>
      <c r="G246" s="1">
        <v>537.69719999999995</v>
      </c>
      <c r="H246" s="1">
        <f t="shared" si="12"/>
        <v>607.59783599999992</v>
      </c>
      <c r="I246" s="1">
        <f t="shared" si="13"/>
        <v>860.31551999999999</v>
      </c>
      <c r="J246" s="1">
        <f t="shared" si="14"/>
        <v>791.49027840000008</v>
      </c>
      <c r="K246" s="6">
        <f t="shared" si="15"/>
        <v>1.4720000000000002</v>
      </c>
      <c r="L246">
        <v>9</v>
      </c>
    </row>
    <row r="247" spans="1:12" x14ac:dyDescent="0.3">
      <c r="A247" t="s">
        <v>111</v>
      </c>
      <c r="B247" t="s">
        <v>107</v>
      </c>
      <c r="C247" t="s">
        <v>74</v>
      </c>
      <c r="D247" t="s">
        <v>109</v>
      </c>
      <c r="E247" t="s">
        <v>92</v>
      </c>
      <c r="F247" t="s">
        <v>109</v>
      </c>
      <c r="G247" s="1">
        <v>545.05634999999995</v>
      </c>
      <c r="H247" s="1">
        <f t="shared" si="12"/>
        <v>615.91367549999984</v>
      </c>
      <c r="I247" s="1">
        <f t="shared" si="13"/>
        <v>872.09015999999997</v>
      </c>
      <c r="J247" s="1">
        <f t="shared" si="14"/>
        <v>802.32294720000004</v>
      </c>
      <c r="K247" s="6">
        <f t="shared" si="15"/>
        <v>1.4720000000000002</v>
      </c>
      <c r="L247">
        <v>8</v>
      </c>
    </row>
    <row r="248" spans="1:12" x14ac:dyDescent="0.3">
      <c r="A248" t="s">
        <v>329</v>
      </c>
      <c r="B248" t="s">
        <v>330</v>
      </c>
      <c r="C248" t="s">
        <v>15</v>
      </c>
      <c r="D248" t="s">
        <v>11</v>
      </c>
      <c r="E248" t="s">
        <v>292</v>
      </c>
      <c r="F248" t="s">
        <v>293</v>
      </c>
      <c r="G248" s="1">
        <v>168.18479999999997</v>
      </c>
      <c r="H248" s="1">
        <f t="shared" si="12"/>
        <v>190.04882399999994</v>
      </c>
      <c r="I248" s="1">
        <f t="shared" si="13"/>
        <v>269.09567999999996</v>
      </c>
      <c r="J248" s="1">
        <f t="shared" si="14"/>
        <v>247.56802559999997</v>
      </c>
      <c r="K248" s="6">
        <f t="shared" si="15"/>
        <v>1.4720000000000002</v>
      </c>
      <c r="L248">
        <v>8</v>
      </c>
    </row>
    <row r="249" spans="1:12" x14ac:dyDescent="0.3">
      <c r="A249" t="s">
        <v>68</v>
      </c>
      <c r="B249" t="s">
        <v>60</v>
      </c>
      <c r="C249" t="s">
        <v>69</v>
      </c>
      <c r="D249" t="s">
        <v>62</v>
      </c>
      <c r="E249" t="s">
        <v>32</v>
      </c>
      <c r="F249" t="s">
        <v>63</v>
      </c>
      <c r="G249" s="1">
        <v>246.87764999999999</v>
      </c>
      <c r="H249" s="1">
        <f t="shared" si="12"/>
        <v>278.97174449999994</v>
      </c>
      <c r="I249" s="1">
        <f t="shared" si="13"/>
        <v>395.00423999999998</v>
      </c>
      <c r="J249" s="1">
        <f t="shared" si="14"/>
        <v>363.40390079999997</v>
      </c>
      <c r="K249" s="6">
        <f t="shared" si="15"/>
        <v>1.472</v>
      </c>
      <c r="L249">
        <v>7</v>
      </c>
    </row>
    <row r="250" spans="1:12" x14ac:dyDescent="0.3">
      <c r="A250" t="s">
        <v>385</v>
      </c>
      <c r="B250" t="s">
        <v>381</v>
      </c>
      <c r="C250" t="s">
        <v>74</v>
      </c>
      <c r="D250" t="s">
        <v>16</v>
      </c>
      <c r="E250" t="s">
        <v>378</v>
      </c>
      <c r="F250" t="s">
        <v>382</v>
      </c>
      <c r="G250" s="1">
        <v>172.83884999999998</v>
      </c>
      <c r="H250" s="1">
        <f t="shared" si="12"/>
        <v>195.30790049999996</v>
      </c>
      <c r="I250" s="1">
        <f t="shared" si="13"/>
        <v>276.54215999999997</v>
      </c>
      <c r="J250" s="1">
        <f t="shared" si="14"/>
        <v>254.41878719999997</v>
      </c>
      <c r="K250" s="6">
        <f t="shared" si="15"/>
        <v>1.472</v>
      </c>
      <c r="L250">
        <v>7</v>
      </c>
    </row>
    <row r="251" spans="1:12" x14ac:dyDescent="0.3">
      <c r="A251" t="s">
        <v>44</v>
      </c>
      <c r="B251" t="s">
        <v>39</v>
      </c>
      <c r="C251" t="s">
        <v>45</v>
      </c>
      <c r="D251" t="s">
        <v>11</v>
      </c>
      <c r="E251" t="s">
        <v>32</v>
      </c>
      <c r="F251" t="s">
        <v>41</v>
      </c>
      <c r="G251" s="1">
        <v>811.65779999999995</v>
      </c>
      <c r="H251" s="1">
        <f t="shared" si="12"/>
        <v>917.17331399999989</v>
      </c>
      <c r="I251" s="1">
        <f t="shared" si="13"/>
        <v>1298.65248</v>
      </c>
      <c r="J251" s="1">
        <f t="shared" si="14"/>
        <v>1194.7602816000001</v>
      </c>
      <c r="K251" s="6">
        <f t="shared" si="15"/>
        <v>1.4720000000000002</v>
      </c>
      <c r="L251">
        <v>6</v>
      </c>
    </row>
    <row r="252" spans="1:12" x14ac:dyDescent="0.3">
      <c r="A252" t="s">
        <v>52</v>
      </c>
      <c r="B252" t="s">
        <v>39</v>
      </c>
      <c r="C252" t="s">
        <v>40</v>
      </c>
      <c r="D252" t="s">
        <v>11</v>
      </c>
      <c r="E252" t="s">
        <v>32</v>
      </c>
      <c r="F252" t="s">
        <v>41</v>
      </c>
      <c r="G252" s="1">
        <v>812.19029999999998</v>
      </c>
      <c r="H252" s="1">
        <f t="shared" si="12"/>
        <v>917.77503899999988</v>
      </c>
      <c r="I252" s="1">
        <f t="shared" si="13"/>
        <v>1299.5044800000001</v>
      </c>
      <c r="J252" s="1">
        <f t="shared" si="14"/>
        <v>1195.5441216000002</v>
      </c>
      <c r="K252" s="6">
        <f t="shared" si="15"/>
        <v>1.4720000000000002</v>
      </c>
      <c r="L252">
        <v>6</v>
      </c>
    </row>
    <row r="253" spans="1:12" x14ac:dyDescent="0.3">
      <c r="A253" t="s">
        <v>112</v>
      </c>
      <c r="B253" t="s">
        <v>152</v>
      </c>
      <c r="C253" t="s">
        <v>10</v>
      </c>
      <c r="D253" t="s">
        <v>11</v>
      </c>
      <c r="E253" t="s">
        <v>92</v>
      </c>
      <c r="F253" t="s">
        <v>93</v>
      </c>
      <c r="G253" s="1">
        <v>3633.5989499999996</v>
      </c>
      <c r="H253" s="1">
        <f t="shared" si="12"/>
        <v>4105.9668134999993</v>
      </c>
      <c r="I253" s="1">
        <f t="shared" si="13"/>
        <v>5813.7583199999999</v>
      </c>
      <c r="J253" s="1">
        <f t="shared" si="14"/>
        <v>5348.6576544</v>
      </c>
      <c r="K253" s="6">
        <f t="shared" si="15"/>
        <v>1.4720000000000002</v>
      </c>
      <c r="L253">
        <v>6</v>
      </c>
    </row>
    <row r="254" spans="1:12" x14ac:dyDescent="0.3">
      <c r="A254" t="s">
        <v>219</v>
      </c>
      <c r="B254" t="s">
        <v>214</v>
      </c>
      <c r="C254" t="s">
        <v>15</v>
      </c>
      <c r="D254" t="s">
        <v>16</v>
      </c>
      <c r="E254" t="s">
        <v>92</v>
      </c>
      <c r="F254" t="s">
        <v>93</v>
      </c>
      <c r="G254" s="1">
        <v>750.07949999999994</v>
      </c>
      <c r="H254" s="1">
        <f t="shared" si="12"/>
        <v>847.58983499999988</v>
      </c>
      <c r="I254" s="1">
        <f t="shared" si="13"/>
        <v>1200.1271999999999</v>
      </c>
      <c r="J254" s="1">
        <f t="shared" si="14"/>
        <v>1104.1170239999999</v>
      </c>
      <c r="K254" s="6">
        <f t="shared" si="15"/>
        <v>1.472</v>
      </c>
      <c r="L254">
        <v>6</v>
      </c>
    </row>
    <row r="255" spans="1:12" x14ac:dyDescent="0.3">
      <c r="A255" t="s">
        <v>221</v>
      </c>
      <c r="B255" t="s">
        <v>222</v>
      </c>
      <c r="C255" t="s">
        <v>223</v>
      </c>
      <c r="D255" t="s">
        <v>11</v>
      </c>
      <c r="E255" t="s">
        <v>92</v>
      </c>
      <c r="F255" t="s">
        <v>127</v>
      </c>
      <c r="G255" s="1">
        <v>637.65809999999999</v>
      </c>
      <c r="H255" s="1">
        <f t="shared" si="12"/>
        <v>720.55365299999994</v>
      </c>
      <c r="I255" s="1">
        <f t="shared" si="13"/>
        <v>1020.25296</v>
      </c>
      <c r="J255" s="1">
        <f t="shared" si="14"/>
        <v>938.6327232000001</v>
      </c>
      <c r="K255" s="6">
        <f t="shared" si="15"/>
        <v>1.4720000000000002</v>
      </c>
      <c r="L255">
        <v>6</v>
      </c>
    </row>
    <row r="256" spans="1:12" x14ac:dyDescent="0.3">
      <c r="A256" t="s">
        <v>295</v>
      </c>
      <c r="B256" t="s">
        <v>291</v>
      </c>
      <c r="C256" t="s">
        <v>10</v>
      </c>
      <c r="D256" t="s">
        <v>11</v>
      </c>
      <c r="E256" t="s">
        <v>292</v>
      </c>
      <c r="F256" t="s">
        <v>293</v>
      </c>
      <c r="G256" s="1">
        <v>277.63484999999997</v>
      </c>
      <c r="H256" s="1">
        <f t="shared" si="12"/>
        <v>313.72738049999992</v>
      </c>
      <c r="I256" s="1">
        <f t="shared" si="13"/>
        <v>444.21575999999999</v>
      </c>
      <c r="J256" s="1">
        <f t="shared" si="14"/>
        <v>408.67849920000003</v>
      </c>
      <c r="K256" s="6">
        <f t="shared" si="15"/>
        <v>1.4720000000000002</v>
      </c>
      <c r="L256">
        <v>6</v>
      </c>
    </row>
    <row r="257" spans="1:12" x14ac:dyDescent="0.3">
      <c r="A257" t="s">
        <v>402</v>
      </c>
      <c r="B257" t="s">
        <v>400</v>
      </c>
      <c r="C257" t="s">
        <v>10</v>
      </c>
      <c r="D257" t="s">
        <v>11</v>
      </c>
      <c r="E257" t="s">
        <v>378</v>
      </c>
      <c r="F257" t="s">
        <v>401</v>
      </c>
      <c r="G257" s="1">
        <v>139.13159999999999</v>
      </c>
      <c r="H257" s="1">
        <f t="shared" si="12"/>
        <v>157.21870799999996</v>
      </c>
      <c r="I257" s="1">
        <f t="shared" si="13"/>
        <v>222.61055999999999</v>
      </c>
      <c r="J257" s="1">
        <f t="shared" si="14"/>
        <v>204.80171519999999</v>
      </c>
      <c r="K257" s="6">
        <f t="shared" si="15"/>
        <v>1.472</v>
      </c>
      <c r="L257">
        <v>6</v>
      </c>
    </row>
    <row r="258" spans="1:12" x14ac:dyDescent="0.3">
      <c r="A258" t="s">
        <v>88</v>
      </c>
      <c r="B258" t="s">
        <v>89</v>
      </c>
      <c r="C258" t="s">
        <v>74</v>
      </c>
      <c r="D258" t="s">
        <v>16</v>
      </c>
      <c r="E258" t="s">
        <v>32</v>
      </c>
      <c r="F258" t="s">
        <v>33</v>
      </c>
      <c r="G258" s="1">
        <v>151.11284999999998</v>
      </c>
      <c r="H258" s="1">
        <f t="shared" si="12"/>
        <v>170.75752049999997</v>
      </c>
      <c r="I258" s="1">
        <f t="shared" si="13"/>
        <v>241.78055999999998</v>
      </c>
      <c r="J258" s="1">
        <f t="shared" si="14"/>
        <v>222.4381152</v>
      </c>
      <c r="K258" s="6">
        <f t="shared" si="15"/>
        <v>1.4720000000000002</v>
      </c>
      <c r="L258">
        <v>5</v>
      </c>
    </row>
    <row r="259" spans="1:12" x14ac:dyDescent="0.3">
      <c r="A259" t="s">
        <v>150</v>
      </c>
      <c r="B259" t="s">
        <v>145</v>
      </c>
      <c r="C259" t="s">
        <v>15</v>
      </c>
      <c r="D259" t="s">
        <v>16</v>
      </c>
      <c r="E259" t="s">
        <v>92</v>
      </c>
      <c r="F259" t="s">
        <v>93</v>
      </c>
      <c r="G259" s="1">
        <v>1214.8880999999999</v>
      </c>
      <c r="H259" s="1">
        <f t="shared" ref="H259:H295" si="16">G259*1.13</f>
        <v>1372.8235529999997</v>
      </c>
      <c r="I259" s="1">
        <f t="shared" ref="I259:I295" si="17">G259*1.6</f>
        <v>1943.82096</v>
      </c>
      <c r="J259" s="1">
        <f t="shared" ref="J259:J295" si="18">I259*0.92</f>
        <v>1788.3152832000001</v>
      </c>
      <c r="K259" s="6">
        <f t="shared" ref="K259:K295" si="19">J259/G259</f>
        <v>1.4720000000000002</v>
      </c>
      <c r="L259">
        <v>5</v>
      </c>
    </row>
    <row r="260" spans="1:12" x14ac:dyDescent="0.3">
      <c r="A260" t="s">
        <v>212</v>
      </c>
      <c r="B260" t="s">
        <v>210</v>
      </c>
      <c r="C260" t="s">
        <v>10</v>
      </c>
      <c r="D260" t="s">
        <v>11</v>
      </c>
      <c r="E260" t="s">
        <v>92</v>
      </c>
      <c r="F260" t="s">
        <v>93</v>
      </c>
      <c r="G260" s="1">
        <v>710.68514999999991</v>
      </c>
      <c r="H260" s="1">
        <f t="shared" si="16"/>
        <v>803.0742194999998</v>
      </c>
      <c r="I260" s="1">
        <f t="shared" si="17"/>
        <v>1137.0962399999999</v>
      </c>
      <c r="J260" s="1">
        <f t="shared" si="18"/>
        <v>1046.1285407999999</v>
      </c>
      <c r="K260" s="6">
        <f t="shared" si="19"/>
        <v>1.472</v>
      </c>
      <c r="L260">
        <v>5</v>
      </c>
    </row>
    <row r="261" spans="1:12" x14ac:dyDescent="0.3">
      <c r="A261" t="s">
        <v>360</v>
      </c>
      <c r="B261" t="s">
        <v>349</v>
      </c>
      <c r="C261" t="s">
        <v>74</v>
      </c>
      <c r="D261" t="s">
        <v>11</v>
      </c>
      <c r="E261" t="s">
        <v>292</v>
      </c>
      <c r="F261" t="s">
        <v>293</v>
      </c>
      <c r="G261" s="1">
        <v>991.93034999999998</v>
      </c>
      <c r="H261" s="1">
        <f t="shared" si="16"/>
        <v>1120.8812954999999</v>
      </c>
      <c r="I261" s="1">
        <f t="shared" si="17"/>
        <v>1587.0885600000001</v>
      </c>
      <c r="J261" s="1">
        <f t="shared" si="18"/>
        <v>1460.1214752000003</v>
      </c>
      <c r="K261" s="6">
        <f t="shared" si="19"/>
        <v>1.4720000000000004</v>
      </c>
      <c r="L261">
        <v>5</v>
      </c>
    </row>
    <row r="262" spans="1:12" x14ac:dyDescent="0.3">
      <c r="A262" t="s">
        <v>48</v>
      </c>
      <c r="B262" t="s">
        <v>39</v>
      </c>
      <c r="C262" t="s">
        <v>50</v>
      </c>
      <c r="D262" t="s">
        <v>16</v>
      </c>
      <c r="E262" t="s">
        <v>32</v>
      </c>
      <c r="F262" t="s">
        <v>41</v>
      </c>
      <c r="G262" s="1">
        <v>812.19029999999998</v>
      </c>
      <c r="H262" s="1">
        <f t="shared" si="16"/>
        <v>917.77503899999988</v>
      </c>
      <c r="I262" s="1">
        <f t="shared" si="17"/>
        <v>1299.5044800000001</v>
      </c>
      <c r="J262" s="1">
        <f t="shared" si="18"/>
        <v>1195.5441216000002</v>
      </c>
      <c r="K262" s="6">
        <f t="shared" si="19"/>
        <v>1.4720000000000002</v>
      </c>
      <c r="L262">
        <v>4</v>
      </c>
    </row>
    <row r="263" spans="1:12" x14ac:dyDescent="0.3">
      <c r="A263" t="s">
        <v>112</v>
      </c>
      <c r="B263" t="s">
        <v>113</v>
      </c>
      <c r="C263" t="s">
        <v>67</v>
      </c>
      <c r="D263" t="s">
        <v>11</v>
      </c>
      <c r="E263" t="s">
        <v>92</v>
      </c>
      <c r="F263" t="s">
        <v>93</v>
      </c>
      <c r="G263" s="1">
        <v>2172.1100999999999</v>
      </c>
      <c r="H263" s="1">
        <f t="shared" si="16"/>
        <v>2454.4844129999997</v>
      </c>
      <c r="I263" s="1">
        <f t="shared" si="17"/>
        <v>3475.3761599999998</v>
      </c>
      <c r="J263" s="1">
        <f t="shared" si="18"/>
        <v>3197.3460672000001</v>
      </c>
      <c r="K263" s="6">
        <f t="shared" si="19"/>
        <v>1.4720000000000002</v>
      </c>
      <c r="L263">
        <v>4</v>
      </c>
    </row>
    <row r="264" spans="1:12" x14ac:dyDescent="0.3">
      <c r="A264" t="s">
        <v>151</v>
      </c>
      <c r="B264" t="s">
        <v>145</v>
      </c>
      <c r="C264" t="s">
        <v>15</v>
      </c>
      <c r="D264" t="s">
        <v>16</v>
      </c>
      <c r="E264" t="s">
        <v>92</v>
      </c>
      <c r="F264" t="s">
        <v>93</v>
      </c>
      <c r="G264" s="1">
        <v>2497.7445000000002</v>
      </c>
      <c r="H264" s="1">
        <f t="shared" si="16"/>
        <v>2822.4512850000001</v>
      </c>
      <c r="I264" s="1">
        <f t="shared" si="17"/>
        <v>3996.3912000000005</v>
      </c>
      <c r="J264" s="1">
        <f t="shared" si="18"/>
        <v>3676.6799040000005</v>
      </c>
      <c r="K264" s="6">
        <f t="shared" si="19"/>
        <v>1.472</v>
      </c>
      <c r="L264">
        <v>4</v>
      </c>
    </row>
    <row r="265" spans="1:12" x14ac:dyDescent="0.3">
      <c r="A265" t="s">
        <v>244</v>
      </c>
      <c r="B265" t="s">
        <v>236</v>
      </c>
      <c r="C265" t="s">
        <v>15</v>
      </c>
      <c r="D265" t="s">
        <v>11</v>
      </c>
      <c r="E265" t="s">
        <v>92</v>
      </c>
      <c r="F265" t="s">
        <v>93</v>
      </c>
      <c r="G265" s="1">
        <v>2181.6844500000002</v>
      </c>
      <c r="H265" s="1">
        <f t="shared" si="16"/>
        <v>2465.3034284999999</v>
      </c>
      <c r="I265" s="1">
        <f t="shared" si="17"/>
        <v>3490.6951200000003</v>
      </c>
      <c r="J265" s="1">
        <f t="shared" si="18"/>
        <v>3211.4395104000005</v>
      </c>
      <c r="K265" s="6">
        <f t="shared" si="19"/>
        <v>1.472</v>
      </c>
      <c r="L265">
        <v>4</v>
      </c>
    </row>
    <row r="266" spans="1:12" x14ac:dyDescent="0.3">
      <c r="A266" t="s">
        <v>267</v>
      </c>
      <c r="B266" t="s">
        <v>268</v>
      </c>
      <c r="C266" t="s">
        <v>35</v>
      </c>
      <c r="D266" t="s">
        <v>16</v>
      </c>
      <c r="E266" t="s">
        <v>92</v>
      </c>
      <c r="F266" t="s">
        <v>93</v>
      </c>
      <c r="G266" s="1">
        <v>2386.7395500000002</v>
      </c>
      <c r="H266" s="1">
        <f t="shared" si="16"/>
        <v>2697.0156915000002</v>
      </c>
      <c r="I266" s="1">
        <f t="shared" si="17"/>
        <v>3818.7832800000006</v>
      </c>
      <c r="J266" s="1">
        <f t="shared" si="18"/>
        <v>3513.2806176000008</v>
      </c>
      <c r="K266" s="6">
        <f t="shared" si="19"/>
        <v>1.4720000000000002</v>
      </c>
      <c r="L266">
        <v>4</v>
      </c>
    </row>
    <row r="267" spans="1:12" x14ac:dyDescent="0.3">
      <c r="A267" t="s">
        <v>300</v>
      </c>
      <c r="B267" t="s">
        <v>301</v>
      </c>
      <c r="C267" t="s">
        <v>10</v>
      </c>
      <c r="D267" t="s">
        <v>11</v>
      </c>
      <c r="E267" t="s">
        <v>292</v>
      </c>
      <c r="F267" t="s">
        <v>302</v>
      </c>
      <c r="G267" s="1">
        <v>378.62879999999996</v>
      </c>
      <c r="H267" s="1">
        <f t="shared" si="16"/>
        <v>427.8505439999999</v>
      </c>
      <c r="I267" s="1">
        <f t="shared" si="17"/>
        <v>605.80607999999995</v>
      </c>
      <c r="J267" s="1">
        <f t="shared" si="18"/>
        <v>557.34159360000001</v>
      </c>
      <c r="K267" s="6">
        <f t="shared" si="19"/>
        <v>1.4720000000000002</v>
      </c>
      <c r="L267">
        <v>4</v>
      </c>
    </row>
    <row r="268" spans="1:12" x14ac:dyDescent="0.3">
      <c r="A268" t="s">
        <v>310</v>
      </c>
      <c r="B268" t="s">
        <v>308</v>
      </c>
      <c r="C268" t="s">
        <v>40</v>
      </c>
      <c r="D268" t="s">
        <v>163</v>
      </c>
      <c r="E268" t="s">
        <v>292</v>
      </c>
      <c r="F268" t="s">
        <v>302</v>
      </c>
      <c r="G268" s="1">
        <v>347.5095</v>
      </c>
      <c r="H268" s="1">
        <f t="shared" si="16"/>
        <v>392.68573499999997</v>
      </c>
      <c r="I268" s="1">
        <f t="shared" si="17"/>
        <v>556.01520000000005</v>
      </c>
      <c r="J268" s="1">
        <f t="shared" si="18"/>
        <v>511.53398400000009</v>
      </c>
      <c r="K268" s="6">
        <f t="shared" si="19"/>
        <v>1.4720000000000002</v>
      </c>
      <c r="L268">
        <v>4</v>
      </c>
    </row>
    <row r="269" spans="1:12" x14ac:dyDescent="0.3">
      <c r="A269" t="s">
        <v>352</v>
      </c>
      <c r="B269" t="s">
        <v>349</v>
      </c>
      <c r="C269" t="s">
        <v>67</v>
      </c>
      <c r="D269" t="s">
        <v>11</v>
      </c>
      <c r="E269" t="s">
        <v>292</v>
      </c>
      <c r="F269" t="s">
        <v>293</v>
      </c>
      <c r="G269" s="1">
        <v>1226.9332499999998</v>
      </c>
      <c r="H269" s="1">
        <f t="shared" si="16"/>
        <v>1386.4345724999996</v>
      </c>
      <c r="I269" s="1">
        <f t="shared" si="17"/>
        <v>1963.0931999999998</v>
      </c>
      <c r="J269" s="1">
        <f t="shared" si="18"/>
        <v>1806.0457439999998</v>
      </c>
      <c r="K269" s="6">
        <f t="shared" si="19"/>
        <v>1.472</v>
      </c>
      <c r="L269">
        <v>4</v>
      </c>
    </row>
    <row r="270" spans="1:12" x14ac:dyDescent="0.3">
      <c r="A270" t="s">
        <v>354</v>
      </c>
      <c r="B270" t="s">
        <v>349</v>
      </c>
      <c r="C270" t="s">
        <v>67</v>
      </c>
      <c r="D270" t="s">
        <v>11</v>
      </c>
      <c r="E270" t="s">
        <v>292</v>
      </c>
      <c r="F270" t="s">
        <v>293</v>
      </c>
      <c r="G270" s="1">
        <v>1226.9332499999998</v>
      </c>
      <c r="H270" s="1">
        <f t="shared" si="16"/>
        <v>1386.4345724999996</v>
      </c>
      <c r="I270" s="1">
        <f t="shared" si="17"/>
        <v>1963.0931999999998</v>
      </c>
      <c r="J270" s="1">
        <f t="shared" si="18"/>
        <v>1806.0457439999998</v>
      </c>
      <c r="K270" s="6">
        <f t="shared" si="19"/>
        <v>1.472</v>
      </c>
      <c r="L270">
        <v>4</v>
      </c>
    </row>
    <row r="271" spans="1:12" x14ac:dyDescent="0.3">
      <c r="A271" t="s">
        <v>357</v>
      </c>
      <c r="B271" t="s">
        <v>349</v>
      </c>
      <c r="C271" t="s">
        <v>67</v>
      </c>
      <c r="D271" t="s">
        <v>11</v>
      </c>
      <c r="E271" t="s">
        <v>292</v>
      </c>
      <c r="F271" t="s">
        <v>293</v>
      </c>
      <c r="G271" s="1">
        <v>1226.9332499999998</v>
      </c>
      <c r="H271" s="1">
        <f t="shared" si="16"/>
        <v>1386.4345724999996</v>
      </c>
      <c r="I271" s="1">
        <f t="shared" si="17"/>
        <v>1963.0931999999998</v>
      </c>
      <c r="J271" s="1">
        <f t="shared" si="18"/>
        <v>1806.0457439999998</v>
      </c>
      <c r="K271" s="6">
        <f t="shared" si="19"/>
        <v>1.472</v>
      </c>
      <c r="L271">
        <v>4</v>
      </c>
    </row>
    <row r="272" spans="1:12" x14ac:dyDescent="0.3">
      <c r="A272" t="s">
        <v>359</v>
      </c>
      <c r="B272" t="s">
        <v>349</v>
      </c>
      <c r="C272" t="s">
        <v>67</v>
      </c>
      <c r="D272" t="s">
        <v>11</v>
      </c>
      <c r="E272" t="s">
        <v>292</v>
      </c>
      <c r="F272" t="s">
        <v>293</v>
      </c>
      <c r="G272" s="1">
        <v>1579.4269499999998</v>
      </c>
      <c r="H272" s="1">
        <f t="shared" si="16"/>
        <v>1784.7524534999995</v>
      </c>
      <c r="I272" s="1">
        <f t="shared" si="17"/>
        <v>2527.0831199999998</v>
      </c>
      <c r="J272" s="1">
        <f t="shared" si="18"/>
        <v>2324.9164704</v>
      </c>
      <c r="K272" s="6">
        <f t="shared" si="19"/>
        <v>1.4720000000000002</v>
      </c>
      <c r="L272">
        <v>4</v>
      </c>
    </row>
    <row r="273" spans="1:12" x14ac:dyDescent="0.3">
      <c r="A273" t="s">
        <v>371</v>
      </c>
      <c r="B273" t="s">
        <v>372</v>
      </c>
      <c r="C273" t="s">
        <v>74</v>
      </c>
      <c r="D273" t="s">
        <v>11</v>
      </c>
      <c r="E273" t="s">
        <v>292</v>
      </c>
      <c r="F273" t="s">
        <v>293</v>
      </c>
      <c r="G273" s="1">
        <v>329.87309999999997</v>
      </c>
      <c r="H273" s="1">
        <f t="shared" si="16"/>
        <v>372.75660299999993</v>
      </c>
      <c r="I273" s="1">
        <f t="shared" si="17"/>
        <v>527.79696000000001</v>
      </c>
      <c r="J273" s="1">
        <f t="shared" si="18"/>
        <v>485.57320320000002</v>
      </c>
      <c r="K273" s="6">
        <f t="shared" si="19"/>
        <v>1.4720000000000002</v>
      </c>
      <c r="L273">
        <v>4</v>
      </c>
    </row>
    <row r="274" spans="1:12" x14ac:dyDescent="0.3">
      <c r="A274" t="s">
        <v>48</v>
      </c>
      <c r="B274" t="s">
        <v>39</v>
      </c>
      <c r="C274" t="s">
        <v>49</v>
      </c>
      <c r="D274" t="s">
        <v>16</v>
      </c>
      <c r="E274" t="s">
        <v>32</v>
      </c>
      <c r="F274" t="s">
        <v>41</v>
      </c>
      <c r="G274" s="1">
        <v>933.9197999999999</v>
      </c>
      <c r="H274" s="1">
        <f t="shared" si="16"/>
        <v>1055.3293739999997</v>
      </c>
      <c r="I274" s="1">
        <f t="shared" si="17"/>
        <v>1494.2716799999998</v>
      </c>
      <c r="J274" s="1">
        <f t="shared" si="18"/>
        <v>1374.7299455999998</v>
      </c>
      <c r="K274" s="6">
        <f t="shared" si="19"/>
        <v>1.472</v>
      </c>
      <c r="L274">
        <v>3</v>
      </c>
    </row>
    <row r="275" spans="1:12" x14ac:dyDescent="0.3">
      <c r="A275" t="s">
        <v>209</v>
      </c>
      <c r="B275" t="s">
        <v>210</v>
      </c>
      <c r="C275" t="s">
        <v>15</v>
      </c>
      <c r="D275" t="s">
        <v>11</v>
      </c>
      <c r="E275" t="s">
        <v>92</v>
      </c>
      <c r="F275" t="s">
        <v>93</v>
      </c>
      <c r="G275" s="1">
        <v>463.23239999999993</v>
      </c>
      <c r="H275" s="1">
        <f t="shared" si="16"/>
        <v>523.45261199999982</v>
      </c>
      <c r="I275" s="1">
        <f t="shared" si="17"/>
        <v>741.17183999999997</v>
      </c>
      <c r="J275" s="1">
        <f t="shared" si="18"/>
        <v>681.87809279999999</v>
      </c>
      <c r="K275" s="6">
        <f t="shared" si="19"/>
        <v>1.4720000000000002</v>
      </c>
      <c r="L275">
        <v>3</v>
      </c>
    </row>
    <row r="276" spans="1:12" x14ac:dyDescent="0.3">
      <c r="A276" t="s">
        <v>365</v>
      </c>
      <c r="B276" t="s">
        <v>364</v>
      </c>
      <c r="C276" t="s">
        <v>35</v>
      </c>
      <c r="D276" t="s">
        <v>11</v>
      </c>
      <c r="E276" t="s">
        <v>292</v>
      </c>
      <c r="F276" t="s">
        <v>302</v>
      </c>
      <c r="G276" s="1">
        <v>439.68525</v>
      </c>
      <c r="H276" s="1">
        <f t="shared" si="16"/>
        <v>496.84433249999995</v>
      </c>
      <c r="I276" s="1">
        <f t="shared" si="17"/>
        <v>703.49639999999999</v>
      </c>
      <c r="J276" s="1">
        <f t="shared" si="18"/>
        <v>647.21668799999998</v>
      </c>
      <c r="K276" s="6">
        <f t="shared" si="19"/>
        <v>1.472</v>
      </c>
      <c r="L276">
        <v>3</v>
      </c>
    </row>
    <row r="277" spans="1:12" x14ac:dyDescent="0.3">
      <c r="A277" t="s">
        <v>42</v>
      </c>
      <c r="B277" t="s">
        <v>39</v>
      </c>
      <c r="C277" t="s">
        <v>43</v>
      </c>
      <c r="D277" t="s">
        <v>11</v>
      </c>
      <c r="E277" t="s">
        <v>32</v>
      </c>
      <c r="F277" t="s">
        <v>41</v>
      </c>
      <c r="G277" s="1">
        <v>2189.3524499999999</v>
      </c>
      <c r="H277" s="1">
        <f t="shared" si="16"/>
        <v>2473.9682684999998</v>
      </c>
      <c r="I277" s="1">
        <f t="shared" si="17"/>
        <v>3502.9639200000001</v>
      </c>
      <c r="J277" s="1">
        <f t="shared" si="18"/>
        <v>3222.7268064000004</v>
      </c>
      <c r="K277" s="6">
        <f t="shared" si="19"/>
        <v>1.4720000000000002</v>
      </c>
      <c r="L277">
        <v>2</v>
      </c>
    </row>
    <row r="278" spans="1:12" x14ac:dyDescent="0.3">
      <c r="A278" t="s">
        <v>114</v>
      </c>
      <c r="B278" t="s">
        <v>113</v>
      </c>
      <c r="C278" t="s">
        <v>67</v>
      </c>
      <c r="D278" t="s">
        <v>16</v>
      </c>
      <c r="E278" t="s">
        <v>92</v>
      </c>
      <c r="F278" t="s">
        <v>93</v>
      </c>
      <c r="G278" s="1">
        <v>690.13064999999995</v>
      </c>
      <c r="H278" s="1">
        <f t="shared" si="16"/>
        <v>779.84763449999991</v>
      </c>
      <c r="I278" s="1">
        <f t="shared" si="17"/>
        <v>1104.20904</v>
      </c>
      <c r="J278" s="1">
        <f t="shared" si="18"/>
        <v>1015.8723168</v>
      </c>
      <c r="K278" s="6">
        <f t="shared" si="19"/>
        <v>1.4720000000000002</v>
      </c>
      <c r="L278">
        <v>2</v>
      </c>
    </row>
    <row r="279" spans="1:12" x14ac:dyDescent="0.3">
      <c r="A279" t="s">
        <v>154</v>
      </c>
      <c r="B279" t="s">
        <v>152</v>
      </c>
      <c r="C279" t="s">
        <v>10</v>
      </c>
      <c r="D279" t="s">
        <v>11</v>
      </c>
      <c r="E279" t="s">
        <v>92</v>
      </c>
      <c r="F279" t="s">
        <v>93</v>
      </c>
      <c r="G279" s="1">
        <v>17701.311750000001</v>
      </c>
      <c r="H279" s="1">
        <f t="shared" si="16"/>
        <v>20002.482277499999</v>
      </c>
      <c r="I279" s="1">
        <f t="shared" si="17"/>
        <v>28322.098800000003</v>
      </c>
      <c r="J279" s="1">
        <f t="shared" si="18"/>
        <v>26056.330896000003</v>
      </c>
      <c r="K279" s="6">
        <f t="shared" si="19"/>
        <v>1.4720000000000002</v>
      </c>
      <c r="L279">
        <v>2</v>
      </c>
    </row>
    <row r="280" spans="1:12" x14ac:dyDescent="0.3">
      <c r="A280" t="s">
        <v>257</v>
      </c>
      <c r="B280" t="s">
        <v>252</v>
      </c>
      <c r="C280" t="s">
        <v>15</v>
      </c>
      <c r="D280" t="s">
        <v>11</v>
      </c>
      <c r="E280" t="s">
        <v>92</v>
      </c>
      <c r="F280" t="s">
        <v>93</v>
      </c>
      <c r="G280" s="1">
        <v>1701.8380499999998</v>
      </c>
      <c r="H280" s="1">
        <f t="shared" si="16"/>
        <v>1923.0769964999997</v>
      </c>
      <c r="I280" s="1">
        <f t="shared" si="17"/>
        <v>2722.9408800000001</v>
      </c>
      <c r="J280" s="1">
        <f t="shared" si="18"/>
        <v>2505.1056096000002</v>
      </c>
      <c r="K280" s="6">
        <f t="shared" si="19"/>
        <v>1.4720000000000002</v>
      </c>
      <c r="L280">
        <v>2</v>
      </c>
    </row>
    <row r="281" spans="1:12" x14ac:dyDescent="0.3">
      <c r="A281" t="s">
        <v>317</v>
      </c>
      <c r="B281" t="s">
        <v>316</v>
      </c>
      <c r="C281" t="s">
        <v>35</v>
      </c>
      <c r="D281" t="s">
        <v>11</v>
      </c>
      <c r="E281" t="s">
        <v>292</v>
      </c>
      <c r="F281" t="s">
        <v>302</v>
      </c>
      <c r="G281" s="1">
        <v>124.74345</v>
      </c>
      <c r="H281" s="1">
        <f t="shared" si="16"/>
        <v>140.96009849999999</v>
      </c>
      <c r="I281" s="1">
        <f t="shared" si="17"/>
        <v>199.58951999999999</v>
      </c>
      <c r="J281" s="1">
        <f t="shared" si="18"/>
        <v>183.6223584</v>
      </c>
      <c r="K281" s="6">
        <f t="shared" si="19"/>
        <v>1.472</v>
      </c>
      <c r="L281">
        <v>2</v>
      </c>
    </row>
    <row r="282" spans="1:12" x14ac:dyDescent="0.3">
      <c r="A282" t="s">
        <v>366</v>
      </c>
      <c r="B282" t="s">
        <v>364</v>
      </c>
      <c r="C282" t="s">
        <v>69</v>
      </c>
      <c r="D282" t="s">
        <v>11</v>
      </c>
      <c r="E282" t="s">
        <v>292</v>
      </c>
      <c r="F282" t="s">
        <v>302</v>
      </c>
      <c r="G282" s="1">
        <v>726.5643</v>
      </c>
      <c r="H282" s="1">
        <f t="shared" si="16"/>
        <v>821.01765899999998</v>
      </c>
      <c r="I282" s="1">
        <f t="shared" si="17"/>
        <v>1162.50288</v>
      </c>
      <c r="J282" s="1">
        <f t="shared" si="18"/>
        <v>1069.5026496</v>
      </c>
      <c r="K282" s="6">
        <f t="shared" si="19"/>
        <v>1.472</v>
      </c>
      <c r="L282">
        <v>2</v>
      </c>
    </row>
    <row r="283" spans="1:12" x14ac:dyDescent="0.3">
      <c r="A283" t="s">
        <v>369</v>
      </c>
      <c r="B283" t="s">
        <v>364</v>
      </c>
      <c r="C283" t="s">
        <v>15</v>
      </c>
      <c r="D283" t="s">
        <v>142</v>
      </c>
      <c r="E283" t="s">
        <v>292</v>
      </c>
      <c r="F283" t="s">
        <v>302</v>
      </c>
      <c r="G283" s="1">
        <v>150.8253</v>
      </c>
      <c r="H283" s="1">
        <f t="shared" si="16"/>
        <v>170.43258899999998</v>
      </c>
      <c r="I283" s="1">
        <f t="shared" si="17"/>
        <v>241.32048</v>
      </c>
      <c r="J283" s="1">
        <f t="shared" si="18"/>
        <v>222.01484160000001</v>
      </c>
      <c r="K283" s="6">
        <f t="shared" si="19"/>
        <v>1.4720000000000002</v>
      </c>
      <c r="L283">
        <v>2</v>
      </c>
    </row>
    <row r="284" spans="1:12" x14ac:dyDescent="0.3">
      <c r="A284" t="s">
        <v>373</v>
      </c>
      <c r="B284" t="s">
        <v>372</v>
      </c>
      <c r="C284" t="s">
        <v>74</v>
      </c>
      <c r="D284" t="s">
        <v>11</v>
      </c>
      <c r="E284" t="s">
        <v>292</v>
      </c>
      <c r="F284" t="s">
        <v>293</v>
      </c>
      <c r="G284" s="1">
        <v>989.64059999999995</v>
      </c>
      <c r="H284" s="1">
        <f t="shared" si="16"/>
        <v>1118.2938779999999</v>
      </c>
      <c r="I284" s="1">
        <f t="shared" si="17"/>
        <v>1583.4249600000001</v>
      </c>
      <c r="J284" s="1">
        <f t="shared" si="18"/>
        <v>1456.7509632000001</v>
      </c>
      <c r="K284" s="6">
        <f t="shared" si="19"/>
        <v>1.4720000000000002</v>
      </c>
      <c r="L284">
        <v>2</v>
      </c>
    </row>
    <row r="285" spans="1:12" x14ac:dyDescent="0.3">
      <c r="A285" t="s">
        <v>144</v>
      </c>
      <c r="B285" t="s">
        <v>145</v>
      </c>
      <c r="C285" t="s">
        <v>10</v>
      </c>
      <c r="D285" t="s">
        <v>16</v>
      </c>
      <c r="E285" t="s">
        <v>92</v>
      </c>
      <c r="F285" t="s">
        <v>93</v>
      </c>
      <c r="G285" s="1">
        <v>413.99745000000001</v>
      </c>
      <c r="H285" s="1">
        <f t="shared" si="16"/>
        <v>467.81711849999999</v>
      </c>
      <c r="I285" s="1">
        <f t="shared" si="17"/>
        <v>662.39592000000005</v>
      </c>
      <c r="J285" s="1">
        <f t="shared" si="18"/>
        <v>609.40424640000003</v>
      </c>
      <c r="K285" s="6">
        <f t="shared" si="19"/>
        <v>1.472</v>
      </c>
      <c r="L285">
        <v>1</v>
      </c>
    </row>
    <row r="286" spans="1:12" x14ac:dyDescent="0.3">
      <c r="A286" t="s">
        <v>148</v>
      </c>
      <c r="B286" t="s">
        <v>145</v>
      </c>
      <c r="C286" t="s">
        <v>15</v>
      </c>
      <c r="D286" t="s">
        <v>16</v>
      </c>
      <c r="E286" t="s">
        <v>92</v>
      </c>
      <c r="F286" t="s">
        <v>93</v>
      </c>
      <c r="G286" s="1">
        <v>1400.8051499999999</v>
      </c>
      <c r="H286" s="1">
        <f t="shared" si="16"/>
        <v>1582.9098194999997</v>
      </c>
      <c r="I286" s="1">
        <f t="shared" si="17"/>
        <v>2241.2882399999999</v>
      </c>
      <c r="J286" s="1">
        <f t="shared" si="18"/>
        <v>2061.9851807999999</v>
      </c>
      <c r="K286" s="6">
        <f t="shared" si="19"/>
        <v>1.472</v>
      </c>
      <c r="L286">
        <v>1</v>
      </c>
    </row>
    <row r="287" spans="1:12" x14ac:dyDescent="0.3">
      <c r="A287" t="s">
        <v>237</v>
      </c>
      <c r="B287" t="s">
        <v>236</v>
      </c>
      <c r="C287" t="s">
        <v>15</v>
      </c>
      <c r="D287" t="s">
        <v>11</v>
      </c>
      <c r="E287" t="s">
        <v>92</v>
      </c>
      <c r="F287" t="s">
        <v>93</v>
      </c>
      <c r="G287" s="1">
        <v>1177.6982999999998</v>
      </c>
      <c r="H287" s="1">
        <f t="shared" si="16"/>
        <v>1330.7990789999997</v>
      </c>
      <c r="I287" s="1">
        <f t="shared" si="17"/>
        <v>1884.3172799999998</v>
      </c>
      <c r="J287" s="1">
        <f t="shared" si="18"/>
        <v>1733.5718975999998</v>
      </c>
      <c r="K287" s="6">
        <f t="shared" si="19"/>
        <v>1.4720000000000002</v>
      </c>
      <c r="L287">
        <v>1</v>
      </c>
    </row>
    <row r="288" spans="1:12" x14ac:dyDescent="0.3">
      <c r="A288" t="s">
        <v>258</v>
      </c>
      <c r="B288" t="s">
        <v>259</v>
      </c>
      <c r="C288" t="s">
        <v>108</v>
      </c>
      <c r="D288" t="s">
        <v>109</v>
      </c>
      <c r="E288" t="s">
        <v>92</v>
      </c>
      <c r="F288" t="s">
        <v>109</v>
      </c>
      <c r="G288" s="1">
        <v>295.55879999999996</v>
      </c>
      <c r="H288" s="1">
        <f t="shared" si="16"/>
        <v>333.98144399999995</v>
      </c>
      <c r="I288" s="1">
        <f t="shared" si="17"/>
        <v>472.89407999999997</v>
      </c>
      <c r="J288" s="1">
        <f t="shared" si="18"/>
        <v>435.0625536</v>
      </c>
      <c r="K288" s="6">
        <f t="shared" si="19"/>
        <v>1.4720000000000002</v>
      </c>
      <c r="L288">
        <v>1</v>
      </c>
    </row>
    <row r="289" spans="1:12" x14ac:dyDescent="0.3">
      <c r="A289" t="s">
        <v>271</v>
      </c>
      <c r="B289" t="s">
        <v>272</v>
      </c>
      <c r="C289" t="s">
        <v>10</v>
      </c>
      <c r="D289" t="s">
        <v>11</v>
      </c>
      <c r="E289" t="s">
        <v>92</v>
      </c>
      <c r="F289" t="s">
        <v>93</v>
      </c>
      <c r="G289" s="1">
        <v>4782.8617499999991</v>
      </c>
      <c r="H289" s="1">
        <f t="shared" si="16"/>
        <v>5404.6337774999984</v>
      </c>
      <c r="I289" s="1">
        <f t="shared" si="17"/>
        <v>7652.5787999999993</v>
      </c>
      <c r="J289" s="1">
        <f t="shared" si="18"/>
        <v>7040.372496</v>
      </c>
      <c r="K289" s="6">
        <f t="shared" si="19"/>
        <v>1.4720000000000002</v>
      </c>
      <c r="L289">
        <v>1</v>
      </c>
    </row>
    <row r="290" spans="1:12" x14ac:dyDescent="0.3">
      <c r="A290" t="s">
        <v>273</v>
      </c>
      <c r="B290" t="s">
        <v>272</v>
      </c>
      <c r="C290" t="s">
        <v>10</v>
      </c>
      <c r="D290" t="s">
        <v>11</v>
      </c>
      <c r="E290" t="s">
        <v>92</v>
      </c>
      <c r="F290" t="s">
        <v>93</v>
      </c>
      <c r="G290" s="1">
        <v>2695.7919000000002</v>
      </c>
      <c r="H290" s="1">
        <f t="shared" si="16"/>
        <v>3046.2448469999999</v>
      </c>
      <c r="I290" s="1">
        <f t="shared" si="17"/>
        <v>4313.2670400000006</v>
      </c>
      <c r="J290" s="1">
        <f t="shared" si="18"/>
        <v>3968.2056768000007</v>
      </c>
      <c r="K290" s="6">
        <f t="shared" si="19"/>
        <v>1.4720000000000002</v>
      </c>
      <c r="L290">
        <v>1</v>
      </c>
    </row>
    <row r="291" spans="1:12" x14ac:dyDescent="0.3">
      <c r="A291" t="s">
        <v>332</v>
      </c>
      <c r="B291" t="s">
        <v>330</v>
      </c>
      <c r="C291" t="s">
        <v>35</v>
      </c>
      <c r="D291" t="s">
        <v>11</v>
      </c>
      <c r="E291" t="s">
        <v>292</v>
      </c>
      <c r="F291" t="s">
        <v>293</v>
      </c>
      <c r="G291" s="1">
        <v>857.82555000000002</v>
      </c>
      <c r="H291" s="1">
        <f t="shared" si="16"/>
        <v>969.34287149999989</v>
      </c>
      <c r="I291" s="1">
        <f t="shared" si="17"/>
        <v>1372.52088</v>
      </c>
      <c r="J291" s="1">
        <f t="shared" si="18"/>
        <v>1262.7192096000001</v>
      </c>
      <c r="K291" s="6">
        <f t="shared" si="19"/>
        <v>1.4720000000000002</v>
      </c>
      <c r="L291">
        <v>1</v>
      </c>
    </row>
    <row r="292" spans="1:12" x14ac:dyDescent="0.3">
      <c r="A292" t="s">
        <v>336</v>
      </c>
      <c r="B292" t="s">
        <v>335</v>
      </c>
      <c r="C292" t="s">
        <v>35</v>
      </c>
      <c r="D292" t="s">
        <v>11</v>
      </c>
      <c r="E292" t="s">
        <v>292</v>
      </c>
      <c r="F292" t="s">
        <v>302</v>
      </c>
      <c r="G292" s="1">
        <v>425.28644999999995</v>
      </c>
      <c r="H292" s="1">
        <f t="shared" si="16"/>
        <v>480.57368849999989</v>
      </c>
      <c r="I292" s="1">
        <f t="shared" si="17"/>
        <v>680.45831999999996</v>
      </c>
      <c r="J292" s="1">
        <f t="shared" si="18"/>
        <v>626.02165439999999</v>
      </c>
      <c r="K292" s="6">
        <f t="shared" si="19"/>
        <v>1.4720000000000002</v>
      </c>
      <c r="L292">
        <v>1</v>
      </c>
    </row>
    <row r="293" spans="1:12" x14ac:dyDescent="0.3">
      <c r="A293" t="s">
        <v>374</v>
      </c>
      <c r="B293" t="s">
        <v>375</v>
      </c>
      <c r="C293" t="s">
        <v>376</v>
      </c>
      <c r="D293" t="s">
        <v>11</v>
      </c>
      <c r="E293" t="s">
        <v>292</v>
      </c>
      <c r="F293" t="s">
        <v>302</v>
      </c>
      <c r="G293" s="1">
        <v>2264.24325</v>
      </c>
      <c r="H293" s="1">
        <f t="shared" si="16"/>
        <v>2558.5948724999998</v>
      </c>
      <c r="I293" s="1">
        <f t="shared" si="17"/>
        <v>3622.7892000000002</v>
      </c>
      <c r="J293" s="1">
        <f t="shared" si="18"/>
        <v>3332.9660640000002</v>
      </c>
      <c r="K293" s="6">
        <f t="shared" si="19"/>
        <v>1.4720000000000002</v>
      </c>
      <c r="L293">
        <v>1</v>
      </c>
    </row>
    <row r="294" spans="1:12" x14ac:dyDescent="0.3">
      <c r="A294" t="s">
        <v>398</v>
      </c>
      <c r="B294" t="s">
        <v>394</v>
      </c>
      <c r="C294" t="s">
        <v>74</v>
      </c>
      <c r="D294" t="s">
        <v>11</v>
      </c>
      <c r="E294" t="s">
        <v>378</v>
      </c>
      <c r="F294" t="s">
        <v>382</v>
      </c>
      <c r="G294" s="1">
        <v>590.16974999999991</v>
      </c>
      <c r="H294" s="1">
        <f t="shared" si="16"/>
        <v>666.89181749999989</v>
      </c>
      <c r="I294" s="1">
        <f t="shared" si="17"/>
        <v>944.27159999999992</v>
      </c>
      <c r="J294" s="1">
        <f t="shared" si="18"/>
        <v>868.729872</v>
      </c>
      <c r="K294" s="6">
        <f t="shared" si="19"/>
        <v>1.4720000000000002</v>
      </c>
      <c r="L294">
        <v>1</v>
      </c>
    </row>
    <row r="295" spans="1:12" x14ac:dyDescent="0.3">
      <c r="A295" t="s">
        <v>14</v>
      </c>
      <c r="B295" t="s">
        <v>9</v>
      </c>
      <c r="C295" t="s">
        <v>15</v>
      </c>
      <c r="D295" t="s">
        <v>16</v>
      </c>
      <c r="E295" t="s">
        <v>12</v>
      </c>
      <c r="F295" t="s">
        <v>13</v>
      </c>
      <c r="G295" s="1">
        <v>244.55595</v>
      </c>
      <c r="H295" s="1">
        <f t="shared" si="16"/>
        <v>276.34822349999996</v>
      </c>
      <c r="I295" s="1">
        <f t="shared" si="17"/>
        <v>391.28952000000004</v>
      </c>
      <c r="J295" s="1">
        <f t="shared" si="18"/>
        <v>359.98635840000003</v>
      </c>
      <c r="K295" s="6">
        <f t="shared" si="19"/>
        <v>1.4720000000000002</v>
      </c>
      <c r="L295" s="4">
        <v>0</v>
      </c>
    </row>
  </sheetData>
  <autoFilter ref="A1:L1"/>
  <sortState ref="A2:L295">
    <sortCondition descending="1" ref="L2:L295"/>
  </sortState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4"/>
  <sheetViews>
    <sheetView workbookViewId="0"/>
  </sheetViews>
  <sheetFormatPr defaultRowHeight="14.4" x14ac:dyDescent="0.3"/>
  <cols>
    <col min="1" max="1" width="42" customWidth="1"/>
    <col min="2" max="2" width="28" customWidth="1"/>
    <col min="3" max="3" width="10" customWidth="1"/>
    <col min="4" max="4" width="12" customWidth="1"/>
    <col min="5" max="5" width="14" customWidth="1"/>
    <col min="6" max="6" width="20" customWidth="1"/>
    <col min="7" max="7" width="14" style="1" customWidth="1"/>
    <col min="8" max="8" width="10" customWidth="1"/>
  </cols>
  <sheetData>
    <row r="1" spans="1:8" s="2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</row>
    <row r="2" spans="1:8" x14ac:dyDescent="0.3">
      <c r="A2" t="s">
        <v>410</v>
      </c>
      <c r="B2" t="s">
        <v>411</v>
      </c>
      <c r="C2" t="s">
        <v>10</v>
      </c>
      <c r="D2" t="s">
        <v>11</v>
      </c>
      <c r="E2" t="s">
        <v>412</v>
      </c>
      <c r="F2" t="s">
        <v>413</v>
      </c>
      <c r="G2" s="1">
        <v>79.672650000000004</v>
      </c>
      <c r="H2">
        <v>171</v>
      </c>
    </row>
    <row r="3" spans="1:8" x14ac:dyDescent="0.3">
      <c r="A3" t="s">
        <v>414</v>
      </c>
      <c r="B3" t="s">
        <v>411</v>
      </c>
      <c r="C3" t="s">
        <v>50</v>
      </c>
      <c r="D3" t="s">
        <v>16</v>
      </c>
      <c r="E3" t="s">
        <v>412</v>
      </c>
      <c r="F3" t="s">
        <v>415</v>
      </c>
      <c r="G3" s="1">
        <v>79.672650000000004</v>
      </c>
      <c r="H3">
        <v>169</v>
      </c>
    </row>
    <row r="4" spans="1:8" x14ac:dyDescent="0.3">
      <c r="A4" t="s">
        <v>416</v>
      </c>
      <c r="B4" t="s">
        <v>411</v>
      </c>
      <c r="C4" t="s">
        <v>35</v>
      </c>
      <c r="D4" t="s">
        <v>11</v>
      </c>
      <c r="E4" t="s">
        <v>412</v>
      </c>
      <c r="F4" t="s">
        <v>413</v>
      </c>
      <c r="G4" s="1">
        <v>148.43969999999999</v>
      </c>
      <c r="H4">
        <v>4</v>
      </c>
    </row>
    <row r="5" spans="1:8" x14ac:dyDescent="0.3">
      <c r="A5" t="s">
        <v>417</v>
      </c>
      <c r="B5" t="s">
        <v>411</v>
      </c>
      <c r="C5" t="s">
        <v>50</v>
      </c>
      <c r="D5" t="s">
        <v>16</v>
      </c>
      <c r="E5" t="s">
        <v>412</v>
      </c>
      <c r="F5" t="s">
        <v>415</v>
      </c>
      <c r="G5" s="1">
        <v>158.58914999999999</v>
      </c>
      <c r="H5">
        <v>693</v>
      </c>
    </row>
    <row r="6" spans="1:8" x14ac:dyDescent="0.3">
      <c r="A6" t="s">
        <v>418</v>
      </c>
      <c r="B6" t="s">
        <v>419</v>
      </c>
      <c r="C6" t="s">
        <v>10</v>
      </c>
      <c r="D6" t="s">
        <v>16</v>
      </c>
      <c r="E6" t="s">
        <v>412</v>
      </c>
      <c r="F6" t="s">
        <v>420</v>
      </c>
      <c r="G6" s="1">
        <v>107.85254999999999</v>
      </c>
      <c r="H6">
        <v>281</v>
      </c>
    </row>
    <row r="7" spans="1:8" x14ac:dyDescent="0.3">
      <c r="A7" t="s">
        <v>421</v>
      </c>
      <c r="B7" t="s">
        <v>422</v>
      </c>
      <c r="C7" t="s">
        <v>35</v>
      </c>
      <c r="D7" t="s">
        <v>11</v>
      </c>
      <c r="E7" t="s">
        <v>32</v>
      </c>
      <c r="F7" t="s">
        <v>423</v>
      </c>
      <c r="G7" s="1">
        <v>239.16704999999999</v>
      </c>
      <c r="H7">
        <v>41</v>
      </c>
    </row>
    <row r="8" spans="1:8" x14ac:dyDescent="0.3">
      <c r="A8" t="s">
        <v>424</v>
      </c>
      <c r="B8" t="s">
        <v>422</v>
      </c>
      <c r="C8" t="s">
        <v>74</v>
      </c>
      <c r="D8" t="s">
        <v>11</v>
      </c>
      <c r="E8" t="s">
        <v>32</v>
      </c>
      <c r="F8" t="s">
        <v>423</v>
      </c>
      <c r="G8" s="1">
        <v>983.21865000000003</v>
      </c>
      <c r="H8">
        <v>13</v>
      </c>
    </row>
    <row r="9" spans="1:8" x14ac:dyDescent="0.3">
      <c r="A9" t="s">
        <v>425</v>
      </c>
      <c r="B9" t="s">
        <v>422</v>
      </c>
      <c r="C9" t="s">
        <v>223</v>
      </c>
      <c r="D9" t="s">
        <v>11</v>
      </c>
      <c r="E9" t="s">
        <v>32</v>
      </c>
      <c r="F9" t="s">
        <v>423</v>
      </c>
      <c r="G9" s="1">
        <v>485.69324999999998</v>
      </c>
      <c r="H9">
        <v>39</v>
      </c>
    </row>
    <row r="10" spans="1:8" x14ac:dyDescent="0.3">
      <c r="A10" t="s">
        <v>426</v>
      </c>
      <c r="B10" t="s">
        <v>427</v>
      </c>
      <c r="C10" t="s">
        <v>10</v>
      </c>
      <c r="D10" t="s">
        <v>16</v>
      </c>
      <c r="E10" t="s">
        <v>32</v>
      </c>
      <c r="F10" t="s">
        <v>428</v>
      </c>
      <c r="G10" s="1">
        <v>449.33415000000002</v>
      </c>
      <c r="H10">
        <v>1</v>
      </c>
    </row>
    <row r="11" spans="1:8" x14ac:dyDescent="0.3">
      <c r="A11" t="s">
        <v>426</v>
      </c>
      <c r="B11" t="s">
        <v>427</v>
      </c>
      <c r="C11" t="s">
        <v>15</v>
      </c>
      <c r="D11" t="s">
        <v>16</v>
      </c>
      <c r="E11" t="s">
        <v>32</v>
      </c>
      <c r="F11" t="s">
        <v>428</v>
      </c>
      <c r="G11" s="1">
        <v>422.30444999999997</v>
      </c>
      <c r="H11">
        <v>38</v>
      </c>
    </row>
    <row r="12" spans="1:8" x14ac:dyDescent="0.3">
      <c r="A12" t="s">
        <v>429</v>
      </c>
      <c r="B12" t="s">
        <v>430</v>
      </c>
      <c r="C12" t="s">
        <v>10</v>
      </c>
      <c r="D12" t="s">
        <v>11</v>
      </c>
      <c r="E12" t="s">
        <v>32</v>
      </c>
      <c r="F12" t="s">
        <v>33</v>
      </c>
      <c r="G12" s="1">
        <v>192.49875</v>
      </c>
      <c r="H12">
        <v>10</v>
      </c>
    </row>
    <row r="13" spans="1:8" x14ac:dyDescent="0.3">
      <c r="A13" t="s">
        <v>431</v>
      </c>
      <c r="B13" t="s">
        <v>430</v>
      </c>
      <c r="C13" t="s">
        <v>74</v>
      </c>
      <c r="D13" t="s">
        <v>11</v>
      </c>
      <c r="E13" t="s">
        <v>32</v>
      </c>
      <c r="F13" t="s">
        <v>33</v>
      </c>
      <c r="G13" s="1">
        <v>2120.4043499999998</v>
      </c>
      <c r="H13">
        <v>23</v>
      </c>
    </row>
    <row r="14" spans="1:8" x14ac:dyDescent="0.3">
      <c r="A14" t="s">
        <v>432</v>
      </c>
      <c r="B14" t="s">
        <v>433</v>
      </c>
      <c r="C14" t="s">
        <v>67</v>
      </c>
      <c r="D14" t="s">
        <v>11</v>
      </c>
      <c r="E14" t="s">
        <v>32</v>
      </c>
      <c r="F14" t="s">
        <v>423</v>
      </c>
      <c r="G14" s="1">
        <v>196.75874999999999</v>
      </c>
      <c r="H14">
        <v>554</v>
      </c>
    </row>
    <row r="15" spans="1:8" x14ac:dyDescent="0.3">
      <c r="A15" t="s">
        <v>434</v>
      </c>
      <c r="B15" t="s">
        <v>433</v>
      </c>
      <c r="C15" t="s">
        <v>67</v>
      </c>
      <c r="D15" t="s">
        <v>11</v>
      </c>
      <c r="E15" t="s">
        <v>32</v>
      </c>
      <c r="F15" t="s">
        <v>423</v>
      </c>
      <c r="G15" s="1">
        <v>494.72444999999993</v>
      </c>
      <c r="H15">
        <v>82</v>
      </c>
    </row>
    <row r="16" spans="1:8" x14ac:dyDescent="0.3">
      <c r="A16" t="s">
        <v>435</v>
      </c>
      <c r="B16" t="s">
        <v>433</v>
      </c>
      <c r="C16" t="s">
        <v>67</v>
      </c>
      <c r="D16" t="s">
        <v>11</v>
      </c>
      <c r="E16" t="s">
        <v>32</v>
      </c>
      <c r="F16" t="s">
        <v>423</v>
      </c>
      <c r="G16" s="1">
        <v>668.4366</v>
      </c>
      <c r="H16">
        <v>25</v>
      </c>
    </row>
    <row r="17" spans="1:8" x14ac:dyDescent="0.3">
      <c r="A17" t="s">
        <v>436</v>
      </c>
      <c r="B17" t="s">
        <v>433</v>
      </c>
      <c r="C17" t="s">
        <v>10</v>
      </c>
      <c r="D17" t="s">
        <v>11</v>
      </c>
      <c r="E17" t="s">
        <v>32</v>
      </c>
      <c r="F17" t="s">
        <v>423</v>
      </c>
      <c r="G17" s="1">
        <v>107.10704999999999</v>
      </c>
      <c r="H17">
        <v>468</v>
      </c>
    </row>
    <row r="18" spans="1:8" x14ac:dyDescent="0.3">
      <c r="A18" t="s">
        <v>437</v>
      </c>
      <c r="B18" t="s">
        <v>438</v>
      </c>
      <c r="C18" t="s">
        <v>67</v>
      </c>
      <c r="D18" t="s">
        <v>11</v>
      </c>
      <c r="E18" t="s">
        <v>92</v>
      </c>
      <c r="F18" t="s">
        <v>439</v>
      </c>
      <c r="G18" s="1">
        <v>447.47039999999998</v>
      </c>
      <c r="H18">
        <v>98</v>
      </c>
    </row>
    <row r="19" spans="1:8" x14ac:dyDescent="0.3">
      <c r="A19" t="s">
        <v>440</v>
      </c>
      <c r="B19" t="s">
        <v>440</v>
      </c>
      <c r="C19" t="s">
        <v>37</v>
      </c>
      <c r="D19" t="s">
        <v>163</v>
      </c>
      <c r="E19" t="s">
        <v>92</v>
      </c>
      <c r="F19" t="s">
        <v>439</v>
      </c>
      <c r="G19" s="1">
        <v>5095.8119999999999</v>
      </c>
      <c r="H19">
        <v>2</v>
      </c>
    </row>
    <row r="20" spans="1:8" x14ac:dyDescent="0.3">
      <c r="A20" t="s">
        <v>441</v>
      </c>
      <c r="B20" t="s">
        <v>440</v>
      </c>
      <c r="C20" t="s">
        <v>45</v>
      </c>
      <c r="D20" t="s">
        <v>163</v>
      </c>
      <c r="E20" t="s">
        <v>92</v>
      </c>
      <c r="F20" t="s">
        <v>439</v>
      </c>
      <c r="G20" s="1">
        <v>3184.1795999999999</v>
      </c>
      <c r="H20">
        <v>18</v>
      </c>
    </row>
    <row r="21" spans="1:8" x14ac:dyDescent="0.3">
      <c r="A21" t="s">
        <v>441</v>
      </c>
      <c r="B21" t="s">
        <v>440</v>
      </c>
      <c r="C21" t="s">
        <v>225</v>
      </c>
      <c r="D21" t="s">
        <v>163</v>
      </c>
      <c r="E21" t="s">
        <v>92</v>
      </c>
      <c r="F21" t="s">
        <v>439</v>
      </c>
      <c r="G21" s="1">
        <v>2704.2692999999995</v>
      </c>
      <c r="H21">
        <v>29</v>
      </c>
    </row>
    <row r="22" spans="1:8" x14ac:dyDescent="0.3">
      <c r="A22" t="s">
        <v>442</v>
      </c>
      <c r="B22" t="s">
        <v>440</v>
      </c>
      <c r="C22" t="s">
        <v>443</v>
      </c>
      <c r="D22" t="s">
        <v>163</v>
      </c>
      <c r="E22" t="s">
        <v>92</v>
      </c>
      <c r="F22" t="s">
        <v>439</v>
      </c>
      <c r="G22" s="1">
        <v>5095.8119999999999</v>
      </c>
      <c r="H22">
        <v>2</v>
      </c>
    </row>
    <row r="23" spans="1:8" x14ac:dyDescent="0.3">
      <c r="A23" t="s">
        <v>442</v>
      </c>
      <c r="B23" t="s">
        <v>440</v>
      </c>
      <c r="C23" t="s">
        <v>444</v>
      </c>
      <c r="D23" t="s">
        <v>163</v>
      </c>
      <c r="E23" t="s">
        <v>92</v>
      </c>
      <c r="F23" t="s">
        <v>439</v>
      </c>
      <c r="G23" s="1">
        <v>5010.9847499999996</v>
      </c>
      <c r="H23">
        <v>2</v>
      </c>
    </row>
    <row r="24" spans="1:8" x14ac:dyDescent="0.3">
      <c r="A24" t="s">
        <v>445</v>
      </c>
      <c r="B24" t="s">
        <v>440</v>
      </c>
      <c r="C24" t="s">
        <v>74</v>
      </c>
      <c r="D24" t="s">
        <v>163</v>
      </c>
      <c r="E24" t="s">
        <v>92</v>
      </c>
      <c r="F24" t="s">
        <v>439</v>
      </c>
      <c r="G24" s="1">
        <v>2551.1010000000001</v>
      </c>
      <c r="H24">
        <v>12</v>
      </c>
    </row>
    <row r="25" spans="1:8" x14ac:dyDescent="0.3">
      <c r="A25" t="s">
        <v>446</v>
      </c>
      <c r="B25" t="s">
        <v>440</v>
      </c>
      <c r="C25" t="s">
        <v>376</v>
      </c>
      <c r="D25" t="s">
        <v>163</v>
      </c>
      <c r="E25" t="s">
        <v>92</v>
      </c>
      <c r="F25" t="s">
        <v>439</v>
      </c>
      <c r="G25" s="1">
        <v>65059.30575</v>
      </c>
      <c r="H25">
        <v>3</v>
      </c>
    </row>
    <row r="26" spans="1:8" x14ac:dyDescent="0.3">
      <c r="A26" t="s">
        <v>447</v>
      </c>
      <c r="B26" t="s">
        <v>448</v>
      </c>
      <c r="C26" t="s">
        <v>449</v>
      </c>
      <c r="D26" t="s">
        <v>11</v>
      </c>
      <c r="E26" t="s">
        <v>92</v>
      </c>
      <c r="F26" t="s">
        <v>439</v>
      </c>
      <c r="G26" s="1">
        <v>2844.2102999999997</v>
      </c>
      <c r="H26">
        <v>1</v>
      </c>
    </row>
    <row r="27" spans="1:8" x14ac:dyDescent="0.3">
      <c r="A27" t="s">
        <v>450</v>
      </c>
      <c r="B27" t="s">
        <v>450</v>
      </c>
      <c r="C27" t="s">
        <v>451</v>
      </c>
      <c r="D27" t="s">
        <v>11</v>
      </c>
      <c r="E27" t="s">
        <v>92</v>
      </c>
      <c r="F27" t="s">
        <v>439</v>
      </c>
      <c r="G27" s="1">
        <v>7555.6850999999997</v>
      </c>
      <c r="H27" s="4">
        <v>0</v>
      </c>
    </row>
    <row r="28" spans="1:8" x14ac:dyDescent="0.3">
      <c r="A28" t="s">
        <v>452</v>
      </c>
      <c r="B28" t="s">
        <v>453</v>
      </c>
      <c r="C28" t="s">
        <v>10</v>
      </c>
      <c r="D28" t="s">
        <v>16</v>
      </c>
      <c r="E28" t="s">
        <v>92</v>
      </c>
      <c r="F28" t="s">
        <v>439</v>
      </c>
      <c r="G28" s="1">
        <v>482.77515</v>
      </c>
      <c r="H28">
        <v>88</v>
      </c>
    </row>
    <row r="29" spans="1:8" x14ac:dyDescent="0.3">
      <c r="A29" t="s">
        <v>452</v>
      </c>
      <c r="B29" t="s">
        <v>453</v>
      </c>
      <c r="C29" t="s">
        <v>35</v>
      </c>
      <c r="D29" t="s">
        <v>11</v>
      </c>
      <c r="E29" t="s">
        <v>92</v>
      </c>
      <c r="F29" t="s">
        <v>439</v>
      </c>
      <c r="G29" s="1">
        <v>404.44439999999997</v>
      </c>
      <c r="H29">
        <v>104</v>
      </c>
    </row>
    <row r="30" spans="1:8" x14ac:dyDescent="0.3">
      <c r="A30" t="s">
        <v>454</v>
      </c>
      <c r="B30" t="s">
        <v>453</v>
      </c>
      <c r="C30" t="s">
        <v>50</v>
      </c>
      <c r="D30" t="s">
        <v>16</v>
      </c>
      <c r="E30" t="s">
        <v>92</v>
      </c>
      <c r="F30" t="s">
        <v>439</v>
      </c>
      <c r="G30" s="1">
        <v>120.49409999999999</v>
      </c>
      <c r="H30">
        <v>110</v>
      </c>
    </row>
    <row r="31" spans="1:8" x14ac:dyDescent="0.3">
      <c r="A31" t="s">
        <v>455</v>
      </c>
      <c r="B31" t="s">
        <v>456</v>
      </c>
      <c r="C31" t="s">
        <v>457</v>
      </c>
      <c r="D31" t="s">
        <v>458</v>
      </c>
      <c r="E31" t="s">
        <v>92</v>
      </c>
      <c r="F31" t="s">
        <v>439</v>
      </c>
      <c r="G31" s="1">
        <v>12377.429999999998</v>
      </c>
      <c r="H31">
        <v>1</v>
      </c>
    </row>
    <row r="32" spans="1:8" x14ac:dyDescent="0.3">
      <c r="A32" t="s">
        <v>459</v>
      </c>
      <c r="B32" t="s">
        <v>459</v>
      </c>
      <c r="C32" t="s">
        <v>225</v>
      </c>
      <c r="D32" t="s">
        <v>11</v>
      </c>
      <c r="E32" t="s">
        <v>92</v>
      </c>
      <c r="F32" t="s">
        <v>439</v>
      </c>
      <c r="G32" s="1">
        <v>2096.5909499999998</v>
      </c>
      <c r="H32">
        <v>2</v>
      </c>
    </row>
    <row r="33" spans="1:8" x14ac:dyDescent="0.3">
      <c r="A33" t="s">
        <v>460</v>
      </c>
      <c r="B33" t="s">
        <v>460</v>
      </c>
      <c r="C33" t="s">
        <v>223</v>
      </c>
      <c r="D33" t="s">
        <v>11</v>
      </c>
      <c r="E33" t="s">
        <v>92</v>
      </c>
      <c r="F33" t="s">
        <v>439</v>
      </c>
      <c r="G33" s="1">
        <v>657.83985000000007</v>
      </c>
      <c r="H33">
        <v>23</v>
      </c>
    </row>
    <row r="34" spans="1:8" x14ac:dyDescent="0.3">
      <c r="A34" t="s">
        <v>461</v>
      </c>
      <c r="B34" t="s">
        <v>462</v>
      </c>
      <c r="C34" t="s">
        <v>463</v>
      </c>
      <c r="D34" t="s">
        <v>11</v>
      </c>
      <c r="E34" t="s">
        <v>92</v>
      </c>
      <c r="F34" t="s">
        <v>439</v>
      </c>
      <c r="G34" s="1">
        <v>7386.0518999999995</v>
      </c>
      <c r="H34">
        <v>2</v>
      </c>
    </row>
    <row r="35" spans="1:8" x14ac:dyDescent="0.3">
      <c r="A35" t="s">
        <v>464</v>
      </c>
      <c r="B35" t="s">
        <v>465</v>
      </c>
      <c r="C35" t="s">
        <v>74</v>
      </c>
      <c r="D35" t="s">
        <v>11</v>
      </c>
      <c r="E35" t="s">
        <v>92</v>
      </c>
      <c r="F35" t="s">
        <v>93</v>
      </c>
      <c r="G35" s="1">
        <v>3900.4559999999997</v>
      </c>
      <c r="H35">
        <v>16</v>
      </c>
    </row>
    <row r="36" spans="1:8" x14ac:dyDescent="0.3">
      <c r="A36" t="s">
        <v>466</v>
      </c>
      <c r="B36" t="s">
        <v>467</v>
      </c>
      <c r="C36" t="s">
        <v>10</v>
      </c>
      <c r="D36" t="s">
        <v>11</v>
      </c>
      <c r="E36" t="s">
        <v>92</v>
      </c>
      <c r="F36" t="s">
        <v>136</v>
      </c>
      <c r="G36" s="1">
        <v>169.17524999999998</v>
      </c>
      <c r="H36">
        <v>67</v>
      </c>
    </row>
    <row r="37" spans="1:8" x14ac:dyDescent="0.3">
      <c r="A37" t="s">
        <v>468</v>
      </c>
      <c r="B37" t="s">
        <v>467</v>
      </c>
      <c r="C37" t="s">
        <v>10</v>
      </c>
      <c r="D37" t="s">
        <v>11</v>
      </c>
      <c r="E37" t="s">
        <v>92</v>
      </c>
      <c r="F37" t="s">
        <v>136</v>
      </c>
      <c r="G37" s="1">
        <v>199.42124999999999</v>
      </c>
      <c r="H37">
        <v>123</v>
      </c>
    </row>
    <row r="38" spans="1:8" x14ac:dyDescent="0.3">
      <c r="A38" t="s">
        <v>469</v>
      </c>
      <c r="B38" t="s">
        <v>470</v>
      </c>
      <c r="C38" t="s">
        <v>35</v>
      </c>
      <c r="D38" t="s">
        <v>11</v>
      </c>
      <c r="E38" t="s">
        <v>92</v>
      </c>
      <c r="F38" t="s">
        <v>439</v>
      </c>
      <c r="G38" s="1">
        <v>668.02125000000001</v>
      </c>
      <c r="H38">
        <v>45</v>
      </c>
    </row>
    <row r="39" spans="1:8" x14ac:dyDescent="0.3">
      <c r="A39" t="s">
        <v>471</v>
      </c>
      <c r="B39" t="s">
        <v>472</v>
      </c>
      <c r="C39" t="s">
        <v>457</v>
      </c>
      <c r="D39" t="s">
        <v>458</v>
      </c>
      <c r="E39" t="s">
        <v>92</v>
      </c>
      <c r="F39" t="s">
        <v>439</v>
      </c>
      <c r="G39" s="1">
        <v>26378.03715</v>
      </c>
      <c r="H39">
        <v>2</v>
      </c>
    </row>
    <row r="40" spans="1:8" x14ac:dyDescent="0.3">
      <c r="A40" t="s">
        <v>473</v>
      </c>
      <c r="B40" t="s">
        <v>474</v>
      </c>
      <c r="C40" t="s">
        <v>225</v>
      </c>
      <c r="D40" t="s">
        <v>11</v>
      </c>
      <c r="E40" t="s">
        <v>92</v>
      </c>
      <c r="F40" t="s">
        <v>439</v>
      </c>
      <c r="G40" s="1">
        <v>2437.9021499999999</v>
      </c>
      <c r="H40">
        <v>4</v>
      </c>
    </row>
    <row r="41" spans="1:8" x14ac:dyDescent="0.3">
      <c r="A41" t="s">
        <v>112</v>
      </c>
      <c r="B41" t="s">
        <v>475</v>
      </c>
      <c r="C41" t="s">
        <v>10</v>
      </c>
      <c r="D41" t="s">
        <v>11</v>
      </c>
      <c r="E41" t="s">
        <v>92</v>
      </c>
      <c r="F41" t="s">
        <v>93</v>
      </c>
      <c r="G41" s="1">
        <v>3460.2914999999998</v>
      </c>
      <c r="H41">
        <v>15</v>
      </c>
    </row>
    <row r="42" spans="1:8" x14ac:dyDescent="0.3">
      <c r="A42" t="s">
        <v>476</v>
      </c>
      <c r="B42" t="s">
        <v>475</v>
      </c>
      <c r="C42" t="s">
        <v>10</v>
      </c>
      <c r="D42" t="s">
        <v>11</v>
      </c>
      <c r="E42" t="s">
        <v>92</v>
      </c>
      <c r="F42" t="s">
        <v>93</v>
      </c>
      <c r="G42" s="1">
        <v>1019.0559</v>
      </c>
      <c r="H42">
        <v>38</v>
      </c>
    </row>
    <row r="43" spans="1:8" x14ac:dyDescent="0.3">
      <c r="A43" t="s">
        <v>477</v>
      </c>
      <c r="B43" t="s">
        <v>475</v>
      </c>
      <c r="C43" t="s">
        <v>10</v>
      </c>
      <c r="D43" t="s">
        <v>11</v>
      </c>
      <c r="E43" t="s">
        <v>92</v>
      </c>
      <c r="F43" t="s">
        <v>93</v>
      </c>
      <c r="G43" s="1">
        <v>2212.5481500000001</v>
      </c>
      <c r="H43">
        <v>2</v>
      </c>
    </row>
    <row r="44" spans="1:8" x14ac:dyDescent="0.3">
      <c r="A44" t="s">
        <v>478</v>
      </c>
      <c r="B44" t="s">
        <v>475</v>
      </c>
      <c r="C44" t="s">
        <v>10</v>
      </c>
      <c r="D44" t="s">
        <v>11</v>
      </c>
      <c r="E44" t="s">
        <v>92</v>
      </c>
      <c r="F44" t="s">
        <v>93</v>
      </c>
      <c r="G44" s="1">
        <v>1760.4662999999998</v>
      </c>
      <c r="H44">
        <v>6</v>
      </c>
    </row>
    <row r="45" spans="1:8" x14ac:dyDescent="0.3">
      <c r="A45" t="s">
        <v>479</v>
      </c>
      <c r="B45" t="s">
        <v>480</v>
      </c>
      <c r="C45" t="s">
        <v>225</v>
      </c>
      <c r="D45" t="s">
        <v>11</v>
      </c>
      <c r="E45" t="s">
        <v>92</v>
      </c>
      <c r="F45" t="s">
        <v>439</v>
      </c>
      <c r="G45" s="1">
        <v>4502.0425500000001</v>
      </c>
      <c r="H45">
        <v>2</v>
      </c>
    </row>
    <row r="46" spans="1:8" x14ac:dyDescent="0.3">
      <c r="A46" t="s">
        <v>481</v>
      </c>
      <c r="B46" t="s">
        <v>482</v>
      </c>
      <c r="C46" t="s">
        <v>35</v>
      </c>
      <c r="D46" t="s">
        <v>11</v>
      </c>
      <c r="E46" t="s">
        <v>292</v>
      </c>
      <c r="F46" t="s">
        <v>293</v>
      </c>
      <c r="G46" s="1">
        <v>708.19304999999997</v>
      </c>
      <c r="H46">
        <v>6</v>
      </c>
    </row>
    <row r="47" spans="1:8" x14ac:dyDescent="0.3">
      <c r="A47" t="s">
        <v>481</v>
      </c>
      <c r="B47" t="s">
        <v>482</v>
      </c>
      <c r="C47" t="s">
        <v>67</v>
      </c>
      <c r="D47" t="s">
        <v>11</v>
      </c>
      <c r="E47" t="s">
        <v>292</v>
      </c>
      <c r="F47" t="s">
        <v>293</v>
      </c>
      <c r="G47" s="1">
        <v>708.19304999999997</v>
      </c>
      <c r="H47">
        <v>28</v>
      </c>
    </row>
    <row r="48" spans="1:8" x14ac:dyDescent="0.3">
      <c r="A48" t="s">
        <v>483</v>
      </c>
      <c r="B48" t="s">
        <v>482</v>
      </c>
      <c r="C48" t="s">
        <v>67</v>
      </c>
      <c r="D48" t="s">
        <v>11</v>
      </c>
      <c r="E48" t="s">
        <v>292</v>
      </c>
      <c r="F48" t="s">
        <v>293</v>
      </c>
      <c r="G48" s="1">
        <v>552.3622499999999</v>
      </c>
      <c r="H48">
        <v>38</v>
      </c>
    </row>
    <row r="49" spans="1:8" x14ac:dyDescent="0.3">
      <c r="A49" t="s">
        <v>484</v>
      </c>
      <c r="B49" t="s">
        <v>482</v>
      </c>
      <c r="C49" t="s">
        <v>35</v>
      </c>
      <c r="D49" t="s">
        <v>11</v>
      </c>
      <c r="E49" t="s">
        <v>292</v>
      </c>
      <c r="F49" t="s">
        <v>293</v>
      </c>
      <c r="G49" s="1">
        <v>552.34095000000002</v>
      </c>
      <c r="H49">
        <v>31</v>
      </c>
    </row>
    <row r="50" spans="1:8" x14ac:dyDescent="0.3">
      <c r="A50" t="s">
        <v>485</v>
      </c>
      <c r="B50" t="s">
        <v>482</v>
      </c>
      <c r="C50" t="s">
        <v>15</v>
      </c>
      <c r="D50" t="s">
        <v>11</v>
      </c>
      <c r="E50" t="s">
        <v>292</v>
      </c>
      <c r="F50" t="s">
        <v>293</v>
      </c>
      <c r="G50" s="1">
        <v>118.73684999999999</v>
      </c>
      <c r="H50">
        <v>81</v>
      </c>
    </row>
    <row r="51" spans="1:8" x14ac:dyDescent="0.3">
      <c r="A51" t="s">
        <v>486</v>
      </c>
      <c r="B51" t="s">
        <v>482</v>
      </c>
      <c r="C51" t="s">
        <v>67</v>
      </c>
      <c r="D51" t="s">
        <v>11</v>
      </c>
      <c r="E51" t="s">
        <v>292</v>
      </c>
      <c r="F51" t="s">
        <v>293</v>
      </c>
      <c r="G51" s="1">
        <v>155.5539</v>
      </c>
      <c r="H51">
        <v>80</v>
      </c>
    </row>
    <row r="52" spans="1:8" x14ac:dyDescent="0.3">
      <c r="A52" t="s">
        <v>487</v>
      </c>
      <c r="B52" t="s">
        <v>482</v>
      </c>
      <c r="C52" t="s">
        <v>50</v>
      </c>
      <c r="D52" t="s">
        <v>488</v>
      </c>
      <c r="E52" t="s">
        <v>292</v>
      </c>
      <c r="F52" t="s">
        <v>293</v>
      </c>
      <c r="G52" s="1">
        <v>64.230149999999995</v>
      </c>
      <c r="H52">
        <v>66</v>
      </c>
    </row>
    <row r="53" spans="1:8" x14ac:dyDescent="0.3">
      <c r="A53" t="s">
        <v>489</v>
      </c>
      <c r="B53" t="s">
        <v>490</v>
      </c>
      <c r="C53" t="s">
        <v>15</v>
      </c>
      <c r="D53" t="s">
        <v>16</v>
      </c>
      <c r="E53" t="s">
        <v>292</v>
      </c>
      <c r="F53" t="s">
        <v>491</v>
      </c>
      <c r="G53" s="1">
        <v>156.77865</v>
      </c>
      <c r="H53">
        <v>151</v>
      </c>
    </row>
    <row r="54" spans="1:8" x14ac:dyDescent="0.3">
      <c r="A54" t="s">
        <v>492</v>
      </c>
      <c r="B54" t="s">
        <v>490</v>
      </c>
      <c r="C54" t="s">
        <v>15</v>
      </c>
      <c r="D54" t="s">
        <v>16</v>
      </c>
      <c r="E54" t="s">
        <v>292</v>
      </c>
      <c r="F54" t="s">
        <v>491</v>
      </c>
      <c r="G54" s="1">
        <v>222.29744999999997</v>
      </c>
      <c r="H54">
        <v>113</v>
      </c>
    </row>
    <row r="55" spans="1:8" x14ac:dyDescent="0.3">
      <c r="A55" t="s">
        <v>492</v>
      </c>
      <c r="B55" t="s">
        <v>490</v>
      </c>
      <c r="C55" t="s">
        <v>10</v>
      </c>
      <c r="D55" t="s">
        <v>16</v>
      </c>
      <c r="E55" t="s">
        <v>292</v>
      </c>
      <c r="F55" t="s">
        <v>491</v>
      </c>
      <c r="G55" s="1">
        <v>222.29744999999997</v>
      </c>
      <c r="H55">
        <v>60</v>
      </c>
    </row>
    <row r="56" spans="1:8" x14ac:dyDescent="0.3">
      <c r="A56" t="s">
        <v>493</v>
      </c>
      <c r="B56" t="s">
        <v>490</v>
      </c>
      <c r="C56" t="s">
        <v>10</v>
      </c>
      <c r="D56" t="s">
        <v>11</v>
      </c>
      <c r="E56" t="s">
        <v>292</v>
      </c>
      <c r="F56" t="s">
        <v>491</v>
      </c>
      <c r="G56" s="1">
        <v>285.22829999999999</v>
      </c>
      <c r="H56">
        <v>7</v>
      </c>
    </row>
    <row r="57" spans="1:8" x14ac:dyDescent="0.3">
      <c r="A57" t="s">
        <v>494</v>
      </c>
      <c r="B57" t="s">
        <v>490</v>
      </c>
      <c r="C57" t="s">
        <v>50</v>
      </c>
      <c r="D57" t="s">
        <v>11</v>
      </c>
      <c r="E57" t="s">
        <v>292</v>
      </c>
      <c r="F57" t="s">
        <v>491</v>
      </c>
      <c r="G57" s="1">
        <v>342.16319999999996</v>
      </c>
      <c r="H57">
        <v>40</v>
      </c>
    </row>
    <row r="58" spans="1:8" x14ac:dyDescent="0.3">
      <c r="A58" t="s">
        <v>495</v>
      </c>
      <c r="B58" t="s">
        <v>490</v>
      </c>
      <c r="C58" t="s">
        <v>10</v>
      </c>
      <c r="D58" t="s">
        <v>16</v>
      </c>
      <c r="E58" t="s">
        <v>292</v>
      </c>
      <c r="F58" t="s">
        <v>491</v>
      </c>
      <c r="G58" s="1">
        <v>230.51924999999997</v>
      </c>
      <c r="H58">
        <v>23</v>
      </c>
    </row>
    <row r="59" spans="1:8" x14ac:dyDescent="0.3">
      <c r="A59" t="s">
        <v>496</v>
      </c>
      <c r="B59" t="s">
        <v>490</v>
      </c>
      <c r="C59" t="s">
        <v>50</v>
      </c>
      <c r="D59" t="s">
        <v>16</v>
      </c>
      <c r="E59" t="s">
        <v>292</v>
      </c>
      <c r="F59" t="s">
        <v>491</v>
      </c>
      <c r="G59" s="1">
        <v>93.869099999999989</v>
      </c>
      <c r="H59">
        <v>754</v>
      </c>
    </row>
    <row r="60" spans="1:8" x14ac:dyDescent="0.3">
      <c r="A60" t="s">
        <v>497</v>
      </c>
      <c r="B60" t="s">
        <v>490</v>
      </c>
      <c r="C60" t="s">
        <v>15</v>
      </c>
      <c r="D60" t="s">
        <v>11</v>
      </c>
      <c r="E60" t="s">
        <v>292</v>
      </c>
      <c r="F60" t="s">
        <v>491</v>
      </c>
      <c r="G60" s="1">
        <v>231.2328</v>
      </c>
      <c r="H60">
        <v>126</v>
      </c>
    </row>
    <row r="61" spans="1:8" x14ac:dyDescent="0.3">
      <c r="A61" t="s">
        <v>498</v>
      </c>
      <c r="B61" t="s">
        <v>490</v>
      </c>
      <c r="C61" t="s">
        <v>67</v>
      </c>
      <c r="D61" t="s">
        <v>11</v>
      </c>
      <c r="E61" t="s">
        <v>292</v>
      </c>
      <c r="F61" t="s">
        <v>491</v>
      </c>
      <c r="G61" s="1">
        <v>371.18444999999997</v>
      </c>
      <c r="H61">
        <v>14</v>
      </c>
    </row>
    <row r="62" spans="1:8" x14ac:dyDescent="0.3">
      <c r="A62" t="s">
        <v>499</v>
      </c>
      <c r="B62" t="s">
        <v>490</v>
      </c>
      <c r="C62" t="s">
        <v>50</v>
      </c>
      <c r="D62" t="s">
        <v>16</v>
      </c>
      <c r="E62" t="s">
        <v>292</v>
      </c>
      <c r="F62" t="s">
        <v>491</v>
      </c>
      <c r="G62" s="1">
        <v>84.561000000000007</v>
      </c>
      <c r="H62">
        <v>923</v>
      </c>
    </row>
    <row r="63" spans="1:8" x14ac:dyDescent="0.3">
      <c r="A63" t="s">
        <v>500</v>
      </c>
      <c r="B63" t="s">
        <v>490</v>
      </c>
      <c r="C63" t="s">
        <v>15</v>
      </c>
      <c r="D63" t="s">
        <v>11</v>
      </c>
      <c r="E63" t="s">
        <v>292</v>
      </c>
      <c r="F63" t="s">
        <v>491</v>
      </c>
      <c r="G63" s="1">
        <v>84.561000000000007</v>
      </c>
      <c r="H63">
        <v>204</v>
      </c>
    </row>
    <row r="64" spans="1:8" x14ac:dyDescent="0.3">
      <c r="A64" t="s">
        <v>501</v>
      </c>
      <c r="B64" t="s">
        <v>502</v>
      </c>
      <c r="C64" t="s">
        <v>10</v>
      </c>
      <c r="D64" t="s">
        <v>11</v>
      </c>
      <c r="E64" t="s">
        <v>292</v>
      </c>
      <c r="F64" t="s">
        <v>302</v>
      </c>
      <c r="G64" s="1">
        <v>636.83804999999995</v>
      </c>
      <c r="H64">
        <v>75</v>
      </c>
    </row>
    <row r="65" spans="1:8" x14ac:dyDescent="0.3">
      <c r="A65" t="s">
        <v>503</v>
      </c>
      <c r="B65" t="s">
        <v>502</v>
      </c>
      <c r="C65" t="s">
        <v>10</v>
      </c>
      <c r="D65" t="s">
        <v>11</v>
      </c>
      <c r="E65" t="s">
        <v>292</v>
      </c>
      <c r="F65" t="s">
        <v>302</v>
      </c>
      <c r="G65" s="1">
        <v>2909.3244</v>
      </c>
      <c r="H65">
        <v>4</v>
      </c>
    </row>
    <row r="66" spans="1:8" x14ac:dyDescent="0.3">
      <c r="A66" t="s">
        <v>504</v>
      </c>
      <c r="B66" t="s">
        <v>502</v>
      </c>
      <c r="C66" t="s">
        <v>10</v>
      </c>
      <c r="D66" t="s">
        <v>11</v>
      </c>
      <c r="E66" t="s">
        <v>292</v>
      </c>
      <c r="F66" t="s">
        <v>302</v>
      </c>
      <c r="G66" s="1">
        <v>1505.1112499999999</v>
      </c>
      <c r="H66">
        <v>23</v>
      </c>
    </row>
    <row r="67" spans="1:8" x14ac:dyDescent="0.3">
      <c r="A67" t="s">
        <v>505</v>
      </c>
      <c r="B67" t="s">
        <v>502</v>
      </c>
      <c r="C67" t="s">
        <v>15</v>
      </c>
      <c r="D67" t="s">
        <v>11</v>
      </c>
      <c r="E67" t="s">
        <v>292</v>
      </c>
      <c r="F67" t="s">
        <v>302</v>
      </c>
      <c r="G67" s="1">
        <v>246.12149999999997</v>
      </c>
      <c r="H67">
        <v>1729</v>
      </c>
    </row>
    <row r="68" spans="1:8" x14ac:dyDescent="0.3">
      <c r="A68" t="s">
        <v>506</v>
      </c>
      <c r="B68" t="s">
        <v>502</v>
      </c>
      <c r="C68" t="s">
        <v>15</v>
      </c>
      <c r="D68" t="s">
        <v>11</v>
      </c>
      <c r="E68" t="s">
        <v>292</v>
      </c>
      <c r="F68" t="s">
        <v>302</v>
      </c>
      <c r="G68" s="1">
        <v>1129.7945999999999</v>
      </c>
      <c r="H68">
        <v>1</v>
      </c>
    </row>
    <row r="69" spans="1:8" x14ac:dyDescent="0.3">
      <c r="A69" t="s">
        <v>507</v>
      </c>
      <c r="B69" t="s">
        <v>502</v>
      </c>
      <c r="C69" t="s">
        <v>10</v>
      </c>
      <c r="D69" t="s">
        <v>11</v>
      </c>
      <c r="E69" t="s">
        <v>292</v>
      </c>
      <c r="F69" t="s">
        <v>302</v>
      </c>
      <c r="G69" s="1">
        <v>2183.4310500000001</v>
      </c>
      <c r="H69">
        <v>8</v>
      </c>
    </row>
    <row r="70" spans="1:8" x14ac:dyDescent="0.3">
      <c r="A70" t="s">
        <v>508</v>
      </c>
      <c r="B70" t="s">
        <v>502</v>
      </c>
      <c r="C70" t="s">
        <v>15</v>
      </c>
      <c r="D70" t="s">
        <v>16</v>
      </c>
      <c r="E70" t="s">
        <v>292</v>
      </c>
      <c r="F70" t="s">
        <v>302</v>
      </c>
      <c r="G70" s="1">
        <v>533.73540000000003</v>
      </c>
      <c r="H70">
        <v>105</v>
      </c>
    </row>
    <row r="71" spans="1:8" x14ac:dyDescent="0.3">
      <c r="A71" t="s">
        <v>508</v>
      </c>
      <c r="B71" t="s">
        <v>502</v>
      </c>
      <c r="C71" t="s">
        <v>10</v>
      </c>
      <c r="D71" t="s">
        <v>16</v>
      </c>
      <c r="E71" t="s">
        <v>292</v>
      </c>
      <c r="F71" t="s">
        <v>302</v>
      </c>
      <c r="G71" s="1">
        <v>473.14754999999997</v>
      </c>
      <c r="H71">
        <v>6</v>
      </c>
    </row>
    <row r="72" spans="1:8" x14ac:dyDescent="0.3">
      <c r="A72" t="s">
        <v>509</v>
      </c>
      <c r="B72" t="s">
        <v>502</v>
      </c>
      <c r="C72" t="s">
        <v>15</v>
      </c>
      <c r="D72" t="s">
        <v>16</v>
      </c>
      <c r="E72" t="s">
        <v>292</v>
      </c>
      <c r="F72" t="s">
        <v>302</v>
      </c>
      <c r="G72" s="1">
        <v>1184.9296499999998</v>
      </c>
      <c r="H72">
        <v>3</v>
      </c>
    </row>
    <row r="73" spans="1:8" x14ac:dyDescent="0.3">
      <c r="A73" t="s">
        <v>510</v>
      </c>
      <c r="B73" t="s">
        <v>511</v>
      </c>
      <c r="C73" t="s">
        <v>67</v>
      </c>
      <c r="D73" t="s">
        <v>11</v>
      </c>
      <c r="E73" t="s">
        <v>292</v>
      </c>
      <c r="F73" t="s">
        <v>293</v>
      </c>
      <c r="G73" s="1">
        <v>241.3929</v>
      </c>
      <c r="H73">
        <v>2</v>
      </c>
    </row>
    <row r="74" spans="1:8" x14ac:dyDescent="0.3">
      <c r="A74" t="s">
        <v>512</v>
      </c>
      <c r="B74" t="s">
        <v>513</v>
      </c>
      <c r="C74" t="s">
        <v>35</v>
      </c>
      <c r="D74" t="s">
        <v>11</v>
      </c>
      <c r="E74" t="s">
        <v>292</v>
      </c>
      <c r="F74" t="s">
        <v>302</v>
      </c>
      <c r="G74" s="1">
        <v>4406.89545</v>
      </c>
      <c r="H74">
        <v>14</v>
      </c>
    </row>
    <row r="75" spans="1:8" x14ac:dyDescent="0.3">
      <c r="A75" t="s">
        <v>514</v>
      </c>
      <c r="B75" t="s">
        <v>513</v>
      </c>
      <c r="C75" t="s">
        <v>10</v>
      </c>
      <c r="D75" t="s">
        <v>142</v>
      </c>
      <c r="E75" t="s">
        <v>292</v>
      </c>
      <c r="F75" t="s">
        <v>302</v>
      </c>
      <c r="G75" s="1">
        <v>193.90454999999997</v>
      </c>
      <c r="H75">
        <v>60</v>
      </c>
    </row>
    <row r="76" spans="1:8" x14ac:dyDescent="0.3">
      <c r="A76" t="s">
        <v>514</v>
      </c>
      <c r="B76" t="s">
        <v>513</v>
      </c>
      <c r="C76" t="s">
        <v>15</v>
      </c>
      <c r="D76" t="s">
        <v>142</v>
      </c>
      <c r="E76" t="s">
        <v>292</v>
      </c>
      <c r="F76" t="s">
        <v>302</v>
      </c>
      <c r="G76" s="1">
        <v>193.90454999999997</v>
      </c>
      <c r="H76">
        <v>173</v>
      </c>
    </row>
    <row r="77" spans="1:8" x14ac:dyDescent="0.3">
      <c r="A77" t="s">
        <v>515</v>
      </c>
      <c r="B77" t="s">
        <v>516</v>
      </c>
      <c r="C77" t="s">
        <v>35</v>
      </c>
      <c r="D77" t="s">
        <v>16</v>
      </c>
      <c r="E77" t="s">
        <v>378</v>
      </c>
      <c r="F77" t="s">
        <v>517</v>
      </c>
      <c r="G77" s="1">
        <v>92.782799999999995</v>
      </c>
      <c r="H77">
        <v>4</v>
      </c>
    </row>
    <row r="78" spans="1:8" x14ac:dyDescent="0.3">
      <c r="A78" t="s">
        <v>518</v>
      </c>
      <c r="B78" t="s">
        <v>516</v>
      </c>
      <c r="C78" t="s">
        <v>223</v>
      </c>
      <c r="D78" t="s">
        <v>11</v>
      </c>
      <c r="E78" t="s">
        <v>378</v>
      </c>
      <c r="F78" t="s">
        <v>517</v>
      </c>
      <c r="G78" s="1">
        <v>316.31564999999995</v>
      </c>
      <c r="H78">
        <v>80</v>
      </c>
    </row>
    <row r="79" spans="1:8" x14ac:dyDescent="0.3">
      <c r="A79" t="s">
        <v>519</v>
      </c>
      <c r="B79" t="s">
        <v>516</v>
      </c>
      <c r="C79" t="s">
        <v>223</v>
      </c>
      <c r="D79" t="s">
        <v>11</v>
      </c>
      <c r="E79" t="s">
        <v>378</v>
      </c>
      <c r="F79" t="s">
        <v>517</v>
      </c>
      <c r="G79" s="1">
        <v>313.65314999999998</v>
      </c>
      <c r="H79">
        <v>28</v>
      </c>
    </row>
    <row r="80" spans="1:8" x14ac:dyDescent="0.3">
      <c r="A80" t="s">
        <v>520</v>
      </c>
      <c r="B80" t="s">
        <v>516</v>
      </c>
      <c r="C80" t="s">
        <v>40</v>
      </c>
      <c r="D80" t="s">
        <v>11</v>
      </c>
      <c r="E80" t="s">
        <v>378</v>
      </c>
      <c r="F80" t="s">
        <v>517</v>
      </c>
      <c r="G80" s="1">
        <v>674.80529999999999</v>
      </c>
      <c r="H80">
        <v>35</v>
      </c>
    </row>
    <row r="81" spans="1:8" x14ac:dyDescent="0.3">
      <c r="A81" t="s">
        <v>521</v>
      </c>
      <c r="B81" t="s">
        <v>516</v>
      </c>
      <c r="C81" t="s">
        <v>61</v>
      </c>
      <c r="D81" t="s">
        <v>11</v>
      </c>
      <c r="E81" t="s">
        <v>378</v>
      </c>
      <c r="F81" t="s">
        <v>517</v>
      </c>
      <c r="G81" s="1">
        <v>1096.5666000000001</v>
      </c>
      <c r="H81">
        <v>47</v>
      </c>
    </row>
    <row r="82" spans="1:8" x14ac:dyDescent="0.3">
      <c r="A82" t="s">
        <v>522</v>
      </c>
      <c r="B82" t="s">
        <v>516</v>
      </c>
      <c r="C82" t="s">
        <v>35</v>
      </c>
      <c r="D82" t="s">
        <v>11</v>
      </c>
      <c r="E82" t="s">
        <v>378</v>
      </c>
      <c r="F82" t="s">
        <v>517</v>
      </c>
      <c r="G82" s="1">
        <v>215.68379999999999</v>
      </c>
      <c r="H82">
        <v>20</v>
      </c>
    </row>
    <row r="83" spans="1:8" x14ac:dyDescent="0.3">
      <c r="A83" t="s">
        <v>523</v>
      </c>
      <c r="B83" t="s">
        <v>516</v>
      </c>
      <c r="C83" t="s">
        <v>451</v>
      </c>
      <c r="D83" t="s">
        <v>11</v>
      </c>
      <c r="E83" t="s">
        <v>378</v>
      </c>
      <c r="F83" t="s">
        <v>517</v>
      </c>
      <c r="G83" s="1">
        <v>759.15330000000006</v>
      </c>
      <c r="H83">
        <v>35</v>
      </c>
    </row>
    <row r="84" spans="1:8" x14ac:dyDescent="0.3">
      <c r="A84" t="s">
        <v>524</v>
      </c>
      <c r="B84" t="s">
        <v>516</v>
      </c>
      <c r="C84" t="s">
        <v>451</v>
      </c>
      <c r="D84" t="s">
        <v>11</v>
      </c>
      <c r="E84" t="s">
        <v>378</v>
      </c>
      <c r="F84" t="s">
        <v>517</v>
      </c>
      <c r="G84" s="1">
        <v>759.15330000000006</v>
      </c>
      <c r="H84">
        <v>19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Autoral</vt:lpstr>
      <vt:lpstr>Signature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2026-09-02T13:28:41Z</dcterms:created>
  <dcterms:modified xsi:type="dcterms:W3CDTF">2026-09-02T17:08:34Z</dcterms:modified>
  <cp:category/>
</cp:coreProperties>
</file>