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9528"/>
  </bookViews>
  <sheets>
    <sheet name="Brancos Borgonha" sheetId="1" r:id="rId1"/>
  </sheets>
  <definedNames>
    <definedName name="_xlnm._FilterDatabase" localSheetId="0" hidden="1">'Brancos Borgonha'!$A$1:$I$1</definedName>
  </definedNames>
  <calcPr calcId="162913"/>
</workbook>
</file>

<file path=xl/calcChain.xml><?xml version="1.0" encoding="utf-8"?>
<calcChain xmlns="http://schemas.openxmlformats.org/spreadsheetml/2006/main">
  <c r="H47" i="1" l="1"/>
  <c r="I14" i="1"/>
  <c r="I15" i="1"/>
  <c r="I16" i="1"/>
  <c r="I30" i="1"/>
  <c r="I31" i="1"/>
  <c r="I32" i="1"/>
  <c r="I46" i="1"/>
  <c r="I2" i="1"/>
  <c r="F3" i="1"/>
  <c r="I3" i="1" s="1"/>
  <c r="F4" i="1"/>
  <c r="I4" i="1" s="1"/>
  <c r="F5" i="1"/>
  <c r="I5" i="1" s="1"/>
  <c r="F6" i="1"/>
  <c r="I6" i="1" s="1"/>
  <c r="F7" i="1"/>
  <c r="I7" i="1" s="1"/>
  <c r="F8" i="1"/>
  <c r="I8" i="1" s="1"/>
  <c r="F9" i="1"/>
  <c r="I9" i="1" s="1"/>
  <c r="F10" i="1"/>
  <c r="I10" i="1" s="1"/>
  <c r="F11" i="1"/>
  <c r="I11" i="1" s="1"/>
  <c r="F12" i="1"/>
  <c r="I12" i="1" s="1"/>
  <c r="F13" i="1"/>
  <c r="I13" i="1" s="1"/>
  <c r="F14" i="1"/>
  <c r="F15" i="1"/>
  <c r="F16" i="1"/>
  <c r="F17" i="1"/>
  <c r="I17" i="1" s="1"/>
  <c r="F18" i="1"/>
  <c r="I18" i="1" s="1"/>
  <c r="F19" i="1"/>
  <c r="I19" i="1" s="1"/>
  <c r="F20" i="1"/>
  <c r="I20" i="1" s="1"/>
  <c r="F21" i="1"/>
  <c r="I21" i="1" s="1"/>
  <c r="F22" i="1"/>
  <c r="I22" i="1" s="1"/>
  <c r="F23" i="1"/>
  <c r="I23" i="1" s="1"/>
  <c r="F24" i="1"/>
  <c r="I24" i="1" s="1"/>
  <c r="F25" i="1"/>
  <c r="I25" i="1" s="1"/>
  <c r="F26" i="1"/>
  <c r="I26" i="1" s="1"/>
  <c r="F27" i="1"/>
  <c r="I27" i="1" s="1"/>
  <c r="F28" i="1"/>
  <c r="I28" i="1" s="1"/>
  <c r="F29" i="1"/>
  <c r="I29" i="1" s="1"/>
  <c r="F30" i="1"/>
  <c r="F31" i="1"/>
  <c r="F32" i="1"/>
  <c r="F33" i="1"/>
  <c r="I33" i="1" s="1"/>
  <c r="F34" i="1"/>
  <c r="I34" i="1" s="1"/>
  <c r="F35" i="1"/>
  <c r="I35" i="1" s="1"/>
  <c r="F36" i="1"/>
  <c r="I36" i="1" s="1"/>
  <c r="F37" i="1"/>
  <c r="I37" i="1" s="1"/>
  <c r="F38" i="1"/>
  <c r="I38" i="1" s="1"/>
  <c r="F39" i="1"/>
  <c r="I39" i="1" s="1"/>
  <c r="F40" i="1"/>
  <c r="I40" i="1" s="1"/>
  <c r="F41" i="1"/>
  <c r="I41" i="1" s="1"/>
  <c r="F42" i="1"/>
  <c r="I42" i="1" s="1"/>
  <c r="F43" i="1"/>
  <c r="I43" i="1" s="1"/>
  <c r="F44" i="1"/>
  <c r="I44" i="1" s="1"/>
  <c r="F45" i="1"/>
  <c r="I45" i="1" s="1"/>
  <c r="F46" i="1"/>
  <c r="F2" i="1"/>
  <c r="I47" i="1" l="1"/>
</calcChain>
</file>

<file path=xl/sharedStrings.xml><?xml version="1.0" encoding="utf-8"?>
<sst xmlns="http://schemas.openxmlformats.org/spreadsheetml/2006/main" count="144" uniqueCount="74">
  <si>
    <t>Vinho</t>
  </si>
  <si>
    <t>Produtor</t>
  </si>
  <si>
    <t>Safra</t>
  </si>
  <si>
    <t>Volume (L)</t>
  </si>
  <si>
    <t>Custo (A37)</t>
  </si>
  <si>
    <t>Estoque</t>
  </si>
  <si>
    <t>BOURGOGNE CHARDONNAY</t>
  </si>
  <si>
    <t>AURORE BACHELET</t>
  </si>
  <si>
    <t>2023</t>
  </si>
  <si>
    <t>MÂCON-CHARDONNAY</t>
  </si>
  <si>
    <t>BRET BROTHERS</t>
  </si>
  <si>
    <t>CHARD. 23 BOURGOGNE TONNERRE</t>
  </si>
  <si>
    <t>CALCARIUS</t>
  </si>
  <si>
    <t>NUITS SAINT GEORGES "LES CREUX FRAICHES EAUX"</t>
  </si>
  <si>
    <t>CHANTAL LESCURE</t>
  </si>
  <si>
    <t>2021</t>
  </si>
  <si>
    <t>MÂCON-CRUZILLE CLOS DES AVOUERIES CALCAIRE</t>
  </si>
  <si>
    <t>CHATEAU DE MESSEY</t>
  </si>
  <si>
    <t>2022</t>
  </si>
  <si>
    <t>MÂCON-CRUZILLE CLOS DES AVOUERIES MONOPOLE</t>
  </si>
  <si>
    <t>MÂCON-VILLAGES LES CHOUETTES</t>
  </si>
  <si>
    <t>AUXEY-DURESSES 1ER CRU LES DURESSES</t>
  </si>
  <si>
    <t>DOMAINE CHANGARNIER</t>
  </si>
  <si>
    <t>BOURGOGNE "LES DRESSOLES"</t>
  </si>
  <si>
    <t>BOURGOGNE LES DRESSOLES</t>
  </si>
  <si>
    <t>MÂCON CHAINTRÉ LES SERREUXDIÈRES</t>
  </si>
  <si>
    <t>DOMAINE CORNIN</t>
  </si>
  <si>
    <t>BOURGOGNE COTE D'OR</t>
  </si>
  <si>
    <t>DOMAINE GUY BOCARD</t>
  </si>
  <si>
    <t>BOURGOGNE CÔTE D'OR</t>
  </si>
  <si>
    <t>BOURGOGNE COTE D'OR DOUBLE MAGNUM</t>
  </si>
  <si>
    <t>BOURGOGNE COTE D'OR MAGNUM</t>
  </si>
  <si>
    <t>MEURSAULT CHARMES 1ER CRU</t>
  </si>
  <si>
    <t>MEURSAULT CHARMES 1ER CRU MAGNUM</t>
  </si>
  <si>
    <t>BOURGOGNE ALIGOTE</t>
  </si>
  <si>
    <t>DOMAINE REMI JOBARD</t>
  </si>
  <si>
    <t>POUILLY-FUISSÉ 1ER CRU CUVÉE HORS CLASSE "LES MÉNÉTRIÈRES"</t>
  </si>
  <si>
    <t>JA FERRET</t>
  </si>
  <si>
    <t>POUILLY-FUISSÉ 1ER CRU CUVÉE HORS CLASSE "TOURNANT DE POUILLY"</t>
  </si>
  <si>
    <t>POUILLY-FUISSÉ TÊTE DE CRU "CLOS DES PROUGES"</t>
  </si>
  <si>
    <t>BATARD-MONTRACHET</t>
  </si>
  <si>
    <t>JEAN CHARTRON</t>
  </si>
  <si>
    <t>CHASSAGNE-MONTRACHET</t>
  </si>
  <si>
    <t>CHEVALIER-MONTRACHET GRAND CRU "CLOS DES CHEVALIERS" MONOPOLE</t>
  </si>
  <si>
    <t>HAUTES CÔTES DE BEAUNE "VIEILLES VIGNES"</t>
  </si>
  <si>
    <t>BOURGOGNE ALIGOTE LES CERISIERS</t>
  </si>
  <si>
    <t>JEREMY RECCHIONE</t>
  </si>
  <si>
    <t>HAUTES COTES DE NUITS BLANC</t>
  </si>
  <si>
    <t>CHEVALIER-MONTRACHET GRAND CRU</t>
  </si>
  <si>
    <t>LA POUSSE D'OR</t>
  </si>
  <si>
    <t>BOURGOGNE ALIGOTÉ "ALIGATO" CUVÉE ZEN</t>
  </si>
  <si>
    <t>LA SOUFRANDIERE</t>
  </si>
  <si>
    <t>POUILLY-FUISSÉ CLIMAT EN CHATENAY CUVÉE ZEN</t>
  </si>
  <si>
    <t>POUILLY-VINZELLES CLIMAT "LES QUARTS" CUVÉE ZEN</t>
  </si>
  <si>
    <t>SAINT VÉRAN CLIMAT "LA BONNODE" CUVÉE OVOÏDE ZEN</t>
  </si>
  <si>
    <t>BOURGOGNE ALIGOTÉ</t>
  </si>
  <si>
    <t>LES PETITS LIEUX</t>
  </si>
  <si>
    <t>CORTON CHARLEMAGNE GRAND CRU</t>
  </si>
  <si>
    <t>MICHEL JUILLOT</t>
  </si>
  <si>
    <t>2020</t>
  </si>
  <si>
    <t>CORTON-CHARLEMAGNE</t>
  </si>
  <si>
    <t>MERCUREY LES VIGNES DE MAILLONGE</t>
  </si>
  <si>
    <t>A MINIMA</t>
  </si>
  <si>
    <t>TRAPET ALSACE</t>
  </si>
  <si>
    <t>R.Q.W.R. G. RIQUEWIHR GEWURZTRAMINER</t>
  </si>
  <si>
    <t>BOURGOGNE CHARDONNAY "LES GRANDES COUTURES"</t>
  </si>
  <si>
    <t>XAVIER MONNOT</t>
  </si>
  <si>
    <t>CHASSAGNE-MONTRACHET 1ER CRU "EN REMILLY"</t>
  </si>
  <si>
    <t>MEURSAULT "LES CHEVALIERÈS"</t>
  </si>
  <si>
    <t>MEURSAULT 1ER CRU "LES CHARMES"</t>
  </si>
  <si>
    <t>PULIGNY-MONTRACHET 1ER CRU "LES FOLATIÈRES"</t>
  </si>
  <si>
    <t>Custo Sócio (com frete)</t>
  </si>
  <si>
    <t>PEDIDO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</si>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</sst>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7"/>
  <sheetViews>
    <sheetView tabSelected="1" workbookViewId="0">
      <selection activeCell="A15" sqref="A15"/>
    </sheetView>
  </sheetViews>
  <sheetFormatPr defaultRowHeight="14.4" x14ac:dyDescent="0.3"/>
  <cols>
    <col min="1" max="1" width="65.109375" bestFit="1" customWidth="1"/>
    <col min="2" max="2" width="22.21875" bestFit="1" customWidth="1"/>
    <col min="3" max="3" width="9.77734375" bestFit="1" customWidth="1"/>
    <col min="4" max="4" width="14.6640625" bestFit="1" customWidth="1"/>
    <col min="5" max="5" width="15.21875" bestFit="1" customWidth="1"/>
    <col min="6" max="6" width="25.33203125" bestFit="1" customWidth="1"/>
    <col min="7" max="7" width="12.21875" bestFit="1" customWidth="1"/>
    <col min="8" max="8" width="11.88671875" bestFit="1" customWidth="1"/>
    <col min="9" max="9" width="13.33203125" customWidth="1"/>
  </cols>
  <sheetData>
    <row r="1" spans="1:9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71</v>
      </c>
      <c r="G1" s="2" t="s">
        <v>5</v>
      </c>
      <c r="H1" s="4" t="s">
        <v>72</v>
      </c>
      <c r="I1" s="4" t="s">
        <v>73</v>
      </c>
    </row>
    <row r="2" spans="1:9" x14ac:dyDescent="0.3">
      <c r="A2" t="s">
        <v>6</v>
      </c>
      <c r="B2" t="s">
        <v>7</v>
      </c>
      <c r="C2" t="s">
        <v>8</v>
      </c>
      <c r="D2">
        <v>0.75</v>
      </c>
      <c r="E2" s="3">
        <v>229.19</v>
      </c>
      <c r="F2" s="3">
        <f>(E2*1.21)+3</f>
        <v>280.31989999999996</v>
      </c>
      <c r="G2">
        <v>174</v>
      </c>
      <c r="I2" s="3">
        <f>H2*F2</f>
        <v>0</v>
      </c>
    </row>
    <row r="3" spans="1:9" x14ac:dyDescent="0.3">
      <c r="A3" t="s">
        <v>9</v>
      </c>
      <c r="B3" t="s">
        <v>10</v>
      </c>
      <c r="C3" t="s">
        <v>8</v>
      </c>
      <c r="D3">
        <v>0.75</v>
      </c>
      <c r="E3" s="3">
        <v>228.53</v>
      </c>
      <c r="F3" s="3">
        <f t="shared" ref="F3:F46" si="0">(E3*1.21)+3</f>
        <v>279.5213</v>
      </c>
      <c r="G3">
        <v>6</v>
      </c>
      <c r="I3" s="3">
        <f t="shared" ref="I3:I46" si="1">H3*F3</f>
        <v>0</v>
      </c>
    </row>
    <row r="4" spans="1:9" x14ac:dyDescent="0.3">
      <c r="A4" t="s">
        <v>11</v>
      </c>
      <c r="B4" t="s">
        <v>12</v>
      </c>
      <c r="C4" t="s">
        <v>8</v>
      </c>
      <c r="D4">
        <v>0.75</v>
      </c>
      <c r="E4" s="3">
        <v>118.59</v>
      </c>
      <c r="F4" s="3">
        <f t="shared" si="0"/>
        <v>146.4939</v>
      </c>
      <c r="G4">
        <v>1489</v>
      </c>
      <c r="I4" s="3">
        <f t="shared" si="1"/>
        <v>0</v>
      </c>
    </row>
    <row r="5" spans="1:9" x14ac:dyDescent="0.3">
      <c r="A5" t="s">
        <v>13</v>
      </c>
      <c r="B5" t="s">
        <v>14</v>
      </c>
      <c r="C5" t="s">
        <v>15</v>
      </c>
      <c r="D5">
        <v>0.75</v>
      </c>
      <c r="E5" s="3">
        <v>690.13</v>
      </c>
      <c r="F5" s="3">
        <f t="shared" si="0"/>
        <v>838.05729999999994</v>
      </c>
      <c r="G5">
        <v>2</v>
      </c>
      <c r="I5" s="3">
        <f t="shared" si="1"/>
        <v>0</v>
      </c>
    </row>
    <row r="6" spans="1:9" x14ac:dyDescent="0.3">
      <c r="A6" t="s">
        <v>16</v>
      </c>
      <c r="B6" t="s">
        <v>17</v>
      </c>
      <c r="C6" t="s">
        <v>18</v>
      </c>
      <c r="D6">
        <v>0.75</v>
      </c>
      <c r="E6" s="3">
        <v>251.85</v>
      </c>
      <c r="F6" s="3">
        <f t="shared" si="0"/>
        <v>307.73849999999999</v>
      </c>
      <c r="G6">
        <v>115</v>
      </c>
      <c r="I6" s="3">
        <f t="shared" si="1"/>
        <v>0</v>
      </c>
    </row>
    <row r="7" spans="1:9" x14ac:dyDescent="0.3">
      <c r="A7" t="s">
        <v>19</v>
      </c>
      <c r="B7" t="s">
        <v>17</v>
      </c>
      <c r="C7" t="s">
        <v>18</v>
      </c>
      <c r="D7">
        <v>0.75</v>
      </c>
      <c r="E7" s="3">
        <v>186.3</v>
      </c>
      <c r="F7" s="3">
        <f t="shared" si="0"/>
        <v>228.423</v>
      </c>
      <c r="G7">
        <v>513</v>
      </c>
      <c r="I7" s="3">
        <f t="shared" si="1"/>
        <v>0</v>
      </c>
    </row>
    <row r="8" spans="1:9" x14ac:dyDescent="0.3">
      <c r="A8" t="s">
        <v>20</v>
      </c>
      <c r="B8" t="s">
        <v>17</v>
      </c>
      <c r="C8" t="s">
        <v>18</v>
      </c>
      <c r="D8">
        <v>0.75</v>
      </c>
      <c r="E8" s="3">
        <v>155.26</v>
      </c>
      <c r="F8" s="3">
        <f t="shared" si="0"/>
        <v>190.8646</v>
      </c>
      <c r="G8">
        <v>38</v>
      </c>
      <c r="I8" s="3">
        <f t="shared" si="1"/>
        <v>0</v>
      </c>
    </row>
    <row r="9" spans="1:9" x14ac:dyDescent="0.3">
      <c r="A9" t="s">
        <v>21</v>
      </c>
      <c r="B9" t="s">
        <v>22</v>
      </c>
      <c r="C9" t="s">
        <v>8</v>
      </c>
      <c r="D9">
        <v>0.75</v>
      </c>
      <c r="E9" s="3">
        <v>549.36</v>
      </c>
      <c r="F9" s="3">
        <f t="shared" si="0"/>
        <v>667.72559999999999</v>
      </c>
      <c r="G9">
        <v>68</v>
      </c>
      <c r="I9" s="3">
        <f t="shared" si="1"/>
        <v>0</v>
      </c>
    </row>
    <row r="10" spans="1:9" x14ac:dyDescent="0.3">
      <c r="A10" t="s">
        <v>23</v>
      </c>
      <c r="B10" t="s">
        <v>22</v>
      </c>
      <c r="C10" t="s">
        <v>18</v>
      </c>
      <c r="D10">
        <v>0.75</v>
      </c>
      <c r="E10" s="3">
        <v>284.98</v>
      </c>
      <c r="F10" s="3">
        <f t="shared" si="0"/>
        <v>347.82580000000002</v>
      </c>
      <c r="G10">
        <v>50</v>
      </c>
      <c r="I10" s="3">
        <f t="shared" si="1"/>
        <v>0</v>
      </c>
    </row>
    <row r="11" spans="1:9" x14ac:dyDescent="0.3">
      <c r="A11" t="s">
        <v>24</v>
      </c>
      <c r="B11" t="s">
        <v>22</v>
      </c>
      <c r="C11" t="s">
        <v>8</v>
      </c>
      <c r="D11">
        <v>0.75</v>
      </c>
      <c r="E11" s="3">
        <v>284.98</v>
      </c>
      <c r="F11" s="3">
        <f t="shared" si="0"/>
        <v>347.82580000000002</v>
      </c>
      <c r="G11">
        <v>238</v>
      </c>
      <c r="I11" s="3">
        <f t="shared" si="1"/>
        <v>0</v>
      </c>
    </row>
    <row r="12" spans="1:9" x14ac:dyDescent="0.3">
      <c r="A12" t="s">
        <v>25</v>
      </c>
      <c r="B12" t="s">
        <v>26</v>
      </c>
      <c r="C12" t="s">
        <v>18</v>
      </c>
      <c r="D12">
        <v>0.75</v>
      </c>
      <c r="E12" s="3">
        <v>189.4</v>
      </c>
      <c r="F12" s="3">
        <f t="shared" si="0"/>
        <v>232.17400000000001</v>
      </c>
      <c r="G12">
        <v>2</v>
      </c>
      <c r="I12" s="3">
        <f t="shared" si="1"/>
        <v>0</v>
      </c>
    </row>
    <row r="13" spans="1:9" x14ac:dyDescent="0.3">
      <c r="A13" t="s">
        <v>27</v>
      </c>
      <c r="B13" t="s">
        <v>28</v>
      </c>
      <c r="C13" t="s">
        <v>8</v>
      </c>
      <c r="D13">
        <v>0.75</v>
      </c>
      <c r="E13" s="3">
        <v>266.68</v>
      </c>
      <c r="F13" s="3">
        <f t="shared" si="0"/>
        <v>325.68279999999999</v>
      </c>
      <c r="G13">
        <v>87</v>
      </c>
      <c r="I13" s="3">
        <f t="shared" si="1"/>
        <v>0</v>
      </c>
    </row>
    <row r="14" spans="1:9" x14ac:dyDescent="0.3">
      <c r="A14" t="s">
        <v>29</v>
      </c>
      <c r="B14" t="s">
        <v>28</v>
      </c>
      <c r="C14" t="s">
        <v>18</v>
      </c>
      <c r="D14">
        <v>0.75</v>
      </c>
      <c r="E14" s="3">
        <v>266.68</v>
      </c>
      <c r="F14" s="3">
        <f t="shared" si="0"/>
        <v>325.68279999999999</v>
      </c>
      <c r="G14">
        <v>46</v>
      </c>
      <c r="I14" s="3">
        <f t="shared" si="1"/>
        <v>0</v>
      </c>
    </row>
    <row r="15" spans="1:9" x14ac:dyDescent="0.3">
      <c r="A15" t="s">
        <v>30</v>
      </c>
      <c r="B15" t="s">
        <v>28</v>
      </c>
      <c r="C15" t="s">
        <v>8</v>
      </c>
      <c r="D15">
        <v>3</v>
      </c>
      <c r="E15" s="3">
        <v>1400.81</v>
      </c>
      <c r="F15" s="3">
        <f t="shared" si="0"/>
        <v>1697.9801</v>
      </c>
      <c r="G15">
        <v>1</v>
      </c>
      <c r="I15" s="3">
        <f t="shared" si="1"/>
        <v>0</v>
      </c>
    </row>
    <row r="16" spans="1:9" x14ac:dyDescent="0.3">
      <c r="A16" t="s">
        <v>31</v>
      </c>
      <c r="B16" t="s">
        <v>28</v>
      </c>
      <c r="C16" t="s">
        <v>8</v>
      </c>
      <c r="D16">
        <v>1.5</v>
      </c>
      <c r="E16" s="3">
        <v>582.75</v>
      </c>
      <c r="F16" s="3">
        <f t="shared" si="0"/>
        <v>708.12749999999994</v>
      </c>
      <c r="G16">
        <v>17</v>
      </c>
      <c r="I16" s="3">
        <f t="shared" si="1"/>
        <v>0</v>
      </c>
    </row>
    <row r="17" spans="1:9" x14ac:dyDescent="0.3">
      <c r="A17" t="s">
        <v>32</v>
      </c>
      <c r="B17" t="s">
        <v>28</v>
      </c>
      <c r="C17" t="s">
        <v>8</v>
      </c>
      <c r="D17">
        <v>0.75</v>
      </c>
      <c r="E17" s="3">
        <v>1214.8900000000001</v>
      </c>
      <c r="F17" s="3">
        <f t="shared" si="0"/>
        <v>1473.0169000000001</v>
      </c>
      <c r="G17">
        <v>7</v>
      </c>
      <c r="I17" s="3">
        <f t="shared" si="1"/>
        <v>0</v>
      </c>
    </row>
    <row r="18" spans="1:9" x14ac:dyDescent="0.3">
      <c r="A18" t="s">
        <v>33</v>
      </c>
      <c r="B18" t="s">
        <v>28</v>
      </c>
      <c r="C18" t="s">
        <v>8</v>
      </c>
      <c r="D18">
        <v>1.5</v>
      </c>
      <c r="E18" s="3">
        <v>2497.7399999999998</v>
      </c>
      <c r="F18" s="3">
        <f t="shared" si="0"/>
        <v>3025.2653999999998</v>
      </c>
      <c r="G18">
        <v>4</v>
      </c>
      <c r="I18" s="3">
        <f t="shared" si="1"/>
        <v>0</v>
      </c>
    </row>
    <row r="19" spans="1:9" x14ac:dyDescent="0.3">
      <c r="A19" t="s">
        <v>34</v>
      </c>
      <c r="B19" t="s">
        <v>35</v>
      </c>
      <c r="C19" t="s">
        <v>18</v>
      </c>
      <c r="D19">
        <v>0.75</v>
      </c>
      <c r="E19" s="3">
        <v>283.52</v>
      </c>
      <c r="F19" s="3">
        <f t="shared" si="0"/>
        <v>346.05919999999998</v>
      </c>
      <c r="G19">
        <v>89</v>
      </c>
      <c r="I19" s="3">
        <f t="shared" si="1"/>
        <v>0</v>
      </c>
    </row>
    <row r="20" spans="1:9" x14ac:dyDescent="0.3">
      <c r="A20" t="s">
        <v>36</v>
      </c>
      <c r="B20" t="s">
        <v>37</v>
      </c>
      <c r="C20" t="s">
        <v>18</v>
      </c>
      <c r="D20">
        <v>0.75</v>
      </c>
      <c r="E20" s="3">
        <v>760.73</v>
      </c>
      <c r="F20" s="3">
        <f t="shared" si="0"/>
        <v>923.48329999999999</v>
      </c>
      <c r="G20">
        <v>11</v>
      </c>
      <c r="I20" s="3">
        <f t="shared" si="1"/>
        <v>0</v>
      </c>
    </row>
    <row r="21" spans="1:9" x14ac:dyDescent="0.3">
      <c r="A21" t="s">
        <v>38</v>
      </c>
      <c r="B21" t="s">
        <v>37</v>
      </c>
      <c r="C21" t="s">
        <v>18</v>
      </c>
      <c r="D21">
        <v>0.75</v>
      </c>
      <c r="E21" s="3">
        <v>760.73</v>
      </c>
      <c r="F21" s="3">
        <f t="shared" si="0"/>
        <v>923.48329999999999</v>
      </c>
      <c r="G21">
        <v>10</v>
      </c>
      <c r="I21" s="3">
        <f t="shared" si="1"/>
        <v>0</v>
      </c>
    </row>
    <row r="22" spans="1:9" x14ac:dyDescent="0.3">
      <c r="A22" t="s">
        <v>39</v>
      </c>
      <c r="B22" t="s">
        <v>37</v>
      </c>
      <c r="C22" t="s">
        <v>18</v>
      </c>
      <c r="D22">
        <v>0.75</v>
      </c>
      <c r="E22" s="3">
        <v>530.44000000000005</v>
      </c>
      <c r="F22" s="3">
        <f t="shared" si="0"/>
        <v>644.83240000000001</v>
      </c>
      <c r="G22">
        <v>33</v>
      </c>
      <c r="I22" s="3">
        <f t="shared" si="1"/>
        <v>0</v>
      </c>
    </row>
    <row r="23" spans="1:9" x14ac:dyDescent="0.3">
      <c r="A23" t="s">
        <v>40</v>
      </c>
      <c r="B23" t="s">
        <v>41</v>
      </c>
      <c r="C23" t="s">
        <v>8</v>
      </c>
      <c r="D23">
        <v>0.75</v>
      </c>
      <c r="E23" s="3">
        <v>4886.84</v>
      </c>
      <c r="F23" s="3">
        <f t="shared" si="0"/>
        <v>5916.0763999999999</v>
      </c>
      <c r="G23">
        <v>33</v>
      </c>
      <c r="I23" s="3">
        <f t="shared" si="1"/>
        <v>0</v>
      </c>
    </row>
    <row r="24" spans="1:9" x14ac:dyDescent="0.3">
      <c r="A24" t="s">
        <v>42</v>
      </c>
      <c r="B24" t="s">
        <v>41</v>
      </c>
      <c r="C24" t="s">
        <v>8</v>
      </c>
      <c r="D24">
        <v>0.75</v>
      </c>
      <c r="E24" s="3">
        <v>703.59</v>
      </c>
      <c r="F24" s="3">
        <f t="shared" si="0"/>
        <v>854.34389999999996</v>
      </c>
      <c r="G24">
        <v>10</v>
      </c>
      <c r="I24" s="3">
        <f t="shared" si="1"/>
        <v>0</v>
      </c>
    </row>
    <row r="25" spans="1:9" x14ac:dyDescent="0.3">
      <c r="A25" t="s">
        <v>43</v>
      </c>
      <c r="B25" t="s">
        <v>41</v>
      </c>
      <c r="C25" t="s">
        <v>8</v>
      </c>
      <c r="D25">
        <v>0.75</v>
      </c>
      <c r="E25" s="3">
        <v>6398.39</v>
      </c>
      <c r="F25" s="3">
        <f t="shared" si="0"/>
        <v>7745.0519000000004</v>
      </c>
      <c r="G25">
        <v>25</v>
      </c>
      <c r="I25" s="3">
        <f t="shared" si="1"/>
        <v>0</v>
      </c>
    </row>
    <row r="26" spans="1:9" x14ac:dyDescent="0.3">
      <c r="A26" t="s">
        <v>44</v>
      </c>
      <c r="B26" t="s">
        <v>41</v>
      </c>
      <c r="C26" t="s">
        <v>8</v>
      </c>
      <c r="D26">
        <v>0.75</v>
      </c>
      <c r="E26" s="3">
        <v>249.94</v>
      </c>
      <c r="F26" s="3">
        <f t="shared" si="0"/>
        <v>305.42739999999998</v>
      </c>
      <c r="G26">
        <v>330</v>
      </c>
      <c r="I26" s="3">
        <f t="shared" si="1"/>
        <v>0</v>
      </c>
    </row>
    <row r="27" spans="1:9" x14ac:dyDescent="0.3">
      <c r="A27" t="s">
        <v>45</v>
      </c>
      <c r="B27" t="s">
        <v>46</v>
      </c>
      <c r="C27" t="s">
        <v>8</v>
      </c>
      <c r="D27">
        <v>0.75</v>
      </c>
      <c r="E27" s="3">
        <v>291.92</v>
      </c>
      <c r="F27" s="3">
        <f t="shared" si="0"/>
        <v>356.22320000000002</v>
      </c>
      <c r="G27">
        <v>80</v>
      </c>
      <c r="I27" s="3">
        <f t="shared" si="1"/>
        <v>0</v>
      </c>
    </row>
    <row r="28" spans="1:9" x14ac:dyDescent="0.3">
      <c r="A28" t="s">
        <v>47</v>
      </c>
      <c r="B28" t="s">
        <v>46</v>
      </c>
      <c r="C28" t="s">
        <v>8</v>
      </c>
      <c r="D28">
        <v>0.75</v>
      </c>
      <c r="E28" s="3">
        <v>368.05</v>
      </c>
      <c r="F28" s="3">
        <f t="shared" si="0"/>
        <v>448.34050000000002</v>
      </c>
      <c r="G28">
        <v>172</v>
      </c>
      <c r="I28" s="3">
        <f t="shared" si="1"/>
        <v>0</v>
      </c>
    </row>
    <row r="29" spans="1:9" x14ac:dyDescent="0.3">
      <c r="A29" t="s">
        <v>48</v>
      </c>
      <c r="B29" t="s">
        <v>49</v>
      </c>
      <c r="C29" t="s">
        <v>8</v>
      </c>
      <c r="D29">
        <v>0.75</v>
      </c>
      <c r="E29" s="3">
        <v>6420.69</v>
      </c>
      <c r="F29" s="3">
        <f t="shared" si="0"/>
        <v>7772.0348999999997</v>
      </c>
      <c r="G29">
        <v>16</v>
      </c>
      <c r="I29" s="3">
        <f t="shared" si="1"/>
        <v>0</v>
      </c>
    </row>
    <row r="30" spans="1:9" x14ac:dyDescent="0.3">
      <c r="A30" t="s">
        <v>50</v>
      </c>
      <c r="B30" t="s">
        <v>51</v>
      </c>
      <c r="C30" t="s">
        <v>8</v>
      </c>
      <c r="D30">
        <v>0.75</v>
      </c>
      <c r="E30" s="3">
        <v>286.2</v>
      </c>
      <c r="F30" s="3">
        <f t="shared" si="0"/>
        <v>349.30199999999996</v>
      </c>
      <c r="G30">
        <v>29</v>
      </c>
      <c r="I30" s="3">
        <f t="shared" si="1"/>
        <v>0</v>
      </c>
    </row>
    <row r="31" spans="1:9" x14ac:dyDescent="0.3">
      <c r="A31" t="s">
        <v>52</v>
      </c>
      <c r="B31" t="s">
        <v>51</v>
      </c>
      <c r="C31" t="s">
        <v>8</v>
      </c>
      <c r="D31">
        <v>0.75</v>
      </c>
      <c r="E31" s="3">
        <v>528.71</v>
      </c>
      <c r="F31" s="3">
        <f t="shared" si="0"/>
        <v>642.73910000000001</v>
      </c>
      <c r="G31">
        <v>64</v>
      </c>
      <c r="I31" s="3">
        <f t="shared" si="1"/>
        <v>0</v>
      </c>
    </row>
    <row r="32" spans="1:9" x14ac:dyDescent="0.3">
      <c r="A32" t="s">
        <v>53</v>
      </c>
      <c r="B32" t="s">
        <v>51</v>
      </c>
      <c r="C32" t="s">
        <v>8</v>
      </c>
      <c r="D32">
        <v>0.75</v>
      </c>
      <c r="E32" s="3">
        <v>528.71</v>
      </c>
      <c r="F32" s="3">
        <f t="shared" si="0"/>
        <v>642.73910000000001</v>
      </c>
      <c r="G32">
        <v>49</v>
      </c>
      <c r="I32" s="3">
        <f t="shared" si="1"/>
        <v>0</v>
      </c>
    </row>
    <row r="33" spans="1:9" x14ac:dyDescent="0.3">
      <c r="A33" t="s">
        <v>54</v>
      </c>
      <c r="B33" t="s">
        <v>51</v>
      </c>
      <c r="C33" t="s">
        <v>8</v>
      </c>
      <c r="D33">
        <v>0.75</v>
      </c>
      <c r="E33" s="3">
        <v>377.57</v>
      </c>
      <c r="F33" s="3">
        <f t="shared" si="0"/>
        <v>459.85969999999998</v>
      </c>
      <c r="G33">
        <v>76</v>
      </c>
      <c r="I33" s="3">
        <f t="shared" si="1"/>
        <v>0</v>
      </c>
    </row>
    <row r="34" spans="1:9" x14ac:dyDescent="0.3">
      <c r="A34" t="s">
        <v>55</v>
      </c>
      <c r="B34" t="s">
        <v>56</v>
      </c>
      <c r="C34" t="s">
        <v>8</v>
      </c>
      <c r="D34">
        <v>0.75</v>
      </c>
      <c r="E34" s="3">
        <v>220.12</v>
      </c>
      <c r="F34" s="3">
        <f t="shared" si="0"/>
        <v>269.34519999999998</v>
      </c>
      <c r="G34">
        <v>63</v>
      </c>
      <c r="I34" s="3">
        <f t="shared" si="1"/>
        <v>0</v>
      </c>
    </row>
    <row r="35" spans="1:9" x14ac:dyDescent="0.3">
      <c r="A35" t="s">
        <v>6</v>
      </c>
      <c r="B35" t="s">
        <v>56</v>
      </c>
      <c r="C35" t="s">
        <v>8</v>
      </c>
      <c r="D35">
        <v>0.75</v>
      </c>
      <c r="E35" s="3">
        <v>304.91000000000003</v>
      </c>
      <c r="F35" s="3">
        <f t="shared" si="0"/>
        <v>371.94110000000001</v>
      </c>
      <c r="G35">
        <v>86</v>
      </c>
      <c r="I35" s="3">
        <f t="shared" si="1"/>
        <v>0</v>
      </c>
    </row>
    <row r="36" spans="1:9" x14ac:dyDescent="0.3">
      <c r="A36" t="s">
        <v>57</v>
      </c>
      <c r="B36" t="s">
        <v>58</v>
      </c>
      <c r="C36" t="s">
        <v>59</v>
      </c>
      <c r="D36">
        <v>0.75</v>
      </c>
      <c r="E36" s="3">
        <v>2386.7399999999998</v>
      </c>
      <c r="F36" s="3">
        <f t="shared" si="0"/>
        <v>2890.9553999999998</v>
      </c>
      <c r="G36">
        <v>4</v>
      </c>
      <c r="I36" s="3">
        <f t="shared" si="1"/>
        <v>0</v>
      </c>
    </row>
    <row r="37" spans="1:9" x14ac:dyDescent="0.3">
      <c r="A37" t="s">
        <v>60</v>
      </c>
      <c r="B37" t="s">
        <v>58</v>
      </c>
      <c r="C37" t="s">
        <v>18</v>
      </c>
      <c r="D37">
        <v>0.75</v>
      </c>
      <c r="E37" s="3">
        <v>3057.13</v>
      </c>
      <c r="F37" s="3">
        <f t="shared" si="0"/>
        <v>3702.1273000000001</v>
      </c>
      <c r="G37">
        <v>33</v>
      </c>
      <c r="I37" s="3">
        <f t="shared" si="1"/>
        <v>0</v>
      </c>
    </row>
    <row r="38" spans="1:9" x14ac:dyDescent="0.3">
      <c r="A38" t="s">
        <v>61</v>
      </c>
      <c r="B38" t="s">
        <v>58</v>
      </c>
      <c r="C38" t="s">
        <v>8</v>
      </c>
      <c r="D38">
        <v>0.75</v>
      </c>
      <c r="E38" s="3">
        <v>315.72000000000003</v>
      </c>
      <c r="F38" s="3">
        <f t="shared" si="0"/>
        <v>385.02120000000002</v>
      </c>
      <c r="G38">
        <v>30</v>
      </c>
      <c r="I38" s="3">
        <f t="shared" si="1"/>
        <v>0</v>
      </c>
    </row>
    <row r="39" spans="1:9" x14ac:dyDescent="0.3">
      <c r="A39" t="s">
        <v>62</v>
      </c>
      <c r="B39" t="s">
        <v>63</v>
      </c>
      <c r="C39" t="s">
        <v>8</v>
      </c>
      <c r="D39">
        <v>0.75</v>
      </c>
      <c r="E39" s="3">
        <v>170.43</v>
      </c>
      <c r="F39" s="3">
        <f t="shared" si="0"/>
        <v>209.22030000000001</v>
      </c>
      <c r="G39">
        <v>38</v>
      </c>
      <c r="I39" s="3">
        <f t="shared" si="1"/>
        <v>0</v>
      </c>
    </row>
    <row r="40" spans="1:9" x14ac:dyDescent="0.3">
      <c r="A40" t="s">
        <v>64</v>
      </c>
      <c r="B40" t="s">
        <v>63</v>
      </c>
      <c r="C40" t="s">
        <v>18</v>
      </c>
      <c r="D40">
        <v>0.75</v>
      </c>
      <c r="E40" s="3">
        <v>203.24</v>
      </c>
      <c r="F40" s="3">
        <f t="shared" si="0"/>
        <v>248.9204</v>
      </c>
      <c r="G40">
        <v>28</v>
      </c>
      <c r="I40" s="3">
        <f t="shared" si="1"/>
        <v>0</v>
      </c>
    </row>
    <row r="41" spans="1:9" x14ac:dyDescent="0.3">
      <c r="A41" t="s">
        <v>65</v>
      </c>
      <c r="B41" t="s">
        <v>66</v>
      </c>
      <c r="C41" t="s">
        <v>8</v>
      </c>
      <c r="D41">
        <v>0.75</v>
      </c>
      <c r="E41" s="3">
        <v>285.58</v>
      </c>
      <c r="F41" s="3">
        <f t="shared" si="0"/>
        <v>348.55179999999996</v>
      </c>
      <c r="G41">
        <v>335</v>
      </c>
      <c r="I41" s="3">
        <f t="shared" si="1"/>
        <v>0</v>
      </c>
    </row>
    <row r="42" spans="1:9" x14ac:dyDescent="0.3">
      <c r="A42" t="s">
        <v>42</v>
      </c>
      <c r="B42" t="s">
        <v>66</v>
      </c>
      <c r="C42" t="s">
        <v>8</v>
      </c>
      <c r="D42">
        <v>0.75</v>
      </c>
      <c r="E42" s="3">
        <v>750.88</v>
      </c>
      <c r="F42" s="3">
        <f t="shared" si="0"/>
        <v>911.56479999999999</v>
      </c>
      <c r="G42">
        <v>124</v>
      </c>
      <c r="I42" s="3">
        <f t="shared" si="1"/>
        <v>0</v>
      </c>
    </row>
    <row r="43" spans="1:9" x14ac:dyDescent="0.3">
      <c r="A43" t="s">
        <v>67</v>
      </c>
      <c r="B43" t="s">
        <v>66</v>
      </c>
      <c r="C43" t="s">
        <v>8</v>
      </c>
      <c r="D43">
        <v>0.75</v>
      </c>
      <c r="E43" s="3">
        <v>1588.44</v>
      </c>
      <c r="F43" s="3">
        <f t="shared" si="0"/>
        <v>1925.0124000000001</v>
      </c>
      <c r="G43">
        <v>45</v>
      </c>
      <c r="I43" s="3">
        <f t="shared" si="1"/>
        <v>0</v>
      </c>
    </row>
    <row r="44" spans="1:9" x14ac:dyDescent="0.3">
      <c r="A44" t="s">
        <v>68</v>
      </c>
      <c r="B44" t="s">
        <v>66</v>
      </c>
      <c r="C44" t="s">
        <v>8</v>
      </c>
      <c r="D44">
        <v>0.75</v>
      </c>
      <c r="E44" s="3">
        <v>750.88</v>
      </c>
      <c r="F44" s="3">
        <f t="shared" si="0"/>
        <v>911.56479999999999</v>
      </c>
      <c r="G44">
        <v>66</v>
      </c>
      <c r="I44" s="3">
        <f t="shared" si="1"/>
        <v>0</v>
      </c>
    </row>
    <row r="45" spans="1:9" x14ac:dyDescent="0.3">
      <c r="A45" t="s">
        <v>69</v>
      </c>
      <c r="B45" t="s">
        <v>66</v>
      </c>
      <c r="C45" t="s">
        <v>8</v>
      </c>
      <c r="D45">
        <v>0.75</v>
      </c>
      <c r="E45" s="3">
        <v>1495.38</v>
      </c>
      <c r="F45" s="3">
        <f t="shared" si="0"/>
        <v>1812.4098000000001</v>
      </c>
      <c r="G45">
        <v>58</v>
      </c>
      <c r="I45" s="3">
        <f t="shared" si="1"/>
        <v>0</v>
      </c>
    </row>
    <row r="46" spans="1:9" x14ac:dyDescent="0.3">
      <c r="A46" t="s">
        <v>70</v>
      </c>
      <c r="B46" t="s">
        <v>66</v>
      </c>
      <c r="C46" t="s">
        <v>8</v>
      </c>
      <c r="D46">
        <v>0.75</v>
      </c>
      <c r="E46" s="3">
        <v>1588.44</v>
      </c>
      <c r="F46" s="3">
        <f t="shared" si="0"/>
        <v>1925.0124000000001</v>
      </c>
      <c r="G46">
        <v>61</v>
      </c>
      <c r="I46" s="3">
        <f t="shared" si="1"/>
        <v>0</v>
      </c>
    </row>
    <row r="47" spans="1:9" ht="21" x14ac:dyDescent="0.4">
      <c r="H47" s="5">
        <f>SUM(H2:H46)</f>
        <v>0</v>
      </c>
      <c r="I47" s="6">
        <f>SUM(I2:I46)</f>
        <v>0</v>
      </c>
    </row>
  </sheetData>
  <autoFilter ref="A1:I1"/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Brancos Borgonha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2026-08-25T11:27:16Z</dcterms:created>
  <dcterms:modified xsi:type="dcterms:W3CDTF">2026-08-25T11:56:50Z</dcterms:modified>
  <cp:category/>
</cp:coreProperties>
</file>