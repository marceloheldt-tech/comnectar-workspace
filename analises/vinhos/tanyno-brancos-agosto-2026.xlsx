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768"/>
  </bookViews>
  <sheets>
    <sheet name="Vinhos Brancos" sheetId="1" r:id="rId1"/>
  </sheets>
  <definedNames>
    <definedName name="_xlnm._FilterDatabase" localSheetId="0" hidden="1">'Vinhos Brancos'!$A$1:$H$112</definedName>
  </definedNames>
  <calcPr calcId="162913"/>
</workbook>
</file>

<file path=xl/calcChain.xml><?xml version="1.0" encoding="utf-8"?>
<calcChain xmlns="http://schemas.openxmlformats.org/spreadsheetml/2006/main">
  <c r="L3" i="1" l="1"/>
  <c r="K103" i="1"/>
  <c r="L103" i="1" s="1"/>
  <c r="K7" i="1"/>
  <c r="L7" i="1" s="1"/>
  <c r="K3" i="1"/>
  <c r="I103" i="1"/>
  <c r="I7" i="1"/>
  <c r="I3" i="1"/>
</calcChain>
</file>

<file path=xl/sharedStrings.xml><?xml version="1.0" encoding="utf-8"?>
<sst xmlns="http://schemas.openxmlformats.org/spreadsheetml/2006/main" count="675" uniqueCount="199">
  <si>
    <t>Linha</t>
  </si>
  <si>
    <t>Vinho</t>
  </si>
  <si>
    <t>Produtor</t>
  </si>
  <si>
    <t>Safra</t>
  </si>
  <si>
    <t>País</t>
  </si>
  <si>
    <t>Região</t>
  </si>
  <si>
    <t>Preço (A37)</t>
  </si>
  <si>
    <t>Estoque</t>
  </si>
  <si>
    <t>Tanyno Autoral</t>
  </si>
  <si>
    <t>FRAUENBERG RIESLING GG</t>
  </si>
  <si>
    <t>BATTENFELD SPANIER</t>
  </si>
  <si>
    <t>2022</t>
  </si>
  <si>
    <t>ALEMANHA</t>
  </si>
  <si>
    <t>RHEINHESSEN</t>
  </si>
  <si>
    <t>BALSA DE PIEDRA</t>
  </si>
  <si>
    <t>MICHELINI I MUFATTO</t>
  </si>
  <si>
    <t>2023</t>
  </si>
  <si>
    <t>ARGENTINA</t>
  </si>
  <si>
    <t>MENDOZA</t>
  </si>
  <si>
    <t>CERTEZAS</t>
  </si>
  <si>
    <t>CONVICCIONES</t>
  </si>
  <si>
    <t>PROPÓSITOS</t>
  </si>
  <si>
    <t>Tanyno Signature</t>
  </si>
  <si>
    <t>AQUITANIA CHARDONNAY</t>
  </si>
  <si>
    <t>AQUITANIA</t>
  </si>
  <si>
    <t>2024</t>
  </si>
  <si>
    <t>CHILE</t>
  </si>
  <si>
    <t>VALLE DEL MALLECO</t>
  </si>
  <si>
    <t>SOL DE SOL SAUVIGNON BLANC</t>
  </si>
  <si>
    <t>VENTOLERA SAUVIGNON BLANC</t>
  </si>
  <si>
    <t>VINA VENTOLERA S.A</t>
  </si>
  <si>
    <t>VALLE DE SAN ATONIO</t>
  </si>
  <si>
    <t>CUEVA DEL MONGE BLANCO</t>
  </si>
  <si>
    <t>VINICOLA REAL</t>
  </si>
  <si>
    <t>2019</t>
  </si>
  <si>
    <t>ESPANHA</t>
  </si>
  <si>
    <t>RIOJA</t>
  </si>
  <si>
    <t>KYRIE</t>
  </si>
  <si>
    <t>CLOS DE L’OBAC</t>
  </si>
  <si>
    <t>2009</t>
  </si>
  <si>
    <t>PRIORAT</t>
  </si>
  <si>
    <t>L'ESCARPAT</t>
  </si>
  <si>
    <t>LA LLORONA</t>
  </si>
  <si>
    <t>VERONICA ORTEGA</t>
  </si>
  <si>
    <t>BIERZO</t>
  </si>
  <si>
    <t>MAURO GODELLO</t>
  </si>
  <si>
    <t>BODEGAS MAURO, S.A.</t>
  </si>
  <si>
    <t>CASTILLA Y LEON</t>
  </si>
  <si>
    <t>MIGUEL MERINO BLANCO</t>
  </si>
  <si>
    <t>MIGUEL MERINO</t>
  </si>
  <si>
    <t>TORMENTA</t>
  </si>
  <si>
    <t>USATGES BLANC</t>
  </si>
  <si>
    <t>A MINIMA</t>
  </si>
  <si>
    <t>TRAPET ALSACE</t>
  </si>
  <si>
    <t>FRANÇA</t>
  </si>
  <si>
    <t>BORGONHA</t>
  </si>
  <si>
    <t>AMPHIBOLITE</t>
  </si>
  <si>
    <t>DOMAINES LANDRON</t>
  </si>
  <si>
    <t>LOIRE</t>
  </si>
  <si>
    <t>AMPHIBOLITE MAGNUM</t>
  </si>
  <si>
    <t>AUXEY-DURESSES 1ER CRU LES DURESSES</t>
  </si>
  <si>
    <t>DOMAINE CHANGARNIER</t>
  </si>
  <si>
    <t>BATARD-MONTRACHET</t>
  </si>
  <si>
    <t>JEAN CHARTRON</t>
  </si>
  <si>
    <t>BEAUJOLAIS</t>
  </si>
  <si>
    <t>MEE GODARD</t>
  </si>
  <si>
    <t>BEAUJOLAIS MAGNUM</t>
  </si>
  <si>
    <t>BOURGOGNE "LES DRESSOLES"</t>
  </si>
  <si>
    <t>BOURGOGNE ALIGOTE</t>
  </si>
  <si>
    <t>DOMAINE REMI JOBARD</t>
  </si>
  <si>
    <t>BOURGOGNE ALIGOTÉ</t>
  </si>
  <si>
    <t>LES PETITS LIEUX</t>
  </si>
  <si>
    <t>BOURGOGNE ALIGOTÉ "ALIGATO" CUVÉE ZEN</t>
  </si>
  <si>
    <t>LA SOUFRANDIERE</t>
  </si>
  <si>
    <t>BOURGOGNE ALIGOTE LES CERISIERS</t>
  </si>
  <si>
    <t>JEREMY RECCHIONE</t>
  </si>
  <si>
    <t>BOURGOGNE CHARDONNAY</t>
  </si>
  <si>
    <t>AURORE BACHELET</t>
  </si>
  <si>
    <t>BOURGOGNE CHARDONNAY "LES GRANDES COUTURES"</t>
  </si>
  <si>
    <t>XAVIER MONNOT</t>
  </si>
  <si>
    <t>BOURGOGNE COTE D'OR</t>
  </si>
  <si>
    <t>DOMAINE GUY BOCARD</t>
  </si>
  <si>
    <t>BOURGOGNE CÔTE D'OR</t>
  </si>
  <si>
    <t>BOURGOGNE COTE D'OR DOUBLE MAGNUM</t>
  </si>
  <si>
    <t>BOURGOGNE COTE D'OR MAGNUM</t>
  </si>
  <si>
    <t>BOURGOGNE LES DRESSOLES</t>
  </si>
  <si>
    <t>CHARD. 23 BOURGOGNE TONNERRE</t>
  </si>
  <si>
    <t>CALCARIUS</t>
  </si>
  <si>
    <t>CHASSAGNE-MONTRACHET</t>
  </si>
  <si>
    <t>CHASSAGNE-MONTRACHET 1ER CRU "EN REMILLY"</t>
  </si>
  <si>
    <t>CHATEAU MARTET RESERVE DE FAMILLE</t>
  </si>
  <si>
    <t>CHATEAU MARTET</t>
  </si>
  <si>
    <t>BORDEAUX</t>
  </si>
  <si>
    <t>CHATEAU MARTET VIGNES DE COMPOSTELLE</t>
  </si>
  <si>
    <t>CHEVALIER-MONTRACHET GRAND CRU</t>
  </si>
  <si>
    <t>LA POUSSE D'OR</t>
  </si>
  <si>
    <t>CHEVALIER-MONTRACHET GRAND CRU "CLOS DES CHEVALIERS" MONOPOLE</t>
  </si>
  <si>
    <t>CIBONNE TENTATIONS BLANC</t>
  </si>
  <si>
    <t>CLOS CIBONNE</t>
  </si>
  <si>
    <t>COTÊ DE PROVENCE</t>
  </si>
  <si>
    <t>CLOS LA CARIZIÈRE</t>
  </si>
  <si>
    <t>CLOS LE GRAND BEAUPRÉAU</t>
  </si>
  <si>
    <t>DOMAINE OGEREAU</t>
  </si>
  <si>
    <t>CORBIÈRES BLANC</t>
  </si>
  <si>
    <t>DOMAINE DEUX CLÉS</t>
  </si>
  <si>
    <t>LANGUEDOC-ROUSSILION</t>
  </si>
  <si>
    <t>CORTON CHARLEMAGNE GRAND CRU</t>
  </si>
  <si>
    <t>MICHEL JUILLOT</t>
  </si>
  <si>
    <t>2020</t>
  </si>
  <si>
    <t>CORTON-CHARLEMAGNE</t>
  </si>
  <si>
    <t>COTES DU RHONE COUZOU</t>
  </si>
  <si>
    <t>JEAN LUC JAMET</t>
  </si>
  <si>
    <t>2016</t>
  </si>
  <si>
    <t>RHONE</t>
  </si>
  <si>
    <t>EN CHENIN</t>
  </si>
  <si>
    <t>GEORGES</t>
  </si>
  <si>
    <t>DOMAINE THILLARDON</t>
  </si>
  <si>
    <t>HAUTE TRADITION</t>
  </si>
  <si>
    <t>2018</t>
  </si>
  <si>
    <t>HAUTES CÔTES DE BEAUNE "VIEILLES VIGNES"</t>
  </si>
  <si>
    <t>HAUTES COTES DE NUITS BLANC</t>
  </si>
  <si>
    <t>LE FIEF DU BREIL</t>
  </si>
  <si>
    <t>MÂCON CHAINTRÉ LES SERREUXDIÈRES</t>
  </si>
  <si>
    <t>DOMAINE CORNIN</t>
  </si>
  <si>
    <t>MÂCON-CHARDONNAY</t>
  </si>
  <si>
    <t>BRET BROTHERS</t>
  </si>
  <si>
    <t>MÂCON-CRUZILLE CLOS DES AVOUERIES CALCAIRE</t>
  </si>
  <si>
    <t>CHATEAU DE MESSEY</t>
  </si>
  <si>
    <t>MÂCON-CRUZILLE CLOS DES AVOUERIES MONOPOLE</t>
  </si>
  <si>
    <t>MÂCON-VILLAGES LES CHOUETTES</t>
  </si>
  <si>
    <t>MERCUREY LES VIGNES DE MAILLONGE</t>
  </si>
  <si>
    <t>MEURSAULT "LES CHEVALIERÈS"</t>
  </si>
  <si>
    <t>MEURSAULT 1ER CRU "LES CHARMES"</t>
  </si>
  <si>
    <t>MEURSAULT CHARMES 1ER CRU</t>
  </si>
  <si>
    <t>MEURSAULT CHARMES 1ER CRU MAGNUM</t>
  </si>
  <si>
    <t>NUITS SAINT GEORGES "LES CREUX FRAICHES EAUX"</t>
  </si>
  <si>
    <t>CHANTAL LESCURE</t>
  </si>
  <si>
    <t>2021</t>
  </si>
  <si>
    <t>POUILLY-FUISSÉ 1ER CRU CUVÉE HORS CLASSE "LES MÉNÉTRIÈRES"</t>
  </si>
  <si>
    <t>JA FERRET</t>
  </si>
  <si>
    <t>POUILLY-FUISSÉ 1ER CRU CUVÉE HORS CLASSE "TOURNANT DE POUILLY"</t>
  </si>
  <si>
    <t>POUILLY-FUISSÉ CLIMAT EN CHATENAY CUVÉE ZEN</t>
  </si>
  <si>
    <t>POUILLY-FUISSÉ TÊTE DE CRU "CLOS DES PROUGES"</t>
  </si>
  <si>
    <t>POUILLY-VINZELLES CLIMAT "LES QUARTS" CUVÉE ZEN</t>
  </si>
  <si>
    <t>PULIGNY-MONTRACHET 1ER CRU "LES FOLATIÈRES"</t>
  </si>
  <si>
    <t>R.Q.W.R. G. RIQUEWIHR GEWURZTRAMINER</t>
  </si>
  <si>
    <t>ROUSSANNE VIEILLES VIGNES</t>
  </si>
  <si>
    <t>DOMAINE PETER SICHEL</t>
  </si>
  <si>
    <t>SAINT VÉRAN CLIMAT "LA BONNODE" CUVÉE OVOÏDE ZEN</t>
  </si>
  <si>
    <t>SANCERRE</t>
  </si>
  <si>
    <t>FRANÇOIS CROCHET</t>
  </si>
  <si>
    <t>SANCERRE "EXILS"</t>
  </si>
  <si>
    <t>SANCERRE "LE CHÊNE MARCHAND"</t>
  </si>
  <si>
    <t>SANCERRE "LE GRAND CHEMARIN"</t>
  </si>
  <si>
    <t>SANCERRE "LES AMOUREUSES"</t>
  </si>
  <si>
    <t>VENT DE SPILITE</t>
  </si>
  <si>
    <t>VIN DE FRANCE BLANC</t>
  </si>
  <si>
    <t>DOMAINE LÉON BARRAL</t>
  </si>
  <si>
    <t>BIANCO SCAPULIN</t>
  </si>
  <si>
    <t>GIUSEPPE CORTESE</t>
  </si>
  <si>
    <t>ITALIA</t>
  </si>
  <si>
    <t>PIEMONTE</t>
  </si>
  <si>
    <t>GEWÜRZTRAMINER</t>
  </si>
  <si>
    <t>FRANZ HAAS</t>
  </si>
  <si>
    <t>ALTO ADIGE</t>
  </si>
  <si>
    <t>LANGHE DOC BIANCO SCAPULIN MAGNUM</t>
  </si>
  <si>
    <t>LEPUS</t>
  </si>
  <si>
    <t>MANNA SCHWEIZER</t>
  </si>
  <si>
    <t>PETIT MANSENG</t>
  </si>
  <si>
    <t>PINOT GRIGIO</t>
  </si>
  <si>
    <t>POGGIO ALLE GAZZE DELL'ORNELLAIA</t>
  </si>
  <si>
    <t>ORNELLAIA S.R.L</t>
  </si>
  <si>
    <t>TOSCANA</t>
  </si>
  <si>
    <t>POGGIO ALLE GAZZE DELL'ORNELLAIA MAGNUM</t>
  </si>
  <si>
    <t>SOFI MÜLLER THURGAU</t>
  </si>
  <si>
    <t>TOSCANA BIANCO "CANNA TORTA"</t>
  </si>
  <si>
    <t>PODERE LE RIPI</t>
  </si>
  <si>
    <t>ALQUEVE RESERVA</t>
  </si>
  <si>
    <t>PINHAL DA TORRE</t>
  </si>
  <si>
    <t>PORTUGAL</t>
  </si>
  <si>
    <t>TEJO</t>
  </si>
  <si>
    <t>ARINTO. 24</t>
  </si>
  <si>
    <t>BUCELAS</t>
  </si>
  <si>
    <t>CONSTANÇA VAI À VINHA - BRANCO</t>
  </si>
  <si>
    <t>OUTEIROS ALTOS</t>
  </si>
  <si>
    <t>ALENTEJO</t>
  </si>
  <si>
    <t>EREMITAS AMON DE KELIA</t>
  </si>
  <si>
    <t>MATEUS NICOLAU</t>
  </si>
  <si>
    <t>DOURO</t>
  </si>
  <si>
    <t>EREMITAS ANTAO DO DESERTO</t>
  </si>
  <si>
    <t>EREMITAS ANTÃO DO DESERTO</t>
  </si>
  <si>
    <t>EREMITAS PAULO DE TEBAS</t>
  </si>
  <si>
    <t>RONFE TRAJADURA</t>
  </si>
  <si>
    <t>NICOLAU DE ALMEIDA</t>
  </si>
  <si>
    <t>RUMO BRANCO</t>
  </si>
  <si>
    <t>RUMO VINHOS</t>
  </si>
  <si>
    <t>RUMO LUMIA</t>
  </si>
  <si>
    <t>RUMO LUMINA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</si>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</sst>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12"/>
  <sheetViews>
    <sheetView tabSelected="1" workbookViewId="0">
      <selection activeCell="J113" sqref="J113"/>
    </sheetView>
  </sheetViews>
  <sheetFormatPr defaultRowHeight="14.4" x14ac:dyDescent="0.3"/>
  <cols>
    <col min="1" max="1" width="18" customWidth="1"/>
    <col min="2" max="2" width="14.44140625" customWidth="1"/>
    <col min="3" max="3" width="13.33203125" customWidth="1"/>
    <col min="4" max="4" width="10" customWidth="1"/>
    <col min="5" max="5" width="14" customWidth="1"/>
    <col min="6" max="6" width="20" hidden="1" customWidth="1"/>
    <col min="7" max="7" width="14" style="1" hidden="1" customWidth="1"/>
    <col min="8" max="8" width="10" hidden="1" customWidth="1"/>
    <col min="9" max="9" width="0" hidden="1" customWidth="1"/>
    <col min="11" max="12" width="0" hidden="1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J1" s="2" t="s">
        <v>198</v>
      </c>
    </row>
    <row r="2" spans="1:12" hidden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727.23524999999995</v>
      </c>
      <c r="H2">
        <v>3</v>
      </c>
    </row>
    <row r="3" spans="1:12" hidden="1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>
        <v>76.988849999999999</v>
      </c>
      <c r="H3">
        <v>2836</v>
      </c>
      <c r="I3" s="1">
        <f>G3*1.13</f>
        <v>86.997400499999998</v>
      </c>
      <c r="J3">
        <v>110</v>
      </c>
      <c r="K3">
        <f>J3*0.92</f>
        <v>101.2</v>
      </c>
      <c r="L3" s="1">
        <f>K3/I3</f>
        <v>1.1632531480064165</v>
      </c>
    </row>
    <row r="4" spans="1:12" hidden="1" x14ac:dyDescent="0.3">
      <c r="A4" t="s">
        <v>8</v>
      </c>
      <c r="B4" t="s">
        <v>19</v>
      </c>
      <c r="C4" t="s">
        <v>15</v>
      </c>
      <c r="D4" t="s">
        <v>11</v>
      </c>
      <c r="E4" t="s">
        <v>17</v>
      </c>
      <c r="F4" t="s">
        <v>18</v>
      </c>
      <c r="G4" s="1">
        <v>271.67084999999997</v>
      </c>
      <c r="H4">
        <v>290</v>
      </c>
    </row>
    <row r="5" spans="1:12" hidden="1" x14ac:dyDescent="0.3">
      <c r="A5" t="s">
        <v>8</v>
      </c>
      <c r="B5" t="s">
        <v>20</v>
      </c>
      <c r="C5" t="s">
        <v>15</v>
      </c>
      <c r="D5" t="s">
        <v>11</v>
      </c>
      <c r="E5" t="s">
        <v>17</v>
      </c>
      <c r="F5" t="s">
        <v>18</v>
      </c>
      <c r="G5" s="1">
        <v>271.67084999999997</v>
      </c>
      <c r="H5">
        <v>215</v>
      </c>
    </row>
    <row r="6" spans="1:12" hidden="1" x14ac:dyDescent="0.3">
      <c r="A6" t="s">
        <v>8</v>
      </c>
      <c r="B6" t="s">
        <v>21</v>
      </c>
      <c r="C6" t="s">
        <v>15</v>
      </c>
      <c r="D6" t="s">
        <v>11</v>
      </c>
      <c r="E6" t="s">
        <v>17</v>
      </c>
      <c r="F6" t="s">
        <v>18</v>
      </c>
      <c r="G6" s="1">
        <v>271.67084999999997</v>
      </c>
      <c r="H6">
        <v>283</v>
      </c>
    </row>
    <row r="7" spans="1:12" hidden="1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s="1">
        <v>79.672650000000004</v>
      </c>
      <c r="H7">
        <v>173</v>
      </c>
      <c r="I7" s="1">
        <f>G7*1.13</f>
        <v>90.03009449999999</v>
      </c>
      <c r="J7">
        <v>120</v>
      </c>
      <c r="K7">
        <f>J7*0.92</f>
        <v>110.4</v>
      </c>
      <c r="L7" s="1">
        <f>K7/I7</f>
        <v>1.226256626888246</v>
      </c>
    </row>
    <row r="8" spans="1:12" hidden="1" x14ac:dyDescent="0.3">
      <c r="A8" t="s">
        <v>22</v>
      </c>
      <c r="B8" t="s">
        <v>28</v>
      </c>
      <c r="C8" t="s">
        <v>24</v>
      </c>
      <c r="D8" t="s">
        <v>25</v>
      </c>
      <c r="E8" t="s">
        <v>26</v>
      </c>
      <c r="F8" t="s">
        <v>27</v>
      </c>
      <c r="G8" s="1">
        <v>158.58914999999999</v>
      </c>
      <c r="H8">
        <v>697</v>
      </c>
    </row>
    <row r="9" spans="1:12" hidden="1" x14ac:dyDescent="0.3">
      <c r="A9" t="s">
        <v>22</v>
      </c>
      <c r="B9" t="s">
        <v>29</v>
      </c>
      <c r="C9" t="s">
        <v>30</v>
      </c>
      <c r="D9" t="s">
        <v>11</v>
      </c>
      <c r="E9" t="s">
        <v>26</v>
      </c>
      <c r="F9" t="s">
        <v>31</v>
      </c>
      <c r="G9" s="1">
        <v>107.85254999999999</v>
      </c>
      <c r="H9">
        <v>281</v>
      </c>
    </row>
    <row r="10" spans="1:12" hidden="1" x14ac:dyDescent="0.3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s="1">
        <v>151.11284999999998</v>
      </c>
      <c r="H10">
        <v>6</v>
      </c>
    </row>
    <row r="11" spans="1:12" hidden="1" x14ac:dyDescent="0.3">
      <c r="A11" t="s">
        <v>8</v>
      </c>
      <c r="B11" t="s">
        <v>37</v>
      </c>
      <c r="C11" t="s">
        <v>38</v>
      </c>
      <c r="D11" t="s">
        <v>39</v>
      </c>
      <c r="E11" t="s">
        <v>35</v>
      </c>
      <c r="F11" t="s">
        <v>40</v>
      </c>
      <c r="G11" s="1">
        <v>933.9197999999999</v>
      </c>
      <c r="H11">
        <v>3</v>
      </c>
    </row>
    <row r="12" spans="1:12" hidden="1" x14ac:dyDescent="0.3">
      <c r="A12" t="s">
        <v>8</v>
      </c>
      <c r="B12" t="s">
        <v>37</v>
      </c>
      <c r="C12" t="s">
        <v>38</v>
      </c>
      <c r="D12" t="s">
        <v>25</v>
      </c>
      <c r="E12" t="s">
        <v>35</v>
      </c>
      <c r="F12" t="s">
        <v>40</v>
      </c>
      <c r="G12" s="1">
        <v>812.19029999999998</v>
      </c>
      <c r="H12">
        <v>4</v>
      </c>
    </row>
    <row r="13" spans="1:12" hidden="1" x14ac:dyDescent="0.3">
      <c r="A13" t="s">
        <v>8</v>
      </c>
      <c r="B13" t="s">
        <v>41</v>
      </c>
      <c r="C13" t="s">
        <v>38</v>
      </c>
      <c r="D13" t="s">
        <v>25</v>
      </c>
      <c r="E13" t="s">
        <v>35</v>
      </c>
      <c r="F13" t="s">
        <v>40</v>
      </c>
      <c r="G13" s="1">
        <v>812.19029999999998</v>
      </c>
      <c r="H13">
        <v>21</v>
      </c>
    </row>
    <row r="14" spans="1:12" hidden="1" x14ac:dyDescent="0.3">
      <c r="A14" t="s">
        <v>8</v>
      </c>
      <c r="B14" t="s">
        <v>42</v>
      </c>
      <c r="C14" t="s">
        <v>43</v>
      </c>
      <c r="D14" t="s">
        <v>16</v>
      </c>
      <c r="E14" t="s">
        <v>35</v>
      </c>
      <c r="F14" t="s">
        <v>44</v>
      </c>
      <c r="G14" s="1">
        <v>272.87430000000001</v>
      </c>
      <c r="H14">
        <v>68</v>
      </c>
    </row>
    <row r="15" spans="1:12" hidden="1" x14ac:dyDescent="0.3">
      <c r="A15" t="s">
        <v>22</v>
      </c>
      <c r="B15" t="s">
        <v>45</v>
      </c>
      <c r="C15" t="s">
        <v>46</v>
      </c>
      <c r="D15" t="s">
        <v>11</v>
      </c>
      <c r="E15" t="s">
        <v>35</v>
      </c>
      <c r="F15" t="s">
        <v>47</v>
      </c>
      <c r="G15" s="1">
        <v>449.33415000000002</v>
      </c>
      <c r="H15">
        <v>1</v>
      </c>
    </row>
    <row r="16" spans="1:12" hidden="1" x14ac:dyDescent="0.3">
      <c r="A16" t="s">
        <v>22</v>
      </c>
      <c r="B16" t="s">
        <v>45</v>
      </c>
      <c r="C16" t="s">
        <v>46</v>
      </c>
      <c r="D16" t="s">
        <v>16</v>
      </c>
      <c r="E16" t="s">
        <v>35</v>
      </c>
      <c r="F16" t="s">
        <v>47</v>
      </c>
      <c r="G16" s="1">
        <v>422.30444999999997</v>
      </c>
      <c r="H16">
        <v>41</v>
      </c>
    </row>
    <row r="17" spans="1:8" hidden="1" x14ac:dyDescent="0.3">
      <c r="A17" t="s">
        <v>8</v>
      </c>
      <c r="B17" t="s">
        <v>48</v>
      </c>
      <c r="C17" t="s">
        <v>49</v>
      </c>
      <c r="D17" t="s">
        <v>16</v>
      </c>
      <c r="E17" t="s">
        <v>35</v>
      </c>
      <c r="F17" t="s">
        <v>36</v>
      </c>
      <c r="G17" s="1">
        <v>314.38799999999998</v>
      </c>
      <c r="H17">
        <v>66</v>
      </c>
    </row>
    <row r="18" spans="1:8" hidden="1" x14ac:dyDescent="0.3">
      <c r="A18" t="s">
        <v>8</v>
      </c>
      <c r="B18" t="s">
        <v>50</v>
      </c>
      <c r="C18" t="s">
        <v>43</v>
      </c>
      <c r="D18" t="s">
        <v>11</v>
      </c>
      <c r="E18" t="s">
        <v>35</v>
      </c>
      <c r="F18" t="s">
        <v>44</v>
      </c>
      <c r="G18" s="1">
        <v>356.63655</v>
      </c>
      <c r="H18">
        <v>20</v>
      </c>
    </row>
    <row r="19" spans="1:8" hidden="1" x14ac:dyDescent="0.3">
      <c r="A19" t="s">
        <v>8</v>
      </c>
      <c r="B19" t="s">
        <v>51</v>
      </c>
      <c r="C19" t="s">
        <v>38</v>
      </c>
      <c r="D19" t="s">
        <v>25</v>
      </c>
      <c r="E19" t="s">
        <v>35</v>
      </c>
      <c r="F19" t="s">
        <v>40</v>
      </c>
      <c r="G19" s="1">
        <v>266.03699999999998</v>
      </c>
      <c r="H19">
        <v>77</v>
      </c>
    </row>
    <row r="20" spans="1:8" hidden="1" x14ac:dyDescent="0.3">
      <c r="A20" t="s">
        <v>8</v>
      </c>
      <c r="B20" t="s">
        <v>52</v>
      </c>
      <c r="C20" t="s">
        <v>53</v>
      </c>
      <c r="D20" t="s">
        <v>16</v>
      </c>
      <c r="E20" t="s">
        <v>54</v>
      </c>
      <c r="F20" t="s">
        <v>55</v>
      </c>
      <c r="G20" s="1">
        <v>170.43195</v>
      </c>
      <c r="H20">
        <v>38</v>
      </c>
    </row>
    <row r="21" spans="1:8" hidden="1" x14ac:dyDescent="0.3">
      <c r="A21" t="s">
        <v>8</v>
      </c>
      <c r="B21" t="s">
        <v>56</v>
      </c>
      <c r="C21" t="s">
        <v>57</v>
      </c>
      <c r="D21" t="s">
        <v>16</v>
      </c>
      <c r="E21" t="s">
        <v>54</v>
      </c>
      <c r="F21" t="s">
        <v>58</v>
      </c>
      <c r="G21" s="1">
        <v>151.22999999999999</v>
      </c>
      <c r="H21">
        <v>443</v>
      </c>
    </row>
    <row r="22" spans="1:8" hidden="1" x14ac:dyDescent="0.3">
      <c r="A22" t="s">
        <v>8</v>
      </c>
      <c r="B22" t="s">
        <v>59</v>
      </c>
      <c r="C22" t="s">
        <v>57</v>
      </c>
      <c r="D22" t="s">
        <v>16</v>
      </c>
      <c r="E22" t="s">
        <v>54</v>
      </c>
      <c r="F22" t="s">
        <v>58</v>
      </c>
      <c r="G22" s="1">
        <v>357.78674999999998</v>
      </c>
      <c r="H22">
        <v>90</v>
      </c>
    </row>
    <row r="23" spans="1:8" hidden="1" x14ac:dyDescent="0.3">
      <c r="A23" t="s">
        <v>8</v>
      </c>
      <c r="B23" t="s">
        <v>60</v>
      </c>
      <c r="C23" t="s">
        <v>61</v>
      </c>
      <c r="D23" t="s">
        <v>16</v>
      </c>
      <c r="E23" t="s">
        <v>54</v>
      </c>
      <c r="F23" t="s">
        <v>55</v>
      </c>
      <c r="G23" s="1">
        <v>549.35895000000005</v>
      </c>
      <c r="H23">
        <v>68</v>
      </c>
    </row>
    <row r="24" spans="1:8" hidden="1" x14ac:dyDescent="0.3">
      <c r="A24" t="s">
        <v>8</v>
      </c>
      <c r="B24" t="s">
        <v>62</v>
      </c>
      <c r="C24" t="s">
        <v>63</v>
      </c>
      <c r="D24" t="s">
        <v>16</v>
      </c>
      <c r="E24" t="s">
        <v>54</v>
      </c>
      <c r="F24" t="s">
        <v>55</v>
      </c>
      <c r="G24" s="1">
        <v>4886.8377</v>
      </c>
      <c r="H24">
        <v>33</v>
      </c>
    </row>
    <row r="25" spans="1:8" hidden="1" x14ac:dyDescent="0.3">
      <c r="A25" t="s">
        <v>8</v>
      </c>
      <c r="B25" t="s">
        <v>64</v>
      </c>
      <c r="C25" t="s">
        <v>65</v>
      </c>
      <c r="D25" t="s">
        <v>16</v>
      </c>
      <c r="E25" t="s">
        <v>54</v>
      </c>
      <c r="F25" t="s">
        <v>64</v>
      </c>
      <c r="G25" s="1">
        <v>183.19064999999998</v>
      </c>
      <c r="H25">
        <v>175</v>
      </c>
    </row>
    <row r="26" spans="1:8" hidden="1" x14ac:dyDescent="0.3">
      <c r="A26" t="s">
        <v>8</v>
      </c>
      <c r="B26" t="s">
        <v>66</v>
      </c>
      <c r="C26" t="s">
        <v>65</v>
      </c>
      <c r="D26" t="s">
        <v>16</v>
      </c>
      <c r="E26" t="s">
        <v>54</v>
      </c>
      <c r="F26" t="s">
        <v>64</v>
      </c>
      <c r="G26" s="1">
        <v>396.44624999999996</v>
      </c>
      <c r="H26">
        <v>45</v>
      </c>
    </row>
    <row r="27" spans="1:8" hidden="1" x14ac:dyDescent="0.3">
      <c r="A27" t="s">
        <v>8</v>
      </c>
      <c r="B27" t="s">
        <v>66</v>
      </c>
      <c r="C27" t="s">
        <v>65</v>
      </c>
      <c r="D27" t="s">
        <v>11</v>
      </c>
      <c r="E27" t="s">
        <v>54</v>
      </c>
      <c r="F27" t="s">
        <v>64</v>
      </c>
      <c r="G27" s="1">
        <v>390.9828</v>
      </c>
      <c r="H27">
        <v>17</v>
      </c>
    </row>
    <row r="28" spans="1:8" hidden="1" x14ac:dyDescent="0.3">
      <c r="A28" t="s">
        <v>8</v>
      </c>
      <c r="B28" t="s">
        <v>67</v>
      </c>
      <c r="C28" t="s">
        <v>61</v>
      </c>
      <c r="D28" t="s">
        <v>11</v>
      </c>
      <c r="E28" t="s">
        <v>54</v>
      </c>
      <c r="F28" t="s">
        <v>55</v>
      </c>
      <c r="G28" s="1">
        <v>284.98334999999997</v>
      </c>
      <c r="H28">
        <v>50</v>
      </c>
    </row>
    <row r="29" spans="1:8" hidden="1" x14ac:dyDescent="0.3">
      <c r="A29" t="s">
        <v>8</v>
      </c>
      <c r="B29" t="s">
        <v>68</v>
      </c>
      <c r="C29" t="s">
        <v>69</v>
      </c>
      <c r="D29" t="s">
        <v>11</v>
      </c>
      <c r="E29" t="s">
        <v>54</v>
      </c>
      <c r="F29" t="s">
        <v>55</v>
      </c>
      <c r="G29" s="1">
        <v>283.52430000000004</v>
      </c>
      <c r="H29">
        <v>89</v>
      </c>
    </row>
    <row r="30" spans="1:8" hidden="1" x14ac:dyDescent="0.3">
      <c r="A30" t="s">
        <v>8</v>
      </c>
      <c r="B30" t="s">
        <v>70</v>
      </c>
      <c r="C30" t="s">
        <v>71</v>
      </c>
      <c r="D30" t="s">
        <v>16</v>
      </c>
      <c r="E30" t="s">
        <v>54</v>
      </c>
      <c r="F30" t="s">
        <v>55</v>
      </c>
      <c r="G30" s="1">
        <v>220.12484999999998</v>
      </c>
      <c r="H30">
        <v>63</v>
      </c>
    </row>
    <row r="31" spans="1:8" hidden="1" x14ac:dyDescent="0.3">
      <c r="A31" t="s">
        <v>8</v>
      </c>
      <c r="B31" t="s">
        <v>72</v>
      </c>
      <c r="C31" t="s">
        <v>73</v>
      </c>
      <c r="D31" t="s">
        <v>16</v>
      </c>
      <c r="E31" t="s">
        <v>54</v>
      </c>
      <c r="F31" t="s">
        <v>55</v>
      </c>
      <c r="G31" s="1">
        <v>286.19745</v>
      </c>
      <c r="H31">
        <v>29</v>
      </c>
    </row>
    <row r="32" spans="1:8" hidden="1" x14ac:dyDescent="0.3">
      <c r="A32" t="s">
        <v>8</v>
      </c>
      <c r="B32" t="s">
        <v>74</v>
      </c>
      <c r="C32" t="s">
        <v>75</v>
      </c>
      <c r="D32" t="s">
        <v>16</v>
      </c>
      <c r="E32" t="s">
        <v>54</v>
      </c>
      <c r="F32" t="s">
        <v>55</v>
      </c>
      <c r="G32" s="1">
        <v>291.91649999999998</v>
      </c>
      <c r="H32">
        <v>80</v>
      </c>
    </row>
    <row r="33" spans="1:8" hidden="1" x14ac:dyDescent="0.3">
      <c r="A33" t="s">
        <v>8</v>
      </c>
      <c r="B33" t="s">
        <v>76</v>
      </c>
      <c r="C33" t="s">
        <v>77</v>
      </c>
      <c r="D33" t="s">
        <v>16</v>
      </c>
      <c r="E33" t="s">
        <v>54</v>
      </c>
      <c r="F33" t="s">
        <v>55</v>
      </c>
      <c r="G33" s="1">
        <v>229.18799999999999</v>
      </c>
      <c r="H33">
        <v>174</v>
      </c>
    </row>
    <row r="34" spans="1:8" hidden="1" x14ac:dyDescent="0.3">
      <c r="A34" t="s">
        <v>8</v>
      </c>
      <c r="B34" t="s">
        <v>76</v>
      </c>
      <c r="C34" t="s">
        <v>71</v>
      </c>
      <c r="D34" t="s">
        <v>16</v>
      </c>
      <c r="E34" t="s">
        <v>54</v>
      </c>
      <c r="F34" t="s">
        <v>55</v>
      </c>
      <c r="G34" s="1">
        <v>304.90949999999998</v>
      </c>
      <c r="H34">
        <v>86</v>
      </c>
    </row>
    <row r="35" spans="1:8" hidden="1" x14ac:dyDescent="0.3">
      <c r="A35" t="s">
        <v>8</v>
      </c>
      <c r="B35" t="s">
        <v>78</v>
      </c>
      <c r="C35" t="s">
        <v>79</v>
      </c>
      <c r="D35" t="s">
        <v>16</v>
      </c>
      <c r="E35" t="s">
        <v>54</v>
      </c>
      <c r="F35" t="s">
        <v>55</v>
      </c>
      <c r="G35" s="1">
        <v>285.57974999999993</v>
      </c>
      <c r="H35">
        <v>335</v>
      </c>
    </row>
    <row r="36" spans="1:8" hidden="1" x14ac:dyDescent="0.3">
      <c r="A36" t="s">
        <v>8</v>
      </c>
      <c r="B36" t="s">
        <v>80</v>
      </c>
      <c r="C36" t="s">
        <v>81</v>
      </c>
      <c r="D36" t="s">
        <v>16</v>
      </c>
      <c r="E36" t="s">
        <v>54</v>
      </c>
      <c r="F36" t="s">
        <v>55</v>
      </c>
      <c r="G36" s="1">
        <v>266.67599999999999</v>
      </c>
      <c r="H36">
        <v>87</v>
      </c>
    </row>
    <row r="37" spans="1:8" hidden="1" x14ac:dyDescent="0.3">
      <c r="A37" t="s">
        <v>8</v>
      </c>
      <c r="B37" t="s">
        <v>82</v>
      </c>
      <c r="C37" t="s">
        <v>81</v>
      </c>
      <c r="D37" t="s">
        <v>11</v>
      </c>
      <c r="E37" t="s">
        <v>54</v>
      </c>
      <c r="F37" t="s">
        <v>55</v>
      </c>
      <c r="G37" s="1">
        <v>266.67599999999999</v>
      </c>
      <c r="H37">
        <v>46</v>
      </c>
    </row>
    <row r="38" spans="1:8" hidden="1" x14ac:dyDescent="0.3">
      <c r="A38" t="s">
        <v>8</v>
      </c>
      <c r="B38" t="s">
        <v>83</v>
      </c>
      <c r="C38" t="s">
        <v>81</v>
      </c>
      <c r="D38" t="s">
        <v>16</v>
      </c>
      <c r="E38" t="s">
        <v>54</v>
      </c>
      <c r="F38" t="s">
        <v>55</v>
      </c>
      <c r="G38" s="1">
        <v>1400.8051499999999</v>
      </c>
      <c r="H38">
        <v>1</v>
      </c>
    </row>
    <row r="39" spans="1:8" hidden="1" x14ac:dyDescent="0.3">
      <c r="A39" t="s">
        <v>8</v>
      </c>
      <c r="B39" t="s">
        <v>84</v>
      </c>
      <c r="C39" t="s">
        <v>81</v>
      </c>
      <c r="D39" t="s">
        <v>16</v>
      </c>
      <c r="E39" t="s">
        <v>54</v>
      </c>
      <c r="F39" t="s">
        <v>55</v>
      </c>
      <c r="G39" s="1">
        <v>582.74669999999992</v>
      </c>
      <c r="H39">
        <v>17</v>
      </c>
    </row>
    <row r="40" spans="1:8" hidden="1" x14ac:dyDescent="0.3">
      <c r="A40" t="s">
        <v>8</v>
      </c>
      <c r="B40" t="s">
        <v>85</v>
      </c>
      <c r="C40" t="s">
        <v>61</v>
      </c>
      <c r="D40" t="s">
        <v>16</v>
      </c>
      <c r="E40" t="s">
        <v>54</v>
      </c>
      <c r="F40" t="s">
        <v>55</v>
      </c>
      <c r="G40" s="1">
        <v>284.98334999999997</v>
      </c>
      <c r="H40">
        <v>238</v>
      </c>
    </row>
    <row r="41" spans="1:8" hidden="1" x14ac:dyDescent="0.3">
      <c r="A41" t="s">
        <v>8</v>
      </c>
      <c r="B41" t="s">
        <v>86</v>
      </c>
      <c r="C41" t="s">
        <v>87</v>
      </c>
      <c r="D41" t="s">
        <v>16</v>
      </c>
      <c r="E41" t="s">
        <v>54</v>
      </c>
      <c r="F41" t="s">
        <v>55</v>
      </c>
      <c r="G41" s="1">
        <v>118.58774999999999</v>
      </c>
      <c r="H41">
        <v>1489</v>
      </c>
    </row>
    <row r="42" spans="1:8" hidden="1" x14ac:dyDescent="0.3">
      <c r="A42" t="s">
        <v>8</v>
      </c>
      <c r="B42" t="s">
        <v>88</v>
      </c>
      <c r="C42" t="s">
        <v>63</v>
      </c>
      <c r="D42" t="s">
        <v>16</v>
      </c>
      <c r="E42" t="s">
        <v>54</v>
      </c>
      <c r="F42" t="s">
        <v>55</v>
      </c>
      <c r="G42" s="1">
        <v>703.59224999999992</v>
      </c>
      <c r="H42">
        <v>10</v>
      </c>
    </row>
    <row r="43" spans="1:8" hidden="1" x14ac:dyDescent="0.3">
      <c r="A43" t="s">
        <v>8</v>
      </c>
      <c r="B43" t="s">
        <v>88</v>
      </c>
      <c r="C43" t="s">
        <v>79</v>
      </c>
      <c r="D43" t="s">
        <v>16</v>
      </c>
      <c r="E43" t="s">
        <v>54</v>
      </c>
      <c r="F43" t="s">
        <v>55</v>
      </c>
      <c r="G43" s="1">
        <v>750.87824999999987</v>
      </c>
      <c r="H43">
        <v>124</v>
      </c>
    </row>
    <row r="44" spans="1:8" hidden="1" x14ac:dyDescent="0.3">
      <c r="A44" t="s">
        <v>8</v>
      </c>
      <c r="B44" t="s">
        <v>89</v>
      </c>
      <c r="C44" t="s">
        <v>79</v>
      </c>
      <c r="D44" t="s">
        <v>16</v>
      </c>
      <c r="E44" t="s">
        <v>54</v>
      </c>
      <c r="F44" t="s">
        <v>55</v>
      </c>
      <c r="G44" s="1">
        <v>1588.4368499999998</v>
      </c>
      <c r="H44">
        <v>45</v>
      </c>
    </row>
    <row r="45" spans="1:8" hidden="1" x14ac:dyDescent="0.3">
      <c r="A45" t="s">
        <v>22</v>
      </c>
      <c r="B45" t="s">
        <v>90</v>
      </c>
      <c r="C45" t="s">
        <v>91</v>
      </c>
      <c r="D45" t="s">
        <v>11</v>
      </c>
      <c r="E45" t="s">
        <v>54</v>
      </c>
      <c r="F45" t="s">
        <v>92</v>
      </c>
      <c r="G45" s="1">
        <v>482.77515</v>
      </c>
      <c r="H45">
        <v>88</v>
      </c>
    </row>
    <row r="46" spans="1:8" hidden="1" x14ac:dyDescent="0.3">
      <c r="A46" t="s">
        <v>22</v>
      </c>
      <c r="B46" t="s">
        <v>93</v>
      </c>
      <c r="C46" t="s">
        <v>91</v>
      </c>
      <c r="D46" t="s">
        <v>25</v>
      </c>
      <c r="E46" t="s">
        <v>54</v>
      </c>
      <c r="F46" t="s">
        <v>92</v>
      </c>
      <c r="G46" s="1">
        <v>120.49409999999999</v>
      </c>
      <c r="H46">
        <v>122</v>
      </c>
    </row>
    <row r="47" spans="1:8" hidden="1" x14ac:dyDescent="0.3">
      <c r="A47" t="s">
        <v>8</v>
      </c>
      <c r="B47" t="s">
        <v>94</v>
      </c>
      <c r="C47" t="s">
        <v>95</v>
      </c>
      <c r="D47" t="s">
        <v>16</v>
      </c>
      <c r="E47" t="s">
        <v>54</v>
      </c>
      <c r="F47" t="s">
        <v>55</v>
      </c>
      <c r="G47" s="1">
        <v>6420.693299999999</v>
      </c>
      <c r="H47">
        <v>16</v>
      </c>
    </row>
    <row r="48" spans="1:8" hidden="1" x14ac:dyDescent="0.3">
      <c r="A48" t="s">
        <v>8</v>
      </c>
      <c r="B48" t="s">
        <v>96</v>
      </c>
      <c r="C48" t="s">
        <v>63</v>
      </c>
      <c r="D48" t="s">
        <v>16</v>
      </c>
      <c r="E48" t="s">
        <v>54</v>
      </c>
      <c r="F48" t="s">
        <v>55</v>
      </c>
      <c r="G48" s="1">
        <v>6398.3922000000002</v>
      </c>
      <c r="H48">
        <v>25</v>
      </c>
    </row>
    <row r="49" spans="1:8" hidden="1" x14ac:dyDescent="0.3">
      <c r="A49" t="s">
        <v>8</v>
      </c>
      <c r="B49" t="s">
        <v>97</v>
      </c>
      <c r="C49" t="s">
        <v>98</v>
      </c>
      <c r="D49" t="s">
        <v>16</v>
      </c>
      <c r="E49" t="s">
        <v>54</v>
      </c>
      <c r="F49" t="s">
        <v>99</v>
      </c>
      <c r="G49" s="1">
        <v>129.37620000000001</v>
      </c>
      <c r="H49">
        <v>37</v>
      </c>
    </row>
    <row r="50" spans="1:8" hidden="1" x14ac:dyDescent="0.3">
      <c r="A50" t="s">
        <v>8</v>
      </c>
      <c r="B50" t="s">
        <v>100</v>
      </c>
      <c r="C50" t="s">
        <v>57</v>
      </c>
      <c r="D50" t="s">
        <v>16</v>
      </c>
      <c r="E50" t="s">
        <v>54</v>
      </c>
      <c r="F50" t="s">
        <v>58</v>
      </c>
      <c r="G50" s="1">
        <v>141.1764</v>
      </c>
      <c r="H50">
        <v>343</v>
      </c>
    </row>
    <row r="51" spans="1:8" hidden="1" x14ac:dyDescent="0.3">
      <c r="A51" t="s">
        <v>8</v>
      </c>
      <c r="B51" t="s">
        <v>101</v>
      </c>
      <c r="C51" t="s">
        <v>102</v>
      </c>
      <c r="D51" t="s">
        <v>16</v>
      </c>
      <c r="E51" t="s">
        <v>54</v>
      </c>
      <c r="F51" t="s">
        <v>58</v>
      </c>
      <c r="G51" s="1">
        <v>324.31379999999996</v>
      </c>
      <c r="H51">
        <v>113</v>
      </c>
    </row>
    <row r="52" spans="1:8" hidden="1" x14ac:dyDescent="0.3">
      <c r="A52" t="s">
        <v>8</v>
      </c>
      <c r="B52" t="s">
        <v>103</v>
      </c>
      <c r="C52" t="s">
        <v>104</v>
      </c>
      <c r="D52" t="s">
        <v>16</v>
      </c>
      <c r="E52" t="s">
        <v>54</v>
      </c>
      <c r="F52" t="s">
        <v>105</v>
      </c>
      <c r="G52" s="1">
        <v>192.93539999999999</v>
      </c>
      <c r="H52">
        <v>150</v>
      </c>
    </row>
    <row r="53" spans="1:8" hidden="1" x14ac:dyDescent="0.3">
      <c r="A53" t="s">
        <v>8</v>
      </c>
      <c r="B53" t="s">
        <v>106</v>
      </c>
      <c r="C53" t="s">
        <v>107</v>
      </c>
      <c r="D53" t="s">
        <v>108</v>
      </c>
      <c r="E53" t="s">
        <v>54</v>
      </c>
      <c r="F53" t="s">
        <v>55</v>
      </c>
      <c r="G53" s="1">
        <v>2386.7395500000002</v>
      </c>
      <c r="H53">
        <v>4</v>
      </c>
    </row>
    <row r="54" spans="1:8" hidden="1" x14ac:dyDescent="0.3">
      <c r="A54" t="s">
        <v>8</v>
      </c>
      <c r="B54" t="s">
        <v>109</v>
      </c>
      <c r="C54" t="s">
        <v>107</v>
      </c>
      <c r="D54" t="s">
        <v>11</v>
      </c>
      <c r="E54" t="s">
        <v>54</v>
      </c>
      <c r="F54" t="s">
        <v>55</v>
      </c>
      <c r="G54" s="1">
        <v>3057.1250999999997</v>
      </c>
      <c r="H54">
        <v>33</v>
      </c>
    </row>
    <row r="55" spans="1:8" hidden="1" x14ac:dyDescent="0.3">
      <c r="A55" t="s">
        <v>8</v>
      </c>
      <c r="B55" t="s">
        <v>110</v>
      </c>
      <c r="C55" t="s">
        <v>111</v>
      </c>
      <c r="D55" t="s">
        <v>112</v>
      </c>
      <c r="E55" t="s">
        <v>54</v>
      </c>
      <c r="F55" t="s">
        <v>113</v>
      </c>
      <c r="G55" s="1">
        <v>217.56884999999997</v>
      </c>
      <c r="H55">
        <v>16</v>
      </c>
    </row>
    <row r="56" spans="1:8" hidden="1" x14ac:dyDescent="0.3">
      <c r="A56" t="s">
        <v>8</v>
      </c>
      <c r="B56" t="s">
        <v>114</v>
      </c>
      <c r="C56" t="s">
        <v>102</v>
      </c>
      <c r="D56" t="s">
        <v>25</v>
      </c>
      <c r="E56" t="s">
        <v>54</v>
      </c>
      <c r="F56" t="s">
        <v>58</v>
      </c>
      <c r="G56" s="1">
        <v>147.6942</v>
      </c>
      <c r="H56">
        <v>80</v>
      </c>
    </row>
    <row r="57" spans="1:8" hidden="1" x14ac:dyDescent="0.3">
      <c r="A57" t="s">
        <v>8</v>
      </c>
      <c r="B57" t="s">
        <v>115</v>
      </c>
      <c r="C57" t="s">
        <v>116</v>
      </c>
      <c r="D57" t="s">
        <v>11</v>
      </c>
      <c r="E57" t="s">
        <v>54</v>
      </c>
      <c r="F57" t="s">
        <v>64</v>
      </c>
      <c r="G57" s="1">
        <v>339.50069999999994</v>
      </c>
      <c r="H57">
        <v>69</v>
      </c>
    </row>
    <row r="58" spans="1:8" hidden="1" x14ac:dyDescent="0.3">
      <c r="A58" t="s">
        <v>8</v>
      </c>
      <c r="B58" t="s">
        <v>117</v>
      </c>
      <c r="C58" t="s">
        <v>57</v>
      </c>
      <c r="D58" t="s">
        <v>118</v>
      </c>
      <c r="E58" t="s">
        <v>54</v>
      </c>
      <c r="F58" t="s">
        <v>58</v>
      </c>
      <c r="G58" s="1">
        <v>315.20805000000001</v>
      </c>
      <c r="H58">
        <v>94</v>
      </c>
    </row>
    <row r="59" spans="1:8" hidden="1" x14ac:dyDescent="0.3">
      <c r="A59" t="s">
        <v>8</v>
      </c>
      <c r="B59" t="s">
        <v>119</v>
      </c>
      <c r="C59" t="s">
        <v>63</v>
      </c>
      <c r="D59" t="s">
        <v>16</v>
      </c>
      <c r="E59" t="s">
        <v>54</v>
      </c>
      <c r="F59" t="s">
        <v>55</v>
      </c>
      <c r="G59" s="1">
        <v>249.94484999999997</v>
      </c>
      <c r="H59">
        <v>330</v>
      </c>
    </row>
    <row r="60" spans="1:8" hidden="1" x14ac:dyDescent="0.3">
      <c r="A60" t="s">
        <v>8</v>
      </c>
      <c r="B60" t="s">
        <v>120</v>
      </c>
      <c r="C60" t="s">
        <v>75</v>
      </c>
      <c r="D60" t="s">
        <v>16</v>
      </c>
      <c r="E60" t="s">
        <v>54</v>
      </c>
      <c r="F60" t="s">
        <v>55</v>
      </c>
      <c r="G60" s="1">
        <v>368.05334999999997</v>
      </c>
      <c r="H60">
        <v>172</v>
      </c>
    </row>
    <row r="61" spans="1:8" hidden="1" x14ac:dyDescent="0.3">
      <c r="A61" t="s">
        <v>8</v>
      </c>
      <c r="B61" t="s">
        <v>121</v>
      </c>
      <c r="C61" t="s">
        <v>57</v>
      </c>
      <c r="D61" t="s">
        <v>108</v>
      </c>
      <c r="E61" t="s">
        <v>54</v>
      </c>
      <c r="F61" t="s">
        <v>58</v>
      </c>
      <c r="G61" s="1">
        <v>255.15270000000001</v>
      </c>
      <c r="H61">
        <v>147</v>
      </c>
    </row>
    <row r="62" spans="1:8" hidden="1" x14ac:dyDescent="0.3">
      <c r="A62" t="s">
        <v>8</v>
      </c>
      <c r="B62" t="s">
        <v>122</v>
      </c>
      <c r="C62" t="s">
        <v>123</v>
      </c>
      <c r="D62" t="s">
        <v>11</v>
      </c>
      <c r="E62" t="s">
        <v>54</v>
      </c>
      <c r="F62" t="s">
        <v>55</v>
      </c>
      <c r="G62" s="1">
        <v>189.39959999999999</v>
      </c>
      <c r="H62">
        <v>2</v>
      </c>
    </row>
    <row r="63" spans="1:8" hidden="1" x14ac:dyDescent="0.3">
      <c r="A63" t="s">
        <v>8</v>
      </c>
      <c r="B63" t="s">
        <v>124</v>
      </c>
      <c r="C63" t="s">
        <v>125</v>
      </c>
      <c r="D63" t="s">
        <v>16</v>
      </c>
      <c r="E63" t="s">
        <v>54</v>
      </c>
      <c r="F63" t="s">
        <v>55</v>
      </c>
      <c r="G63" s="1">
        <v>228.52770000000001</v>
      </c>
      <c r="H63">
        <v>6</v>
      </c>
    </row>
    <row r="64" spans="1:8" hidden="1" x14ac:dyDescent="0.3">
      <c r="A64" t="s">
        <v>8</v>
      </c>
      <c r="B64" t="s">
        <v>126</v>
      </c>
      <c r="C64" t="s">
        <v>127</v>
      </c>
      <c r="D64" t="s">
        <v>11</v>
      </c>
      <c r="E64" t="s">
        <v>54</v>
      </c>
      <c r="F64" t="s">
        <v>55</v>
      </c>
      <c r="G64" s="1">
        <v>251.85119999999998</v>
      </c>
      <c r="H64">
        <v>115</v>
      </c>
    </row>
    <row r="65" spans="1:8" hidden="1" x14ac:dyDescent="0.3">
      <c r="A65" t="s">
        <v>8</v>
      </c>
      <c r="B65" t="s">
        <v>128</v>
      </c>
      <c r="C65" t="s">
        <v>127</v>
      </c>
      <c r="D65" t="s">
        <v>11</v>
      </c>
      <c r="E65" t="s">
        <v>54</v>
      </c>
      <c r="F65" t="s">
        <v>55</v>
      </c>
      <c r="G65" s="1">
        <v>186.30045000000001</v>
      </c>
      <c r="H65">
        <v>513</v>
      </c>
    </row>
    <row r="66" spans="1:8" hidden="1" x14ac:dyDescent="0.3">
      <c r="A66" t="s">
        <v>8</v>
      </c>
      <c r="B66" t="s">
        <v>129</v>
      </c>
      <c r="C66" t="s">
        <v>127</v>
      </c>
      <c r="D66" t="s">
        <v>11</v>
      </c>
      <c r="E66" t="s">
        <v>54</v>
      </c>
      <c r="F66" t="s">
        <v>55</v>
      </c>
      <c r="G66" s="1">
        <v>155.25569999999999</v>
      </c>
      <c r="H66">
        <v>38</v>
      </c>
    </row>
    <row r="67" spans="1:8" hidden="1" x14ac:dyDescent="0.3">
      <c r="A67" t="s">
        <v>8</v>
      </c>
      <c r="B67" t="s">
        <v>130</v>
      </c>
      <c r="C67" t="s">
        <v>107</v>
      </c>
      <c r="D67" t="s">
        <v>16</v>
      </c>
      <c r="E67" t="s">
        <v>54</v>
      </c>
      <c r="F67" t="s">
        <v>55</v>
      </c>
      <c r="G67" s="1">
        <v>315.71924999999999</v>
      </c>
      <c r="H67">
        <v>30</v>
      </c>
    </row>
    <row r="68" spans="1:8" hidden="1" x14ac:dyDescent="0.3">
      <c r="A68" t="s">
        <v>8</v>
      </c>
      <c r="B68" t="s">
        <v>131</v>
      </c>
      <c r="C68" t="s">
        <v>79</v>
      </c>
      <c r="D68" t="s">
        <v>16</v>
      </c>
      <c r="E68" t="s">
        <v>54</v>
      </c>
      <c r="F68" t="s">
        <v>55</v>
      </c>
      <c r="G68" s="1">
        <v>750.87824999999987</v>
      </c>
      <c r="H68">
        <v>66</v>
      </c>
    </row>
    <row r="69" spans="1:8" hidden="1" x14ac:dyDescent="0.3">
      <c r="A69" t="s">
        <v>8</v>
      </c>
      <c r="B69" t="s">
        <v>132</v>
      </c>
      <c r="C69" t="s">
        <v>79</v>
      </c>
      <c r="D69" t="s">
        <v>16</v>
      </c>
      <c r="E69" t="s">
        <v>54</v>
      </c>
      <c r="F69" t="s">
        <v>55</v>
      </c>
      <c r="G69" s="1">
        <v>1495.3771499999998</v>
      </c>
      <c r="H69">
        <v>58</v>
      </c>
    </row>
    <row r="70" spans="1:8" hidden="1" x14ac:dyDescent="0.3">
      <c r="A70" t="s">
        <v>8</v>
      </c>
      <c r="B70" t="s">
        <v>133</v>
      </c>
      <c r="C70" t="s">
        <v>81</v>
      </c>
      <c r="D70" t="s">
        <v>16</v>
      </c>
      <c r="E70" t="s">
        <v>54</v>
      </c>
      <c r="F70" t="s">
        <v>55</v>
      </c>
      <c r="G70" s="1">
        <v>1214.8880999999999</v>
      </c>
      <c r="H70">
        <v>7</v>
      </c>
    </row>
    <row r="71" spans="1:8" hidden="1" x14ac:dyDescent="0.3">
      <c r="A71" t="s">
        <v>8</v>
      </c>
      <c r="B71" t="s">
        <v>134</v>
      </c>
      <c r="C71" t="s">
        <v>81</v>
      </c>
      <c r="D71" t="s">
        <v>16</v>
      </c>
      <c r="E71" t="s">
        <v>54</v>
      </c>
      <c r="F71" t="s">
        <v>55</v>
      </c>
      <c r="G71" s="1">
        <v>2497.7445000000002</v>
      </c>
      <c r="H71">
        <v>4</v>
      </c>
    </row>
    <row r="72" spans="1:8" hidden="1" x14ac:dyDescent="0.3">
      <c r="A72" t="s">
        <v>8</v>
      </c>
      <c r="B72" t="s">
        <v>135</v>
      </c>
      <c r="C72" t="s">
        <v>136</v>
      </c>
      <c r="D72" t="s">
        <v>137</v>
      </c>
      <c r="E72" t="s">
        <v>54</v>
      </c>
      <c r="F72" t="s">
        <v>55</v>
      </c>
      <c r="G72" s="1">
        <v>690.13064999999995</v>
      </c>
      <c r="H72">
        <v>2</v>
      </c>
    </row>
    <row r="73" spans="1:8" hidden="1" x14ac:dyDescent="0.3">
      <c r="A73" t="s">
        <v>8</v>
      </c>
      <c r="B73" t="s">
        <v>138</v>
      </c>
      <c r="C73" t="s">
        <v>139</v>
      </c>
      <c r="D73" t="s">
        <v>11</v>
      </c>
      <c r="E73" t="s">
        <v>54</v>
      </c>
      <c r="F73" t="s">
        <v>55</v>
      </c>
      <c r="G73" s="1">
        <v>760.72949999999992</v>
      </c>
      <c r="H73">
        <v>11</v>
      </c>
    </row>
    <row r="74" spans="1:8" hidden="1" x14ac:dyDescent="0.3">
      <c r="A74" t="s">
        <v>8</v>
      </c>
      <c r="B74" t="s">
        <v>140</v>
      </c>
      <c r="C74" t="s">
        <v>139</v>
      </c>
      <c r="D74" t="s">
        <v>11</v>
      </c>
      <c r="E74" t="s">
        <v>54</v>
      </c>
      <c r="F74" t="s">
        <v>55</v>
      </c>
      <c r="G74" s="1">
        <v>760.72949999999992</v>
      </c>
      <c r="H74">
        <v>10</v>
      </c>
    </row>
    <row r="75" spans="1:8" hidden="1" x14ac:dyDescent="0.3">
      <c r="A75" t="s">
        <v>8</v>
      </c>
      <c r="B75" t="s">
        <v>141</v>
      </c>
      <c r="C75" t="s">
        <v>73</v>
      </c>
      <c r="D75" t="s">
        <v>16</v>
      </c>
      <c r="E75" t="s">
        <v>54</v>
      </c>
      <c r="F75" t="s">
        <v>55</v>
      </c>
      <c r="G75" s="1">
        <v>528.70859999999993</v>
      </c>
      <c r="H75">
        <v>64</v>
      </c>
    </row>
    <row r="76" spans="1:8" hidden="1" x14ac:dyDescent="0.3">
      <c r="A76" t="s">
        <v>8</v>
      </c>
      <c r="B76" t="s">
        <v>142</v>
      </c>
      <c r="C76" t="s">
        <v>139</v>
      </c>
      <c r="D76" t="s">
        <v>11</v>
      </c>
      <c r="E76" t="s">
        <v>54</v>
      </c>
      <c r="F76" t="s">
        <v>55</v>
      </c>
      <c r="G76" s="1">
        <v>530.44454999999994</v>
      </c>
      <c r="H76">
        <v>33</v>
      </c>
    </row>
    <row r="77" spans="1:8" hidden="1" x14ac:dyDescent="0.3">
      <c r="A77" t="s">
        <v>8</v>
      </c>
      <c r="B77" t="s">
        <v>143</v>
      </c>
      <c r="C77" t="s">
        <v>73</v>
      </c>
      <c r="D77" t="s">
        <v>16</v>
      </c>
      <c r="E77" t="s">
        <v>54</v>
      </c>
      <c r="F77" t="s">
        <v>55</v>
      </c>
      <c r="G77" s="1">
        <v>528.70859999999993</v>
      </c>
      <c r="H77">
        <v>49</v>
      </c>
    </row>
    <row r="78" spans="1:8" hidden="1" x14ac:dyDescent="0.3">
      <c r="A78" t="s">
        <v>8</v>
      </c>
      <c r="B78" t="s">
        <v>144</v>
      </c>
      <c r="C78" t="s">
        <v>79</v>
      </c>
      <c r="D78" t="s">
        <v>16</v>
      </c>
      <c r="E78" t="s">
        <v>54</v>
      </c>
      <c r="F78" t="s">
        <v>55</v>
      </c>
      <c r="G78" s="1">
        <v>1588.4368499999998</v>
      </c>
      <c r="H78">
        <v>61</v>
      </c>
    </row>
    <row r="79" spans="1:8" hidden="1" x14ac:dyDescent="0.3">
      <c r="A79" t="s">
        <v>8</v>
      </c>
      <c r="B79" t="s">
        <v>145</v>
      </c>
      <c r="C79" t="s">
        <v>53</v>
      </c>
      <c r="D79" t="s">
        <v>11</v>
      </c>
      <c r="E79" t="s">
        <v>54</v>
      </c>
      <c r="F79" t="s">
        <v>55</v>
      </c>
      <c r="G79" s="1">
        <v>203.24459999999999</v>
      </c>
      <c r="H79">
        <v>28</v>
      </c>
    </row>
    <row r="80" spans="1:8" hidden="1" x14ac:dyDescent="0.3">
      <c r="A80" t="s">
        <v>8</v>
      </c>
      <c r="B80" t="s">
        <v>146</v>
      </c>
      <c r="C80" t="s">
        <v>147</v>
      </c>
      <c r="D80" t="s">
        <v>16</v>
      </c>
      <c r="E80" t="s">
        <v>54</v>
      </c>
      <c r="F80" t="s">
        <v>105</v>
      </c>
      <c r="G80" s="1">
        <v>244.33229999999998</v>
      </c>
      <c r="H80">
        <v>114</v>
      </c>
    </row>
    <row r="81" spans="1:8" hidden="1" x14ac:dyDescent="0.3">
      <c r="A81" t="s">
        <v>8</v>
      </c>
      <c r="B81" t="s">
        <v>148</v>
      </c>
      <c r="C81" t="s">
        <v>73</v>
      </c>
      <c r="D81" t="s">
        <v>16</v>
      </c>
      <c r="E81" t="s">
        <v>54</v>
      </c>
      <c r="F81" t="s">
        <v>55</v>
      </c>
      <c r="G81" s="1">
        <v>377.57444999999996</v>
      </c>
      <c r="H81">
        <v>76</v>
      </c>
    </row>
    <row r="82" spans="1:8" hidden="1" x14ac:dyDescent="0.3">
      <c r="A82" t="s">
        <v>8</v>
      </c>
      <c r="B82" t="s">
        <v>149</v>
      </c>
      <c r="C82" t="s">
        <v>150</v>
      </c>
      <c r="D82" t="s">
        <v>16</v>
      </c>
      <c r="E82" t="s">
        <v>54</v>
      </c>
      <c r="F82" t="s">
        <v>58</v>
      </c>
      <c r="G82" s="1">
        <v>253.6617</v>
      </c>
      <c r="H82">
        <v>57</v>
      </c>
    </row>
    <row r="83" spans="1:8" hidden="1" x14ac:dyDescent="0.3">
      <c r="A83" t="s">
        <v>8</v>
      </c>
      <c r="B83" t="s">
        <v>151</v>
      </c>
      <c r="C83" t="s">
        <v>150</v>
      </c>
      <c r="D83" t="s">
        <v>16</v>
      </c>
      <c r="E83" t="s">
        <v>54</v>
      </c>
      <c r="F83" t="s">
        <v>58</v>
      </c>
      <c r="G83" s="1">
        <v>348.48930000000001</v>
      </c>
      <c r="H83">
        <v>78</v>
      </c>
    </row>
    <row r="84" spans="1:8" hidden="1" x14ac:dyDescent="0.3">
      <c r="A84" t="s">
        <v>8</v>
      </c>
      <c r="B84" t="s">
        <v>152</v>
      </c>
      <c r="C84" t="s">
        <v>150</v>
      </c>
      <c r="D84" t="s">
        <v>16</v>
      </c>
      <c r="E84" t="s">
        <v>54</v>
      </c>
      <c r="F84" t="s">
        <v>58</v>
      </c>
      <c r="G84" s="1">
        <v>354.99644999999998</v>
      </c>
      <c r="H84">
        <v>63</v>
      </c>
    </row>
    <row r="85" spans="1:8" hidden="1" x14ac:dyDescent="0.3">
      <c r="A85" t="s">
        <v>8</v>
      </c>
      <c r="B85" t="s">
        <v>153</v>
      </c>
      <c r="C85" t="s">
        <v>150</v>
      </c>
      <c r="D85" t="s">
        <v>16</v>
      </c>
      <c r="E85" t="s">
        <v>54</v>
      </c>
      <c r="F85" t="s">
        <v>58</v>
      </c>
      <c r="G85" s="1">
        <v>348.48930000000001</v>
      </c>
      <c r="H85">
        <v>85</v>
      </c>
    </row>
    <row r="86" spans="1:8" hidden="1" x14ac:dyDescent="0.3">
      <c r="A86" t="s">
        <v>8</v>
      </c>
      <c r="B86" t="s">
        <v>154</v>
      </c>
      <c r="C86" t="s">
        <v>150</v>
      </c>
      <c r="D86" t="s">
        <v>16</v>
      </c>
      <c r="E86" t="s">
        <v>54</v>
      </c>
      <c r="F86" t="s">
        <v>58</v>
      </c>
      <c r="G86" s="1">
        <v>326.17754999999994</v>
      </c>
      <c r="H86">
        <v>52</v>
      </c>
    </row>
    <row r="87" spans="1:8" hidden="1" x14ac:dyDescent="0.3">
      <c r="A87" t="s">
        <v>8</v>
      </c>
      <c r="B87" t="s">
        <v>155</v>
      </c>
      <c r="C87" t="s">
        <v>102</v>
      </c>
      <c r="D87" t="s">
        <v>16</v>
      </c>
      <c r="E87" t="s">
        <v>54</v>
      </c>
      <c r="F87" t="s">
        <v>58</v>
      </c>
      <c r="G87" s="1">
        <v>277.8372</v>
      </c>
      <c r="H87">
        <v>115</v>
      </c>
    </row>
    <row r="88" spans="1:8" hidden="1" x14ac:dyDescent="0.3">
      <c r="A88" t="s">
        <v>8</v>
      </c>
      <c r="B88" t="s">
        <v>156</v>
      </c>
      <c r="C88" t="s">
        <v>157</v>
      </c>
      <c r="D88" t="s">
        <v>16</v>
      </c>
      <c r="E88" t="s">
        <v>54</v>
      </c>
      <c r="F88" t="s">
        <v>105</v>
      </c>
      <c r="G88" s="1">
        <v>285.57974999999993</v>
      </c>
      <c r="H88">
        <v>118</v>
      </c>
    </row>
    <row r="89" spans="1:8" hidden="1" x14ac:dyDescent="0.3">
      <c r="A89" t="s">
        <v>8</v>
      </c>
      <c r="B89" t="s">
        <v>158</v>
      </c>
      <c r="C89" t="s">
        <v>159</v>
      </c>
      <c r="D89" t="s">
        <v>16</v>
      </c>
      <c r="E89" t="s">
        <v>160</v>
      </c>
      <c r="F89" t="s">
        <v>161</v>
      </c>
      <c r="G89" s="1">
        <v>174.0849</v>
      </c>
      <c r="H89">
        <v>73</v>
      </c>
    </row>
    <row r="90" spans="1:8" hidden="1" x14ac:dyDescent="0.3">
      <c r="A90" t="s">
        <v>22</v>
      </c>
      <c r="B90" t="s">
        <v>162</v>
      </c>
      <c r="C90" t="s">
        <v>163</v>
      </c>
      <c r="D90" t="s">
        <v>25</v>
      </c>
      <c r="E90" t="s">
        <v>160</v>
      </c>
      <c r="F90" t="s">
        <v>164</v>
      </c>
      <c r="G90" s="1">
        <v>185.81054999999998</v>
      </c>
      <c r="H90">
        <v>30</v>
      </c>
    </row>
    <row r="91" spans="1:8" hidden="1" x14ac:dyDescent="0.3">
      <c r="A91" t="s">
        <v>8</v>
      </c>
      <c r="B91" t="s">
        <v>165</v>
      </c>
      <c r="C91" t="s">
        <v>159</v>
      </c>
      <c r="D91" t="s">
        <v>11</v>
      </c>
      <c r="E91" t="s">
        <v>160</v>
      </c>
      <c r="F91" t="s">
        <v>161</v>
      </c>
      <c r="G91" s="1">
        <v>358.53224999999998</v>
      </c>
      <c r="H91">
        <v>47</v>
      </c>
    </row>
    <row r="92" spans="1:8" hidden="1" x14ac:dyDescent="0.3">
      <c r="A92" t="s">
        <v>22</v>
      </c>
      <c r="B92" t="s">
        <v>166</v>
      </c>
      <c r="C92" t="s">
        <v>163</v>
      </c>
      <c r="D92" t="s">
        <v>16</v>
      </c>
      <c r="E92" t="s">
        <v>160</v>
      </c>
      <c r="F92" t="s">
        <v>164</v>
      </c>
      <c r="G92" s="1">
        <v>156.77865</v>
      </c>
      <c r="H92">
        <v>154</v>
      </c>
    </row>
    <row r="93" spans="1:8" hidden="1" x14ac:dyDescent="0.3">
      <c r="A93" t="s">
        <v>22</v>
      </c>
      <c r="B93" t="s">
        <v>167</v>
      </c>
      <c r="C93" t="s">
        <v>163</v>
      </c>
      <c r="D93" t="s">
        <v>11</v>
      </c>
      <c r="E93" t="s">
        <v>160</v>
      </c>
      <c r="F93" t="s">
        <v>164</v>
      </c>
      <c r="G93" s="1">
        <v>222.29744999999997</v>
      </c>
      <c r="H93">
        <v>60</v>
      </c>
    </row>
    <row r="94" spans="1:8" hidden="1" x14ac:dyDescent="0.3">
      <c r="A94" t="s">
        <v>22</v>
      </c>
      <c r="B94" t="s">
        <v>167</v>
      </c>
      <c r="C94" t="s">
        <v>163</v>
      </c>
      <c r="D94" t="s">
        <v>16</v>
      </c>
      <c r="E94" t="s">
        <v>160</v>
      </c>
      <c r="F94" t="s">
        <v>164</v>
      </c>
      <c r="G94" s="1">
        <v>222.29744999999997</v>
      </c>
      <c r="H94">
        <v>113</v>
      </c>
    </row>
    <row r="95" spans="1:8" hidden="1" x14ac:dyDescent="0.3">
      <c r="A95" t="s">
        <v>22</v>
      </c>
      <c r="B95" t="s">
        <v>168</v>
      </c>
      <c r="C95" t="s">
        <v>163</v>
      </c>
      <c r="D95" t="s">
        <v>11</v>
      </c>
      <c r="E95" t="s">
        <v>160</v>
      </c>
      <c r="F95" t="s">
        <v>164</v>
      </c>
      <c r="G95" s="1">
        <v>230.51924999999997</v>
      </c>
      <c r="H95">
        <v>23</v>
      </c>
    </row>
    <row r="96" spans="1:8" hidden="1" x14ac:dyDescent="0.3">
      <c r="A96" t="s">
        <v>22</v>
      </c>
      <c r="B96" t="s">
        <v>169</v>
      </c>
      <c r="C96" t="s">
        <v>163</v>
      </c>
      <c r="D96" t="s">
        <v>25</v>
      </c>
      <c r="E96" t="s">
        <v>160</v>
      </c>
      <c r="F96" t="s">
        <v>164</v>
      </c>
      <c r="G96" s="1">
        <v>93.869099999999989</v>
      </c>
      <c r="H96">
        <v>770</v>
      </c>
    </row>
    <row r="97" spans="1:12" hidden="1" x14ac:dyDescent="0.3">
      <c r="A97" t="s">
        <v>22</v>
      </c>
      <c r="B97" t="s">
        <v>170</v>
      </c>
      <c r="C97" t="s">
        <v>171</v>
      </c>
      <c r="D97" t="s">
        <v>16</v>
      </c>
      <c r="E97" t="s">
        <v>160</v>
      </c>
      <c r="F97" t="s">
        <v>172</v>
      </c>
      <c r="G97" s="1">
        <v>533.73540000000003</v>
      </c>
      <c r="H97">
        <v>105</v>
      </c>
    </row>
    <row r="98" spans="1:12" hidden="1" x14ac:dyDescent="0.3">
      <c r="A98" t="s">
        <v>22</v>
      </c>
      <c r="B98" t="s">
        <v>170</v>
      </c>
      <c r="C98" t="s">
        <v>171</v>
      </c>
      <c r="D98" t="s">
        <v>11</v>
      </c>
      <c r="E98" t="s">
        <v>160</v>
      </c>
      <c r="F98" t="s">
        <v>172</v>
      </c>
      <c r="G98" s="1">
        <v>473.14754999999997</v>
      </c>
      <c r="H98">
        <v>6</v>
      </c>
    </row>
    <row r="99" spans="1:12" hidden="1" x14ac:dyDescent="0.3">
      <c r="A99" t="s">
        <v>22</v>
      </c>
      <c r="B99" t="s">
        <v>173</v>
      </c>
      <c r="C99" t="s">
        <v>171</v>
      </c>
      <c r="D99" t="s">
        <v>16</v>
      </c>
      <c r="E99" t="s">
        <v>160</v>
      </c>
      <c r="F99" t="s">
        <v>172</v>
      </c>
      <c r="G99" s="1">
        <v>1184.9296499999998</v>
      </c>
      <c r="H99">
        <v>3</v>
      </c>
    </row>
    <row r="100" spans="1:12" hidden="1" x14ac:dyDescent="0.3">
      <c r="A100" t="s">
        <v>22</v>
      </c>
      <c r="B100" t="s">
        <v>174</v>
      </c>
      <c r="C100" t="s">
        <v>163</v>
      </c>
      <c r="D100" t="s">
        <v>25</v>
      </c>
      <c r="E100" t="s">
        <v>160</v>
      </c>
      <c r="F100" t="s">
        <v>164</v>
      </c>
      <c r="G100" s="1">
        <v>84.561000000000007</v>
      </c>
      <c r="H100">
        <v>996</v>
      </c>
    </row>
    <row r="101" spans="1:12" hidden="1" x14ac:dyDescent="0.3">
      <c r="A101" t="s">
        <v>8</v>
      </c>
      <c r="B101" t="s">
        <v>175</v>
      </c>
      <c r="C101" t="s">
        <v>176</v>
      </c>
      <c r="D101" t="s">
        <v>16</v>
      </c>
      <c r="E101" t="s">
        <v>160</v>
      </c>
      <c r="F101" t="s">
        <v>172</v>
      </c>
      <c r="G101" s="1">
        <v>186.9288</v>
      </c>
      <c r="H101">
        <v>43</v>
      </c>
    </row>
    <row r="102" spans="1:12" hidden="1" x14ac:dyDescent="0.3">
      <c r="A102" t="s">
        <v>22</v>
      </c>
      <c r="B102" t="s">
        <v>177</v>
      </c>
      <c r="C102" t="s">
        <v>178</v>
      </c>
      <c r="D102" t="s">
        <v>108</v>
      </c>
      <c r="E102" t="s">
        <v>179</v>
      </c>
      <c r="F102" t="s">
        <v>180</v>
      </c>
      <c r="G102" s="1">
        <v>92.782799999999995</v>
      </c>
      <c r="H102">
        <v>5</v>
      </c>
    </row>
    <row r="103" spans="1:12" x14ac:dyDescent="0.3">
      <c r="A103" t="s">
        <v>8</v>
      </c>
      <c r="B103" t="s">
        <v>181</v>
      </c>
      <c r="C103" t="s">
        <v>87</v>
      </c>
      <c r="D103" t="s">
        <v>25</v>
      </c>
      <c r="E103" t="s">
        <v>179</v>
      </c>
      <c r="F103" t="s">
        <v>182</v>
      </c>
      <c r="G103" s="1">
        <v>65.998049999999992</v>
      </c>
      <c r="H103">
        <v>2170</v>
      </c>
      <c r="I103" s="1">
        <f>G103*1.13</f>
        <v>74.577796499999991</v>
      </c>
      <c r="J103">
        <v>115</v>
      </c>
      <c r="K103">
        <f>J103*0.92</f>
        <v>105.80000000000001</v>
      </c>
      <c r="L103" s="1">
        <f>K103/I103</f>
        <v>1.418652802379325</v>
      </c>
    </row>
    <row r="104" spans="1:12" hidden="1" x14ac:dyDescent="0.3">
      <c r="A104" t="s">
        <v>8</v>
      </c>
      <c r="B104" t="s">
        <v>183</v>
      </c>
      <c r="C104" t="s">
        <v>184</v>
      </c>
      <c r="D104" t="s">
        <v>16</v>
      </c>
      <c r="E104" t="s">
        <v>179</v>
      </c>
      <c r="F104" t="s">
        <v>185</v>
      </c>
      <c r="G104" s="1">
        <v>172.1892</v>
      </c>
      <c r="H104">
        <v>90</v>
      </c>
    </row>
    <row r="105" spans="1:12" hidden="1" x14ac:dyDescent="0.3">
      <c r="A105" t="s">
        <v>8</v>
      </c>
      <c r="B105" t="s">
        <v>186</v>
      </c>
      <c r="C105" t="s">
        <v>187</v>
      </c>
      <c r="D105" t="s">
        <v>16</v>
      </c>
      <c r="E105" t="s">
        <v>179</v>
      </c>
      <c r="F105" t="s">
        <v>188</v>
      </c>
      <c r="G105" s="1">
        <v>247.78289999999998</v>
      </c>
      <c r="H105">
        <v>85</v>
      </c>
    </row>
    <row r="106" spans="1:12" hidden="1" x14ac:dyDescent="0.3">
      <c r="A106" t="s">
        <v>8</v>
      </c>
      <c r="B106" t="s">
        <v>189</v>
      </c>
      <c r="C106" t="s">
        <v>187</v>
      </c>
      <c r="D106" t="s">
        <v>34</v>
      </c>
      <c r="E106" t="s">
        <v>179</v>
      </c>
      <c r="F106" t="s">
        <v>188</v>
      </c>
      <c r="G106" s="1">
        <v>172.83884999999998</v>
      </c>
      <c r="H106">
        <v>13</v>
      </c>
    </row>
    <row r="107" spans="1:12" hidden="1" x14ac:dyDescent="0.3">
      <c r="A107" t="s">
        <v>8</v>
      </c>
      <c r="B107" t="s">
        <v>190</v>
      </c>
      <c r="C107" t="s">
        <v>187</v>
      </c>
      <c r="D107" t="s">
        <v>11</v>
      </c>
      <c r="E107" t="s">
        <v>179</v>
      </c>
      <c r="F107" t="s">
        <v>188</v>
      </c>
      <c r="G107" s="1">
        <v>247.78289999999998</v>
      </c>
      <c r="H107">
        <v>85</v>
      </c>
    </row>
    <row r="108" spans="1:12" hidden="1" x14ac:dyDescent="0.3">
      <c r="A108" t="s">
        <v>8</v>
      </c>
      <c r="B108" t="s">
        <v>191</v>
      </c>
      <c r="C108" t="s">
        <v>187</v>
      </c>
      <c r="D108" t="s">
        <v>108</v>
      </c>
      <c r="E108" t="s">
        <v>179</v>
      </c>
      <c r="F108" t="s">
        <v>188</v>
      </c>
      <c r="G108" s="1">
        <v>247.78289999999998</v>
      </c>
      <c r="H108">
        <v>84</v>
      </c>
    </row>
    <row r="109" spans="1:12" hidden="1" x14ac:dyDescent="0.3">
      <c r="A109" t="s">
        <v>8</v>
      </c>
      <c r="B109" t="s">
        <v>192</v>
      </c>
      <c r="C109" t="s">
        <v>193</v>
      </c>
      <c r="D109" t="s">
        <v>25</v>
      </c>
      <c r="E109" t="s">
        <v>179</v>
      </c>
      <c r="F109" t="s">
        <v>188</v>
      </c>
      <c r="G109" s="1">
        <v>149.85615000000001</v>
      </c>
      <c r="H109">
        <v>119</v>
      </c>
    </row>
    <row r="110" spans="1:12" hidden="1" x14ac:dyDescent="0.3">
      <c r="A110" t="s">
        <v>8</v>
      </c>
      <c r="B110" t="s">
        <v>194</v>
      </c>
      <c r="C110" t="s">
        <v>195</v>
      </c>
      <c r="D110" t="s">
        <v>25</v>
      </c>
      <c r="E110" t="s">
        <v>179</v>
      </c>
      <c r="F110" t="s">
        <v>185</v>
      </c>
      <c r="G110" s="1">
        <v>146.92740000000001</v>
      </c>
      <c r="H110">
        <v>792</v>
      </c>
    </row>
    <row r="111" spans="1:12" hidden="1" x14ac:dyDescent="0.3">
      <c r="A111" t="s">
        <v>8</v>
      </c>
      <c r="B111" t="s">
        <v>196</v>
      </c>
      <c r="C111" t="s">
        <v>195</v>
      </c>
      <c r="D111" t="s">
        <v>16</v>
      </c>
      <c r="E111" t="s">
        <v>179</v>
      </c>
      <c r="F111" t="s">
        <v>185</v>
      </c>
      <c r="G111" s="1">
        <v>330.0222</v>
      </c>
      <c r="H111">
        <v>145</v>
      </c>
    </row>
    <row r="112" spans="1:12" hidden="1" x14ac:dyDescent="0.3">
      <c r="A112" t="s">
        <v>8</v>
      </c>
      <c r="B112" t="s">
        <v>197</v>
      </c>
      <c r="C112" t="s">
        <v>195</v>
      </c>
      <c r="D112" t="s">
        <v>11</v>
      </c>
      <c r="E112" t="s">
        <v>179</v>
      </c>
      <c r="F112" t="s">
        <v>185</v>
      </c>
      <c r="G112" s="1">
        <v>263.72594999999995</v>
      </c>
      <c r="H112">
        <v>60</v>
      </c>
    </row>
  </sheetData>
  <autoFilter ref="A1:H112">
    <filterColumn colId="6">
      <filters>
        <filter val="R$ 66,00"/>
        <filter val="R$ 76,99"/>
        <filter val="R$ 79,67"/>
      </filters>
    </filterColumn>
    <filterColumn colId="7">
      <filters>
        <filter val="105"/>
        <filter val="113"/>
        <filter val="114"/>
        <filter val="115"/>
        <filter val="118"/>
        <filter val="119"/>
        <filter val="122"/>
        <filter val="124"/>
        <filter val="145"/>
        <filter val="147"/>
        <filter val="1489"/>
        <filter val="150"/>
        <filter val="154"/>
        <filter val="172"/>
        <filter val="173"/>
        <filter val="174"/>
        <filter val="175"/>
        <filter val="215"/>
        <filter val="2170"/>
        <filter val="238"/>
        <filter val="25"/>
        <filter val="28"/>
        <filter val="281"/>
        <filter val="283"/>
        <filter val="2836"/>
        <filter val="29"/>
        <filter val="290"/>
        <filter val="30"/>
        <filter val="33"/>
        <filter val="330"/>
        <filter val="335"/>
        <filter val="343"/>
        <filter val="37"/>
        <filter val="38"/>
        <filter val="41"/>
        <filter val="43"/>
        <filter val="443"/>
        <filter val="45"/>
        <filter val="46"/>
        <filter val="47"/>
        <filter val="49"/>
        <filter val="50"/>
        <filter val="513"/>
        <filter val="52"/>
        <filter val="57"/>
        <filter val="58"/>
        <filter val="60"/>
        <filter val="61"/>
        <filter val="63"/>
        <filter val="64"/>
        <filter val="66"/>
        <filter val="68"/>
        <filter val="69"/>
        <filter val="697"/>
        <filter val="73"/>
        <filter val="76"/>
        <filter val="77"/>
        <filter val="770"/>
        <filter val="78"/>
        <filter val="792"/>
        <filter val="80"/>
        <filter val="84"/>
        <filter val="85"/>
        <filter val="86"/>
        <filter val="87"/>
        <filter val="88"/>
        <filter val="89"/>
        <filter val="90"/>
        <filter val="94"/>
        <filter val="996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Vinhos Brancos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2026-08-24T12:14:07Z</dcterms:created>
  <dcterms:modified xsi:type="dcterms:W3CDTF">2026-08-24T12:56:41Z</dcterms:modified>
  <cp:category/>
</cp:coreProperties>
</file>