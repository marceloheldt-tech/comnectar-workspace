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3040" windowHeight="8268"/>
  </bookViews>
  <sheets>
    <sheet name="Tintos Espanha" sheetId="1" r:id="rId1"/>
  </sheets>
  <calcPr calcId="162913"/>
</workbook>
</file>

<file path=xl/calcChain.xml><?xml version="1.0" encoding="utf-8"?>
<calcChain xmlns="http://schemas.openxmlformats.org/spreadsheetml/2006/main">
  <c r="H28" i="1" l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<sst xmlns="http://schemas.openxmlformats.org/spreadsheetml/2006/main" count="145" uniqueCount="51">
  <si>
    <t>Linha</t>
  </si>
  <si>
    <t>Produtor</t>
  </si>
  <si>
    <t>Vinho</t>
  </si>
  <si>
    <t>Safra</t>
  </si>
  <si>
    <t>Região</t>
  </si>
  <si>
    <t>Estoque</t>
  </si>
  <si>
    <t>Preço tabela</t>
  </si>
  <si>
    <t>Preço final</t>
  </si>
  <si>
    <t>Obs.</t>
  </si>
  <si>
    <t>Autoral</t>
  </si>
  <si>
    <t>Akutain</t>
  </si>
  <si>
    <t>Akutain Cosecha</t>
  </si>
  <si>
    <t>Rioja</t>
  </si>
  <si>
    <t/>
  </si>
  <si>
    <t>Akutain Crianza</t>
  </si>
  <si>
    <t>Akutain Reserva Selección</t>
  </si>
  <si>
    <t>Clos de l'Obac</t>
  </si>
  <si>
    <t>Priorat</t>
  </si>
  <si>
    <t>Miserere</t>
  </si>
  <si>
    <t>Usatges</t>
  </si>
  <si>
    <t>Jose Gil</t>
  </si>
  <si>
    <t>Camino de Ribas Parcela La Cóncova</t>
  </si>
  <si>
    <t>Viñedos en San Vicente de la Sonsierra</t>
  </si>
  <si>
    <t>Miguel Merino</t>
  </si>
  <si>
    <t>La Quinta Cruz</t>
  </si>
  <si>
    <t>La Loma</t>
  </si>
  <si>
    <t>Viñas Jóvenes</t>
  </si>
  <si>
    <t>Vitola Reserva</t>
  </si>
  <si>
    <t>Veronica Ortega</t>
  </si>
  <si>
    <t>Cobrana</t>
  </si>
  <si>
    <t>Bierzo</t>
  </si>
  <si>
    <t>Kinki</t>
  </si>
  <si>
    <t>Quite</t>
  </si>
  <si>
    <t>Roc</t>
  </si>
  <si>
    <t>VO Versión Original</t>
  </si>
  <si>
    <t>Signature</t>
  </si>
  <si>
    <t>La Horra</t>
  </si>
  <si>
    <t>Corimbo</t>
  </si>
  <si>
    <t>Ribera del Duero</t>
  </si>
  <si>
    <t>Corimbo Double Magnum</t>
  </si>
  <si>
    <t>Corimbo I</t>
  </si>
  <si>
    <t>Mauro</t>
  </si>
  <si>
    <t>Castilla y León</t>
  </si>
  <si>
    <t>Roda</t>
  </si>
  <si>
    <t>Cirsion</t>
  </si>
  <si>
    <t>Viña Sastre</t>
  </si>
  <si>
    <t>Crianza</t>
  </si>
  <si>
    <t>Pago de Santa Cruz</t>
  </si>
  <si>
    <t>Regina Vides</t>
  </si>
  <si>
    <t>Roble</t>
  </si>
  <si>
    <t>Preço final = tabela Tanyno × 1,21 + R$ 5, arredondado pra cima. Estoque consultado no painel da Tanyno em 13/10/2026.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</si>
</sst>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R$&quot;\ #,##0.00"/>
    <numFmt numFmtId="165" formatCode="&quot;R$&quot;\ #,##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i/>
      <sz val="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B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1" fillId="0" borderId="0" xfId="0" applyNumberFormat="1" applyFont="1"/>
    <xf numFmtId="0" fontId="2" fillId="2" borderId="0" xfId="0" applyFont="1" applyFill="1"/>
    <xf numFmtId="164" fontId="2" fillId="2" borderId="0" xfId="0" applyNumberFormat="1" applyFont="1" applyFill="1"/>
    <xf numFmtId="165" fontId="2" fillId="2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tabSelected="1" workbookViewId="0">
      <pane ySplit="1" topLeftCell="A8" activePane="bottomLeft" state="frozen"/>
      <selection pane="bottomLeft" activeCell="H28" sqref="H28"/>
    </sheetView>
  </sheetViews>
  <sheetFormatPr defaultRowHeight="14.4" x14ac:dyDescent="0.3"/>
  <cols>
    <col min="1" max="2" width="18" customWidth="1"/>
    <col min="3" max="3" width="44" customWidth="1"/>
    <col min="4" max="4" width="8" customWidth="1"/>
    <col min="5" max="5" width="18" customWidth="1"/>
    <col min="6" max="6" width="10" customWidth="1"/>
    <col min="7" max="7" width="14" style="1" customWidth="1"/>
    <col min="8" max="8" width="14" style="2" customWidth="1"/>
    <col min="9" max="9" width="26" customWidth="1"/>
  </cols>
  <sheetData>
    <row r="1" spans="1:9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3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2022</v>
      </c>
      <c r="E2" t="s">
        <v>12</v>
      </c>
      <c r="F2">
        <v>238</v>
      </c>
      <c r="G2" s="1">
        <v>98.77</v>
      </c>
      <c r="H2" s="2">
        <f t="shared" ref="H2:H28" si="0">ROUNDUP(ROUND(G2*1.21,2)+5,0)</f>
        <v>125</v>
      </c>
      <c r="I2" t="s">
        <v>13</v>
      </c>
    </row>
    <row r="3" spans="1:9" x14ac:dyDescent="0.3">
      <c r="A3" t="s">
        <v>9</v>
      </c>
      <c r="B3" t="s">
        <v>10</v>
      </c>
      <c r="C3" t="s">
        <v>14</v>
      </c>
      <c r="D3">
        <v>2020</v>
      </c>
      <c r="E3" t="s">
        <v>12</v>
      </c>
      <c r="F3">
        <v>350</v>
      </c>
      <c r="G3" s="1">
        <v>150.75</v>
      </c>
      <c r="H3" s="2">
        <f t="shared" si="0"/>
        <v>188</v>
      </c>
      <c r="I3" t="s">
        <v>13</v>
      </c>
    </row>
    <row r="4" spans="1:9" x14ac:dyDescent="0.3">
      <c r="A4" t="s">
        <v>9</v>
      </c>
      <c r="B4" t="s">
        <v>10</v>
      </c>
      <c r="C4" t="s">
        <v>15</v>
      </c>
      <c r="D4">
        <v>2014</v>
      </c>
      <c r="E4" t="s">
        <v>12</v>
      </c>
      <c r="F4">
        <v>27</v>
      </c>
      <c r="G4" s="1">
        <v>589.65</v>
      </c>
      <c r="H4" s="2">
        <f t="shared" si="0"/>
        <v>719</v>
      </c>
      <c r="I4" t="s">
        <v>13</v>
      </c>
    </row>
    <row r="5" spans="1:9" x14ac:dyDescent="0.3">
      <c r="A5" t="s">
        <v>9</v>
      </c>
      <c r="B5" t="s">
        <v>16</v>
      </c>
      <c r="C5" t="s">
        <v>16</v>
      </c>
      <c r="D5">
        <v>2015</v>
      </c>
      <c r="E5" t="s">
        <v>17</v>
      </c>
      <c r="F5">
        <v>36</v>
      </c>
      <c r="G5" s="1">
        <v>1080.79</v>
      </c>
      <c r="H5" s="2">
        <f t="shared" si="0"/>
        <v>1313</v>
      </c>
      <c r="I5" t="s">
        <v>13</v>
      </c>
    </row>
    <row r="6" spans="1:9" x14ac:dyDescent="0.3">
      <c r="A6" t="s">
        <v>9</v>
      </c>
      <c r="B6" t="s">
        <v>16</v>
      </c>
      <c r="C6" t="s">
        <v>18</v>
      </c>
      <c r="D6">
        <v>2005</v>
      </c>
      <c r="E6" t="s">
        <v>17</v>
      </c>
      <c r="F6">
        <v>22</v>
      </c>
      <c r="G6" s="1">
        <v>954.12</v>
      </c>
      <c r="H6" s="2">
        <f t="shared" si="0"/>
        <v>1160</v>
      </c>
      <c r="I6" t="s">
        <v>13</v>
      </c>
    </row>
    <row r="7" spans="1:9" x14ac:dyDescent="0.3">
      <c r="A7" t="s">
        <v>9</v>
      </c>
      <c r="B7" t="s">
        <v>16</v>
      </c>
      <c r="C7" t="s">
        <v>19</v>
      </c>
      <c r="D7">
        <v>2023</v>
      </c>
      <c r="E7" t="s">
        <v>17</v>
      </c>
      <c r="F7">
        <v>173</v>
      </c>
      <c r="G7" s="1">
        <v>266.04000000000002</v>
      </c>
      <c r="H7" s="2">
        <f t="shared" si="0"/>
        <v>327</v>
      </c>
      <c r="I7" t="s">
        <v>13</v>
      </c>
    </row>
    <row r="8" spans="1:9" x14ac:dyDescent="0.3">
      <c r="A8" t="s">
        <v>9</v>
      </c>
      <c r="B8" t="s">
        <v>20</v>
      </c>
      <c r="C8" t="s">
        <v>21</v>
      </c>
      <c r="D8">
        <v>2023</v>
      </c>
      <c r="E8" t="s">
        <v>12</v>
      </c>
      <c r="F8">
        <v>14</v>
      </c>
      <c r="G8" s="1">
        <v>543.59</v>
      </c>
      <c r="H8" s="2">
        <f t="shared" si="0"/>
        <v>663</v>
      </c>
      <c r="I8" t="s">
        <v>13</v>
      </c>
    </row>
    <row r="9" spans="1:9" x14ac:dyDescent="0.3">
      <c r="A9" t="s">
        <v>9</v>
      </c>
      <c r="B9" t="s">
        <v>20</v>
      </c>
      <c r="C9" t="s">
        <v>22</v>
      </c>
      <c r="D9">
        <v>2023</v>
      </c>
      <c r="E9" t="s">
        <v>12</v>
      </c>
      <c r="F9">
        <v>152</v>
      </c>
      <c r="G9" s="1">
        <v>239.18</v>
      </c>
      <c r="H9" s="2">
        <f t="shared" si="0"/>
        <v>295</v>
      </c>
      <c r="I9" t="s">
        <v>13</v>
      </c>
    </row>
    <row r="10" spans="1:9" x14ac:dyDescent="0.3">
      <c r="A10" t="s">
        <v>9</v>
      </c>
      <c r="B10" t="s">
        <v>23</v>
      </c>
      <c r="C10" t="s">
        <v>24</v>
      </c>
      <c r="D10">
        <v>2022</v>
      </c>
      <c r="E10" t="s">
        <v>12</v>
      </c>
      <c r="F10">
        <v>25</v>
      </c>
      <c r="G10" s="1">
        <v>350.19</v>
      </c>
      <c r="H10" s="2">
        <f t="shared" si="0"/>
        <v>429</v>
      </c>
      <c r="I10" t="s">
        <v>13</v>
      </c>
    </row>
    <row r="11" spans="1:9" x14ac:dyDescent="0.3">
      <c r="A11" t="s">
        <v>9</v>
      </c>
      <c r="B11" t="s">
        <v>23</v>
      </c>
      <c r="C11" t="s">
        <v>25</v>
      </c>
      <c r="D11">
        <v>2022</v>
      </c>
      <c r="E11" t="s">
        <v>12</v>
      </c>
      <c r="F11">
        <v>20</v>
      </c>
      <c r="G11" s="1">
        <v>529.26</v>
      </c>
      <c r="H11" s="2">
        <f t="shared" si="0"/>
        <v>646</v>
      </c>
      <c r="I11" t="s">
        <v>13</v>
      </c>
    </row>
    <row r="12" spans="1:9" x14ac:dyDescent="0.3">
      <c r="A12" t="s">
        <v>9</v>
      </c>
      <c r="B12" t="s">
        <v>23</v>
      </c>
      <c r="C12" t="s">
        <v>26</v>
      </c>
      <c r="D12">
        <v>2021</v>
      </c>
      <c r="E12" t="s">
        <v>12</v>
      </c>
      <c r="F12">
        <v>239</v>
      </c>
      <c r="G12" s="1">
        <v>153.22</v>
      </c>
      <c r="H12" s="2">
        <f t="shared" si="0"/>
        <v>191</v>
      </c>
      <c r="I12" t="s">
        <v>13</v>
      </c>
    </row>
    <row r="13" spans="1:9" x14ac:dyDescent="0.3">
      <c r="A13" t="s">
        <v>9</v>
      </c>
      <c r="B13" t="s">
        <v>23</v>
      </c>
      <c r="C13" t="s">
        <v>26</v>
      </c>
      <c r="D13">
        <v>2022</v>
      </c>
      <c r="E13" t="s">
        <v>12</v>
      </c>
      <c r="F13">
        <v>504</v>
      </c>
      <c r="G13" s="1">
        <v>153.22</v>
      </c>
      <c r="H13" s="2">
        <f t="shared" si="0"/>
        <v>191</v>
      </c>
      <c r="I13" t="s">
        <v>13</v>
      </c>
    </row>
    <row r="14" spans="1:9" x14ac:dyDescent="0.3">
      <c r="A14" t="s">
        <v>9</v>
      </c>
      <c r="B14" t="s">
        <v>23</v>
      </c>
      <c r="C14" t="s">
        <v>27</v>
      </c>
      <c r="D14">
        <v>2020</v>
      </c>
      <c r="E14" t="s">
        <v>12</v>
      </c>
      <c r="F14">
        <v>19</v>
      </c>
      <c r="G14" s="1">
        <v>260.67</v>
      </c>
      <c r="H14" s="2">
        <f t="shared" si="0"/>
        <v>321</v>
      </c>
      <c r="I14" t="s">
        <v>13</v>
      </c>
    </row>
    <row r="15" spans="1:9" x14ac:dyDescent="0.3">
      <c r="A15" t="s">
        <v>9</v>
      </c>
      <c r="B15" t="s">
        <v>28</v>
      </c>
      <c r="C15" t="s">
        <v>29</v>
      </c>
      <c r="D15">
        <v>2022</v>
      </c>
      <c r="E15" t="s">
        <v>30</v>
      </c>
      <c r="F15">
        <v>26</v>
      </c>
      <c r="G15" s="1">
        <v>358.53</v>
      </c>
      <c r="H15" s="2">
        <f t="shared" si="0"/>
        <v>439</v>
      </c>
      <c r="I15" t="s">
        <v>13</v>
      </c>
    </row>
    <row r="16" spans="1:9" x14ac:dyDescent="0.3">
      <c r="A16" t="s">
        <v>9</v>
      </c>
      <c r="B16" t="s">
        <v>28</v>
      </c>
      <c r="C16" t="s">
        <v>31</v>
      </c>
      <c r="D16">
        <v>2023</v>
      </c>
      <c r="E16" t="s">
        <v>30</v>
      </c>
      <c r="F16">
        <v>14</v>
      </c>
      <c r="G16" s="1">
        <v>280.5</v>
      </c>
      <c r="H16" s="2">
        <f t="shared" si="0"/>
        <v>345</v>
      </c>
      <c r="I16" t="s">
        <v>13</v>
      </c>
    </row>
    <row r="17" spans="1:9" x14ac:dyDescent="0.3">
      <c r="A17" t="s">
        <v>9</v>
      </c>
      <c r="B17" t="s">
        <v>28</v>
      </c>
      <c r="C17" t="s">
        <v>32</v>
      </c>
      <c r="D17">
        <v>2022</v>
      </c>
      <c r="E17" t="s">
        <v>30</v>
      </c>
      <c r="F17">
        <v>117</v>
      </c>
      <c r="G17" s="1">
        <v>129.74</v>
      </c>
      <c r="H17" s="2">
        <f t="shared" si="0"/>
        <v>162</v>
      </c>
      <c r="I17" t="s">
        <v>13</v>
      </c>
    </row>
    <row r="18" spans="1:9" x14ac:dyDescent="0.3">
      <c r="A18" t="s">
        <v>9</v>
      </c>
      <c r="B18" t="s">
        <v>28</v>
      </c>
      <c r="C18" t="s">
        <v>33</v>
      </c>
      <c r="D18">
        <v>2022</v>
      </c>
      <c r="E18" t="s">
        <v>30</v>
      </c>
      <c r="F18">
        <v>31</v>
      </c>
      <c r="G18" s="1">
        <v>358.53</v>
      </c>
      <c r="H18" s="2">
        <f t="shared" si="0"/>
        <v>439</v>
      </c>
      <c r="I18" t="s">
        <v>13</v>
      </c>
    </row>
    <row r="19" spans="1:9" x14ac:dyDescent="0.3">
      <c r="A19" t="s">
        <v>9</v>
      </c>
      <c r="B19" t="s">
        <v>28</v>
      </c>
      <c r="C19" t="s">
        <v>34</v>
      </c>
      <c r="D19">
        <v>2022</v>
      </c>
      <c r="E19" t="s">
        <v>30</v>
      </c>
      <c r="F19">
        <v>84</v>
      </c>
      <c r="G19" s="1">
        <v>272.87</v>
      </c>
      <c r="H19" s="2">
        <f t="shared" si="0"/>
        <v>336</v>
      </c>
      <c r="I19" t="s">
        <v>13</v>
      </c>
    </row>
    <row r="20" spans="1:9" x14ac:dyDescent="0.3">
      <c r="A20" t="s">
        <v>35</v>
      </c>
      <c r="B20" t="s">
        <v>36</v>
      </c>
      <c r="C20" t="s">
        <v>37</v>
      </c>
      <c r="D20">
        <v>2020</v>
      </c>
      <c r="E20" t="s">
        <v>38</v>
      </c>
      <c r="F20">
        <v>11</v>
      </c>
      <c r="G20" s="1">
        <v>239.17</v>
      </c>
      <c r="H20" s="2">
        <f t="shared" si="0"/>
        <v>295</v>
      </c>
      <c r="I20" t="s">
        <v>13</v>
      </c>
    </row>
    <row r="21" spans="1:9" x14ac:dyDescent="0.3">
      <c r="A21" t="s">
        <v>35</v>
      </c>
      <c r="B21" t="s">
        <v>36</v>
      </c>
      <c r="C21" t="s">
        <v>39</v>
      </c>
      <c r="D21">
        <v>2019</v>
      </c>
      <c r="E21" t="s">
        <v>38</v>
      </c>
      <c r="F21">
        <v>12</v>
      </c>
      <c r="G21" s="1">
        <v>983.22</v>
      </c>
      <c r="H21" s="2">
        <f t="shared" si="0"/>
        <v>1195</v>
      </c>
      <c r="I21" t="s">
        <v>13</v>
      </c>
    </row>
    <row r="22" spans="1:9" x14ac:dyDescent="0.3">
      <c r="A22" t="s">
        <v>35</v>
      </c>
      <c r="B22" t="s">
        <v>36</v>
      </c>
      <c r="C22" t="s">
        <v>40</v>
      </c>
      <c r="D22">
        <v>2017</v>
      </c>
      <c r="E22" t="s">
        <v>38</v>
      </c>
      <c r="F22">
        <v>15</v>
      </c>
      <c r="G22" s="1">
        <v>485.69</v>
      </c>
      <c r="H22" s="2">
        <f t="shared" si="0"/>
        <v>593</v>
      </c>
      <c r="I22" t="s">
        <v>13</v>
      </c>
    </row>
    <row r="23" spans="1:9" x14ac:dyDescent="0.3">
      <c r="A23" t="s">
        <v>35</v>
      </c>
      <c r="B23" t="s">
        <v>41</v>
      </c>
      <c r="C23" t="s">
        <v>41</v>
      </c>
      <c r="D23">
        <v>2022</v>
      </c>
      <c r="E23" t="s">
        <v>42</v>
      </c>
      <c r="F23">
        <v>69</v>
      </c>
      <c r="G23" s="1">
        <v>375.3</v>
      </c>
      <c r="H23" s="2">
        <f t="shared" si="0"/>
        <v>460</v>
      </c>
      <c r="I23" t="s">
        <v>13</v>
      </c>
    </row>
    <row r="24" spans="1:9" x14ac:dyDescent="0.3">
      <c r="A24" t="s">
        <v>35</v>
      </c>
      <c r="B24" t="s">
        <v>43</v>
      </c>
      <c r="C24" t="s">
        <v>44</v>
      </c>
      <c r="D24">
        <v>2019</v>
      </c>
      <c r="E24" t="s">
        <v>12</v>
      </c>
      <c r="F24">
        <v>23</v>
      </c>
      <c r="G24" s="1">
        <v>2120.4</v>
      </c>
      <c r="H24" s="2">
        <f t="shared" si="0"/>
        <v>2571</v>
      </c>
      <c r="I24" t="s">
        <v>13</v>
      </c>
    </row>
    <row r="25" spans="1:9" x14ac:dyDescent="0.3">
      <c r="A25" t="s">
        <v>35</v>
      </c>
      <c r="B25" t="s">
        <v>45</v>
      </c>
      <c r="C25" t="s">
        <v>46</v>
      </c>
      <c r="D25">
        <v>2021</v>
      </c>
      <c r="E25" t="s">
        <v>38</v>
      </c>
      <c r="F25">
        <v>428</v>
      </c>
      <c r="G25" s="1">
        <v>196.76</v>
      </c>
      <c r="H25" s="2">
        <f t="shared" si="0"/>
        <v>244</v>
      </c>
      <c r="I25" t="s">
        <v>13</v>
      </c>
    </row>
    <row r="26" spans="1:9" x14ac:dyDescent="0.3">
      <c r="A26" t="s">
        <v>35</v>
      </c>
      <c r="B26" t="s">
        <v>45</v>
      </c>
      <c r="C26" t="s">
        <v>47</v>
      </c>
      <c r="D26">
        <v>2021</v>
      </c>
      <c r="E26" t="s">
        <v>38</v>
      </c>
      <c r="F26">
        <v>64</v>
      </c>
      <c r="G26" s="1">
        <v>494.72</v>
      </c>
      <c r="H26" s="2">
        <f t="shared" si="0"/>
        <v>604</v>
      </c>
      <c r="I26" t="s">
        <v>13</v>
      </c>
    </row>
    <row r="27" spans="1:9" x14ac:dyDescent="0.3">
      <c r="A27" t="s">
        <v>35</v>
      </c>
      <c r="B27" t="s">
        <v>45</v>
      </c>
      <c r="C27" t="s">
        <v>48</v>
      </c>
      <c r="D27">
        <v>2021</v>
      </c>
      <c r="E27" t="s">
        <v>38</v>
      </c>
      <c r="F27">
        <v>24</v>
      </c>
      <c r="G27" s="1">
        <v>668.44</v>
      </c>
      <c r="H27" s="2">
        <f t="shared" si="0"/>
        <v>814</v>
      </c>
      <c r="I27" t="s">
        <v>13</v>
      </c>
    </row>
    <row r="28" spans="1:9" x14ac:dyDescent="0.3">
      <c r="A28" t="s">
        <v>35</v>
      </c>
      <c r="B28" t="s">
        <v>45</v>
      </c>
      <c r="C28" t="s">
        <v>49</v>
      </c>
      <c r="D28">
        <v>2022</v>
      </c>
      <c r="E28" t="s">
        <v>38</v>
      </c>
      <c r="F28">
        <v>128</v>
      </c>
      <c r="G28" s="1">
        <v>107.11</v>
      </c>
      <c r="H28" s="2">
        <f t="shared" si="0"/>
        <v>135</v>
      </c>
      <c r="I28" t="s">
        <v>13</v>
      </c>
    </row>
    <row r="30" spans="1:9" x14ac:dyDescent="0.3">
      <c r="A30" s="6" t="s">
        <v>50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Tintos Espanha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2026-10-13T11:50:25Z</dcterms:created>
  <dcterms:modified xsi:type="dcterms:W3CDTF">2026-10-13T11:52:02Z</dcterms:modified>
  <cp:category/>
</cp:coreProperties>
</file>