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8800" windowHeight="12768"/>
  </bookViews>
  <sheets>
    <sheet name="Cotação 18 garrafas" sheetId="1" r:id="rId1"/>
  </sheets>
  <calcPr calcId="162913"/>
</workbook>
</file>

<file path=xl/calcChain.xml><?xml version="1.0" encoding="utf-8"?>
<calcChain xmlns="http://schemas.openxmlformats.org/spreadsheetml/2006/main">
  <c r="G13" i="1" l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<sst xmlns="http://schemas.openxmlformats.org/spreadsheetml/2006/main" count="43" uniqueCount="33">
  <si>
    <t>Cotação — 18 garrafas do mesmo vinho · Pagamento via Pix</t>
  </si>
  <si>
    <t>Vinho</t>
  </si>
  <si>
    <t>Safra</t>
  </si>
  <si>
    <t>Produtor</t>
  </si>
  <si>
    <t>País</t>
  </si>
  <si>
    <t>Preço unitário (Pix)</t>
  </si>
  <si>
    <t>Total 18 garrafas (Pix)</t>
  </si>
  <si>
    <t>Arinto 24</t>
  </si>
  <si>
    <t>2024</t>
  </si>
  <si>
    <t>Calcarius</t>
  </si>
  <si>
    <t>Portugal</t>
  </si>
  <si>
    <t>Robertson Winery Chenin Blanc 2024</t>
  </si>
  <si>
    <t>Robertson</t>
  </si>
  <si>
    <t>África do Sul</t>
  </si>
  <si>
    <t>Alamos Chardonnay 2024</t>
  </si>
  <si>
    <t>Alamos - Catena Zapata</t>
  </si>
  <si>
    <t>Argentina</t>
  </si>
  <si>
    <t>Alamos Sauvignon Blanc 2024</t>
  </si>
  <si>
    <t>Uxmal Chardonnay 2024</t>
  </si>
  <si>
    <t>Bodegas Uxmal</t>
  </si>
  <si>
    <t>Sophenia Altosur Chardonnay</t>
  </si>
  <si>
    <t>Finca Sophenia</t>
  </si>
  <si>
    <t>Dai Terra Rossa A.Mare Bianco Puglia IGP</t>
  </si>
  <si>
    <t>Dai Terra Rossa</t>
  </si>
  <si>
    <t>Itália</t>
  </si>
  <si>
    <t>Garzón Estate Pinot Grigio de Corte</t>
  </si>
  <si>
    <t>2025</t>
  </si>
  <si>
    <t>Bodega Garzón</t>
  </si>
  <si>
    <t>Uruguai</t>
  </si>
  <si>
    <t>2022</t>
  </si>
  <si>
    <t>Michel Chapoutier</t>
  </si>
  <si>
    <t>França</t>
  </si>
  <si>
    <t>Marius Vermentino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</si>
</sst>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3" x14ac:knownFonts="1">
    <font>
      <sz val="11"/>
      <color theme="1"/>
      <name val="Calibri"/>
      <family val="2"/>
      <scheme val="minor"/>
    </font>
    <font>
      <b/>
      <sz val="13"/>
      <color rgb="FF991356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991356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0" fillId="0" borderId="1" xfId="0" applyFill="1" applyBorder="1"/>
    <xf numFmtId="0" fontId="0" fillId="0" borderId="1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0" fontId="0" fillId="3" borderId="0" xfId="0" applyFill="1"/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tabSelected="1" topLeftCell="A3" zoomScale="130" zoomScaleNormal="130" workbookViewId="0">
      <selection activeCell="B11" sqref="B11"/>
    </sheetView>
  </sheetViews>
  <sheetFormatPr defaultRowHeight="14.4" x14ac:dyDescent="0.3"/>
  <cols>
    <col min="1" max="1" width="8.88671875" style="13"/>
    <col min="2" max="2" width="36.33203125" bestFit="1" customWidth="1"/>
    <col min="3" max="3" width="5.33203125" bestFit="1" customWidth="1"/>
    <col min="4" max="4" width="20.5546875" bestFit="1" customWidth="1"/>
    <col min="5" max="5" width="11.109375" bestFit="1" customWidth="1"/>
    <col min="6" max="6" width="17.21875" bestFit="1" customWidth="1"/>
    <col min="7" max="7" width="19.33203125" bestFit="1" customWidth="1"/>
    <col min="8" max="8" width="8.88671875" style="13"/>
  </cols>
  <sheetData>
    <row r="1" spans="1:8" ht="19.2" hidden="1" customHeight="1" x14ac:dyDescent="0.3">
      <c r="B1" s="2" t="s">
        <v>0</v>
      </c>
      <c r="C1" s="2"/>
      <c r="D1" s="2"/>
      <c r="E1" s="2"/>
      <c r="F1" s="2"/>
      <c r="G1" s="2"/>
    </row>
    <row r="2" spans="1:8" hidden="1" x14ac:dyDescent="0.3"/>
    <row r="3" spans="1:8" s="13" customFormat="1" x14ac:dyDescent="0.3"/>
    <row r="4" spans="1:8" s="1" customFormat="1" x14ac:dyDescent="0.3">
      <c r="A4" s="14"/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14"/>
    </row>
    <row r="5" spans="1:8" x14ac:dyDescent="0.3">
      <c r="B5" s="10" t="s">
        <v>11</v>
      </c>
      <c r="C5" s="11" t="s">
        <v>8</v>
      </c>
      <c r="D5" s="11" t="s">
        <v>12</v>
      </c>
      <c r="E5" s="11" t="s">
        <v>13</v>
      </c>
      <c r="F5" s="12">
        <v>97</v>
      </c>
      <c r="G5" s="12">
        <f>F5*18</f>
        <v>1746</v>
      </c>
    </row>
    <row r="6" spans="1:8" x14ac:dyDescent="0.3">
      <c r="B6" s="10" t="s">
        <v>20</v>
      </c>
      <c r="C6" s="11" t="s">
        <v>8</v>
      </c>
      <c r="D6" s="11" t="s">
        <v>21</v>
      </c>
      <c r="E6" s="11" t="s">
        <v>16</v>
      </c>
      <c r="F6" s="12">
        <v>107</v>
      </c>
      <c r="G6" s="12">
        <f>F6*18</f>
        <v>1926</v>
      </c>
    </row>
    <row r="7" spans="1:8" x14ac:dyDescent="0.3">
      <c r="B7" s="10" t="s">
        <v>18</v>
      </c>
      <c r="C7" s="11" t="s">
        <v>8</v>
      </c>
      <c r="D7" s="11" t="s">
        <v>19</v>
      </c>
      <c r="E7" s="11" t="s">
        <v>16</v>
      </c>
      <c r="F7" s="12">
        <v>112</v>
      </c>
      <c r="G7" s="12">
        <f>F7*18</f>
        <v>2016</v>
      </c>
    </row>
    <row r="8" spans="1:8" x14ac:dyDescent="0.3">
      <c r="B8" s="10" t="s">
        <v>14</v>
      </c>
      <c r="C8" s="11" t="s">
        <v>8</v>
      </c>
      <c r="D8" s="11" t="s">
        <v>15</v>
      </c>
      <c r="E8" s="11" t="s">
        <v>16</v>
      </c>
      <c r="F8" s="12">
        <v>120</v>
      </c>
      <c r="G8" s="12">
        <f>F8*18</f>
        <v>2160</v>
      </c>
    </row>
    <row r="9" spans="1:8" x14ac:dyDescent="0.3">
      <c r="B9" s="10" t="s">
        <v>17</v>
      </c>
      <c r="C9" s="11" t="s">
        <v>8</v>
      </c>
      <c r="D9" s="11" t="s">
        <v>15</v>
      </c>
      <c r="E9" s="11" t="s">
        <v>16</v>
      </c>
      <c r="F9" s="12">
        <v>120</v>
      </c>
      <c r="G9" s="12">
        <f>F9*18</f>
        <v>2160</v>
      </c>
    </row>
    <row r="10" spans="1:8" x14ac:dyDescent="0.3">
      <c r="B10" s="7" t="s">
        <v>32</v>
      </c>
      <c r="C10" s="8" t="s">
        <v>29</v>
      </c>
      <c r="D10" s="8" t="s">
        <v>30</v>
      </c>
      <c r="E10" s="8" t="s">
        <v>31</v>
      </c>
      <c r="F10" s="9">
        <v>107</v>
      </c>
      <c r="G10" s="9">
        <f>F10*18</f>
        <v>1926</v>
      </c>
    </row>
    <row r="11" spans="1:8" x14ac:dyDescent="0.3">
      <c r="B11" s="4" t="s">
        <v>22</v>
      </c>
      <c r="C11" s="5" t="s">
        <v>8</v>
      </c>
      <c r="D11" s="5" t="s">
        <v>23</v>
      </c>
      <c r="E11" s="5" t="s">
        <v>24</v>
      </c>
      <c r="F11" s="6">
        <v>92</v>
      </c>
      <c r="G11" s="12">
        <f>F11*18</f>
        <v>1656</v>
      </c>
    </row>
    <row r="12" spans="1:8" x14ac:dyDescent="0.3">
      <c r="B12" s="7" t="s">
        <v>7</v>
      </c>
      <c r="C12" s="8" t="s">
        <v>8</v>
      </c>
      <c r="D12" s="8" t="s">
        <v>9</v>
      </c>
      <c r="E12" s="8" t="s">
        <v>10</v>
      </c>
      <c r="F12" s="9">
        <v>117</v>
      </c>
      <c r="G12" s="9">
        <f>F12*18</f>
        <v>2106</v>
      </c>
    </row>
    <row r="13" spans="1:8" x14ac:dyDescent="0.3">
      <c r="B13" s="4" t="s">
        <v>25</v>
      </c>
      <c r="C13" s="5" t="s">
        <v>26</v>
      </c>
      <c r="D13" s="5" t="s">
        <v>27</v>
      </c>
      <c r="E13" s="5" t="s">
        <v>28</v>
      </c>
      <c r="F13" s="6">
        <v>120</v>
      </c>
      <c r="G13" s="12">
        <f>F13*18</f>
        <v>2160</v>
      </c>
    </row>
    <row r="14" spans="1:8" s="13" customFormat="1" x14ac:dyDescent="0.3"/>
  </sheetData>
  <sortState ref="B4:G14">
    <sortCondition ref="E4:E14"/>
    <sortCondition ref="F4:F14"/>
  </sortState>
  <mergeCells count="1">
    <mergeCell ref="B1:G1"/>
  </mergeCell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Cotação 18 garrafas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2026-08-24T12:42:41Z</dcterms:created>
  <dcterms:modified xsi:type="dcterms:W3CDTF">2026-08-24T12:56:33Z</dcterms:modified>
  <cp:category/>
</cp:coreProperties>
</file>