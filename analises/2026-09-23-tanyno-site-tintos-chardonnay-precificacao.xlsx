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ficação" state="visible" r:id="rId4"/>
    <sheet sheetId="2" name="Markup 1,4" state="visible" r:id="rId5"/>
  </sheets>
  <calcPr calcId="171027"/>
</workbook>
</file>

<file path=xl/sharedStrings.xml><?xml version="1.0" encoding="utf-8"?>
<sst xmlns="http://schemas.openxmlformats.org/spreadsheetml/2006/main" count="102" uniqueCount="63">
  <si>
    <t>Fator sobre A37</t>
  </si>
  <si>
    <t>Markup</t>
  </si>
  <si>
    <t>Simples Nacional (sobre a venda)</t>
  </si>
  <si>
    <t>Vinho</t>
  </si>
  <si>
    <t>Produtor</t>
  </si>
  <si>
    <t>Safra</t>
  </si>
  <si>
    <t>Estoque</t>
  </si>
  <si>
    <t>A37 (site Tanyno)</t>
  </si>
  <si>
    <t>Custo (A37 × 1,13)</t>
  </si>
  <si>
    <t>Preço de venda (custo × 1,6)</t>
  </si>
  <si>
    <t>Simples 8% sobre a venda</t>
  </si>
  <si>
    <t>Venda após Simples</t>
  </si>
  <si>
    <t>Markup (após Simples ÷ custo)</t>
  </si>
  <si>
    <t>Le Serre Nuove dell'Ornellaia magnum</t>
  </si>
  <si>
    <t>Ornellaia</t>
  </si>
  <si>
    <t>Barolo Paiagallo magnum</t>
  </si>
  <si>
    <t>Mauro Veglio</t>
  </si>
  <si>
    <t>Chassagne-Montrachet 1er Cru En Remilly</t>
  </si>
  <si>
    <t>Xavier Monnot</t>
  </si>
  <si>
    <t>Puligny-Montrachet 1er Cru Les Folatières</t>
  </si>
  <si>
    <t>Nuits-Saint-Georges magnum</t>
  </si>
  <si>
    <t>Les Petits Lieux</t>
  </si>
  <si>
    <t>Vougeot 1er Cru Les Crâs</t>
  </si>
  <si>
    <t>Mongeard-Mugneret</t>
  </si>
  <si>
    <t>Château Valandraud</t>
  </si>
  <si>
    <t>Gevrey-Chambertin 1er Cru Les Cazetiers</t>
  </si>
  <si>
    <t>Domaine Sérafin</t>
  </si>
  <si>
    <t>Gevrey-Chambertin 1er Cru Les Corbeaux</t>
  </si>
  <si>
    <t>Jane Eyre</t>
  </si>
  <si>
    <t>Nuits-Saint-Georges 1er Cru Aux Boudots</t>
  </si>
  <si>
    <t>Domaine Jean Grivot</t>
  </si>
  <si>
    <t>Cirsion</t>
  </si>
  <si>
    <t>Bodegas Roda</t>
  </si>
  <si>
    <t>Volnay 1er Cru Clos des 60 Ouvrées magnum</t>
  </si>
  <si>
    <t>La Pousse d'Or</t>
  </si>
  <si>
    <t>Nuits-Saint-Georges Les Plateaux magnum</t>
  </si>
  <si>
    <t>Pichon Longueville Comtesse de Lalande</t>
  </si>
  <si>
    <t>Comtesse de Lalande</t>
  </si>
  <si>
    <t>Château Les Carmes Haut-Brion</t>
  </si>
  <si>
    <t>Les Carmes Haut-Brion</t>
  </si>
  <si>
    <t>Meursault Charmes 1er Cru magnum</t>
  </si>
  <si>
    <t>Domaine Guy Bocard</t>
  </si>
  <si>
    <t>Charmes-Chambertin Grand Cru</t>
  </si>
  <si>
    <t>Le Serre Nuove dell'Ornellaia double magnum</t>
  </si>
  <si>
    <t>Corton-Charlemagne</t>
  </si>
  <si>
    <t>Michel Juillot</t>
  </si>
  <si>
    <t>Clos de Vougeot</t>
  </si>
  <si>
    <t>Bonnes Mares Grand Cru</t>
  </si>
  <si>
    <t>J.P. Marchand</t>
  </si>
  <si>
    <t>Lodovico</t>
  </si>
  <si>
    <t>Tenuta di Biserno</t>
  </si>
  <si>
    <t>Le Petit Mouton de Mouton Rothschild</t>
  </si>
  <si>
    <t>Mouton Rothschild</t>
  </si>
  <si>
    <t>Bâtard-Montrachet</t>
  </si>
  <si>
    <t>Jean Chartron</t>
  </si>
  <si>
    <t>Chevalier-Montrachet Grand Cru Clos des Chevaliers</t>
  </si>
  <si>
    <t>Château Haut-Brion</t>
  </si>
  <si>
    <t>Clarence Dillon</t>
  </si>
  <si>
    <t>Chambertin Grand Cru</t>
  </si>
  <si>
    <t>Domaine Trapet</t>
  </si>
  <si>
    <t>Markup alvo (após Simples ÷ custo)</t>
  </si>
  <si>
    <t>Preço de venda (custo × 1,4 ÷ 0,92)</t>
  </si>
  <si>
    <t>Markup (conferência)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</si>
</sst>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 #,##0.00"/>
    <numFmt numFmtId="165" formatCode="0.0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991356"/>
      </patternFill>
    </fill>
    <fill>
      <patternFill patternType="solid">
        <fgColor rgb="FFF7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/>
    <xf numFmtId="165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 zoomScaleNormal="10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46" customWidth="1"/>
    <col min="2" max="2" width="24" customWidth="1"/>
    <col min="3" max="3" width="8" customWidth="1"/>
    <col min="5" max="6" width="17" customWidth="1"/>
    <col min="7" max="7" width="20" customWidth="1"/>
    <col min="8" max="9" width="17" customWidth="1"/>
    <col min="10" max="10" width="18" customWidth="1"/>
  </cols>
  <sheetData>
    <row r="1" spans="1:2" x14ac:dyDescent="0.25">
      <c r="A1" s="1" t="s">
        <v>0</v>
      </c>
      <c r="B1">
        <v>1.13</v>
      </c>
    </row>
    <row r="2" spans="1:2" x14ac:dyDescent="0.25">
      <c r="A2" s="1" t="s">
        <v>1</v>
      </c>
      <c r="B2">
        <v>1.6</v>
      </c>
    </row>
    <row r="3" spans="1:2" x14ac:dyDescent="0.25">
      <c r="A3" s="1" t="s">
        <v>2</v>
      </c>
      <c r="B3" s="2">
        <v>0.08</v>
      </c>
    </row>
    <row r="5" ht="42" customHeight="1" spans="1:1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x14ac:dyDescent="0.25">
      <c r="A6" t="s">
        <v>13</v>
      </c>
      <c r="B6" t="s">
        <v>14</v>
      </c>
      <c r="C6" s="4">
        <v>2022</v>
      </c>
      <c r="D6" s="4">
        <v>20</v>
      </c>
      <c r="E6" s="5">
        <v>1505.11125</v>
      </c>
      <c r="F6" s="5">
        <f>E6*$B$1</f>
        <v>1700.7757124999998</v>
      </c>
      <c r="G6" s="5">
        <f>F6*$B$2</f>
        <v>2721.24114</v>
      </c>
      <c r="H6" s="5">
        <f>G6*$B$3</f>
        <v>217.6992912</v>
      </c>
      <c r="I6" s="5">
        <f>G6-H6</f>
        <v>2503.5418488</v>
      </c>
      <c r="J6" s="6">
        <f>I6/F6</f>
        <v>1.4720000000000002</v>
      </c>
    </row>
    <row r="7" spans="1:10" x14ac:dyDescent="0.25">
      <c r="A7" s="7" t="s">
        <v>15</v>
      </c>
      <c r="B7" s="7" t="s">
        <v>16</v>
      </c>
      <c r="C7" s="8">
        <v>2021</v>
      </c>
      <c r="D7" s="8">
        <v>3</v>
      </c>
      <c r="E7" s="9">
        <v>1579.4269499999998</v>
      </c>
      <c r="F7" s="9">
        <f>E7*$B$1</f>
        <v>1784.7524534999995</v>
      </c>
      <c r="G7" s="9">
        <f>F7*$B$2</f>
        <v>2855.6039255999995</v>
      </c>
      <c r="H7" s="9">
        <f>G7*$B$3</f>
        <v>228.44831404799996</v>
      </c>
      <c r="I7" s="9">
        <f>G7-H7</f>
        <v>2627.1556115519993</v>
      </c>
      <c r="J7" s="10">
        <f>I7/F7</f>
        <v>1.472</v>
      </c>
    </row>
    <row r="8" spans="1:10" x14ac:dyDescent="0.25">
      <c r="A8" t="s">
        <v>17</v>
      </c>
      <c r="B8" t="s">
        <v>18</v>
      </c>
      <c r="C8" s="4">
        <v>2023</v>
      </c>
      <c r="D8" s="4">
        <v>45</v>
      </c>
      <c r="E8" s="5">
        <v>1588.4368499999998</v>
      </c>
      <c r="F8" s="5">
        <f>E8*$B$1</f>
        <v>1794.9336404999997</v>
      </c>
      <c r="G8" s="5">
        <f>F8*$B$2</f>
        <v>2871.8938247999995</v>
      </c>
      <c r="H8" s="5">
        <f>G8*$B$3</f>
        <v>229.75150598399998</v>
      </c>
      <c r="I8" s="5">
        <f>G8-H8</f>
        <v>2642.1423188159997</v>
      </c>
      <c r="J8" s="6">
        <f>I8/F8</f>
        <v>1.4720000000000002</v>
      </c>
    </row>
    <row r="9" spans="1:10" x14ac:dyDescent="0.25">
      <c r="A9" s="7" t="s">
        <v>19</v>
      </c>
      <c r="B9" s="7" t="s">
        <v>18</v>
      </c>
      <c r="C9" s="8">
        <v>2023</v>
      </c>
      <c r="D9" s="8">
        <v>36</v>
      </c>
      <c r="E9" s="9">
        <v>1588.4368499999998</v>
      </c>
      <c r="F9" s="9">
        <f>E9*$B$1</f>
        <v>1794.9336404999997</v>
      </c>
      <c r="G9" s="9">
        <f>F9*$B$2</f>
        <v>2871.8938247999995</v>
      </c>
      <c r="H9" s="9">
        <f>G9*$B$3</f>
        <v>229.75150598399998</v>
      </c>
      <c r="I9" s="9">
        <f>G9-H9</f>
        <v>2642.1423188159997</v>
      </c>
      <c r="J9" s="10">
        <f>I9/F9</f>
        <v>1.4720000000000002</v>
      </c>
    </row>
    <row r="10" spans="1:10" x14ac:dyDescent="0.25">
      <c r="A10" t="s">
        <v>20</v>
      </c>
      <c r="B10" t="s">
        <v>21</v>
      </c>
      <c r="C10" s="4">
        <v>2023</v>
      </c>
      <c r="D10" s="4">
        <v>1</v>
      </c>
      <c r="E10" s="5">
        <v>1701.8380499999998</v>
      </c>
      <c r="F10" s="5">
        <f>E10*$B$1</f>
        <v>1923.0769964999997</v>
      </c>
      <c r="G10" s="5">
        <f>F10*$B$2</f>
        <v>3076.9231944</v>
      </c>
      <c r="H10" s="5">
        <f>G10*$B$3</f>
        <v>246.15385555199998</v>
      </c>
      <c r="I10" s="5">
        <f>G10-H10</f>
        <v>2830.7693388479997</v>
      </c>
      <c r="J10" s="6">
        <f>I10/F10</f>
        <v>1.472</v>
      </c>
    </row>
    <row r="11" spans="1:10" x14ac:dyDescent="0.25">
      <c r="A11" s="7" t="s">
        <v>22</v>
      </c>
      <c r="B11" s="7" t="s">
        <v>23</v>
      </c>
      <c r="C11" s="8">
        <v>2022</v>
      </c>
      <c r="D11" s="8">
        <v>4</v>
      </c>
      <c r="E11" s="9">
        <v>1760.4662999999998</v>
      </c>
      <c r="F11" s="9">
        <f>E11*$B$1</f>
        <v>1989.3269189999996</v>
      </c>
      <c r="G11" s="9">
        <f>F11*$B$2</f>
        <v>3182.9230703999997</v>
      </c>
      <c r="H11" s="9">
        <f>G11*$B$3</f>
        <v>254.63384563199998</v>
      </c>
      <c r="I11" s="9">
        <f>G11-H11</f>
        <v>2928.2892247679997</v>
      </c>
      <c r="J11" s="10">
        <f>I11/F11</f>
        <v>1.4720000000000002</v>
      </c>
    </row>
    <row r="12" spans="1:10" x14ac:dyDescent="0.25">
      <c r="A12" t="s">
        <v>24</v>
      </c>
      <c r="B12" t="s">
        <v>24</v>
      </c>
      <c r="C12" s="4">
        <v>2002</v>
      </c>
      <c r="D12" s="4">
        <v>39</v>
      </c>
      <c r="E12" s="5">
        <v>1808.5191</v>
      </c>
      <c r="F12" s="5">
        <f>E12*$B$1</f>
        <v>2043.6265829999998</v>
      </c>
      <c r="G12" s="5">
        <f>F12*$B$2</f>
        <v>3269.8025328</v>
      </c>
      <c r="H12" s="5">
        <f>G12*$B$3</f>
        <v>261.584202624</v>
      </c>
      <c r="I12" s="5">
        <f>G12-H12</f>
        <v>3008.2183301759997</v>
      </c>
      <c r="J12" s="6">
        <f>I12/F12</f>
        <v>1.472</v>
      </c>
    </row>
    <row r="13" spans="1:10" x14ac:dyDescent="0.25">
      <c r="A13" s="7" t="s">
        <v>25</v>
      </c>
      <c r="B13" s="7" t="s">
        <v>26</v>
      </c>
      <c r="C13" s="8">
        <v>2022</v>
      </c>
      <c r="D13" s="8">
        <v>28</v>
      </c>
      <c r="E13" s="9">
        <v>1809.8290499999998</v>
      </c>
      <c r="F13" s="9">
        <f>E13*$B$1</f>
        <v>2045.1068264999997</v>
      </c>
      <c r="G13" s="9">
        <f>F13*$B$2</f>
        <v>3272.1709223999997</v>
      </c>
      <c r="H13" s="9">
        <f>G13*$B$3</f>
        <v>261.77367379199995</v>
      </c>
      <c r="I13" s="9">
        <f>G13-H13</f>
        <v>3010.3972486079997</v>
      </c>
      <c r="J13" s="10">
        <f>I13/F13</f>
        <v>1.4720000000000002</v>
      </c>
    </row>
    <row r="14" spans="1:10" x14ac:dyDescent="0.25">
      <c r="A14" t="s">
        <v>27</v>
      </c>
      <c r="B14" t="s">
        <v>28</v>
      </c>
      <c r="C14" s="4">
        <v>2023</v>
      </c>
      <c r="D14" s="4">
        <v>9</v>
      </c>
      <c r="E14" s="5">
        <v>1852.79115</v>
      </c>
      <c r="F14" s="5">
        <f>E14*$B$1</f>
        <v>2093.6539995</v>
      </c>
      <c r="G14" s="5">
        <f>F14*$B$2</f>
        <v>3349.8463991999997</v>
      </c>
      <c r="H14" s="5">
        <f>G14*$B$3</f>
        <v>267.987711936</v>
      </c>
      <c r="I14" s="5">
        <f>G14-H14</f>
        <v>3081.858687264</v>
      </c>
      <c r="J14" s="6">
        <f>I14/F14</f>
        <v>1.472</v>
      </c>
    </row>
    <row r="15" spans="1:10" x14ac:dyDescent="0.25">
      <c r="A15" s="7" t="s">
        <v>29</v>
      </c>
      <c r="B15" s="7" t="s">
        <v>30</v>
      </c>
      <c r="C15" s="8">
        <v>2022</v>
      </c>
      <c r="D15" s="8">
        <v>5</v>
      </c>
      <c r="E15" s="9">
        <v>2067.87855</v>
      </c>
      <c r="F15" s="9">
        <f>E15*$B$1</f>
        <v>2336.7027614999997</v>
      </c>
      <c r="G15" s="9">
        <f>F15*$B$2</f>
        <v>3738.7244183999996</v>
      </c>
      <c r="H15" s="9">
        <f>G15*$B$3</f>
        <v>299.097953472</v>
      </c>
      <c r="I15" s="9">
        <f>G15-H15</f>
        <v>3439.6264649279997</v>
      </c>
      <c r="J15" s="10">
        <f>I15/F15</f>
        <v>1.472</v>
      </c>
    </row>
    <row r="16" spans="1:10" x14ac:dyDescent="0.25">
      <c r="A16" t="s">
        <v>31</v>
      </c>
      <c r="B16" t="s">
        <v>32</v>
      </c>
      <c r="C16" s="4">
        <v>2019</v>
      </c>
      <c r="D16" s="4">
        <v>23</v>
      </c>
      <c r="E16" s="5">
        <v>2120.40435</v>
      </c>
      <c r="F16" s="5">
        <f>E16*$B$1</f>
        <v>2396.0569154999994</v>
      </c>
      <c r="G16" s="5">
        <f>F16*$B$2</f>
        <v>3833.6910647999994</v>
      </c>
      <c r="H16" s="5">
        <f>G16*$B$3</f>
        <v>306.69528518399994</v>
      </c>
      <c r="I16" s="5">
        <f>G16-H16</f>
        <v>3526.9957796159993</v>
      </c>
      <c r="J16" s="6">
        <f>I16/F16</f>
        <v>1.472</v>
      </c>
    </row>
    <row r="17" spans="1:10" x14ac:dyDescent="0.25">
      <c r="A17" s="7" t="s">
        <v>14</v>
      </c>
      <c r="B17" s="7" t="s">
        <v>14</v>
      </c>
      <c r="C17" s="8">
        <v>2022</v>
      </c>
      <c r="D17" s="8">
        <v>52</v>
      </c>
      <c r="E17" s="9">
        <v>2172.46155</v>
      </c>
      <c r="F17" s="9">
        <f>E17*$B$1</f>
        <v>2454.8815514999997</v>
      </c>
      <c r="G17" s="9">
        <f>F17*$B$2</f>
        <v>3927.8104823999997</v>
      </c>
      <c r="H17" s="9">
        <f>G17*$B$3</f>
        <v>314.22483859199997</v>
      </c>
      <c r="I17" s="9">
        <f>G17-H17</f>
        <v>3613.585643808</v>
      </c>
      <c r="J17" s="10">
        <f>I17/F17</f>
        <v>1.4720000000000002</v>
      </c>
    </row>
    <row r="18" spans="1:10" x14ac:dyDescent="0.25">
      <c r="A18" t="s">
        <v>33</v>
      </c>
      <c r="B18" t="s">
        <v>34</v>
      </c>
      <c r="C18" s="4">
        <v>2023</v>
      </c>
      <c r="D18" s="4">
        <v>1</v>
      </c>
      <c r="E18" s="5">
        <v>2181.68445</v>
      </c>
      <c r="F18" s="5">
        <f>E18*$B$1</f>
        <v>2465.3034285</v>
      </c>
      <c r="G18" s="5">
        <f>F18*$B$2</f>
        <v>3944.4854856</v>
      </c>
      <c r="H18" s="5">
        <f>G18*$B$3</f>
        <v>315.558838848</v>
      </c>
      <c r="I18" s="5">
        <f>G18-H18</f>
        <v>3628.926646752</v>
      </c>
      <c r="J18" s="6">
        <f>I18/F18</f>
        <v>1.4720000000000002</v>
      </c>
    </row>
    <row r="19" spans="1:10" x14ac:dyDescent="0.25">
      <c r="A19" s="7" t="s">
        <v>35</v>
      </c>
      <c r="B19" s="7" t="s">
        <v>23</v>
      </c>
      <c r="C19" s="8">
        <v>2022</v>
      </c>
      <c r="D19" s="8">
        <v>1</v>
      </c>
      <c r="E19" s="9">
        <v>2212.54815</v>
      </c>
      <c r="F19" s="9">
        <f>E19*$B$1</f>
        <v>2500.1794095</v>
      </c>
      <c r="G19" s="9">
        <f>F19*$B$2</f>
        <v>4000.2870552000004</v>
      </c>
      <c r="H19" s="9">
        <f>G19*$B$3</f>
        <v>320.02296441600004</v>
      </c>
      <c r="I19" s="9">
        <f>G19-H19</f>
        <v>3680.2640907840005</v>
      </c>
      <c r="J19" s="10">
        <f>I19/F19</f>
        <v>1.4720000000000002</v>
      </c>
    </row>
    <row r="20" spans="1:10" x14ac:dyDescent="0.25">
      <c r="A20" t="s">
        <v>36</v>
      </c>
      <c r="B20" t="s">
        <v>37</v>
      </c>
      <c r="C20" s="4">
        <v>2006</v>
      </c>
      <c r="D20" s="4">
        <v>24</v>
      </c>
      <c r="E20" s="5">
        <v>2373.7785</v>
      </c>
      <c r="F20" s="5">
        <f>E20*$B$1</f>
        <v>2682.3697049999996</v>
      </c>
      <c r="G20" s="5">
        <f>F20*$B$2</f>
        <v>4291.791528</v>
      </c>
      <c r="H20" s="5">
        <f>G20*$B$3</f>
        <v>343.34332223999996</v>
      </c>
      <c r="I20" s="5">
        <f>G20-H20</f>
        <v>3948.44820576</v>
      </c>
      <c r="J20" s="6">
        <f>I20/F20</f>
        <v>1.4720000000000002</v>
      </c>
    </row>
    <row r="21" spans="1:10" x14ac:dyDescent="0.25">
      <c r="A21" s="7" t="s">
        <v>38</v>
      </c>
      <c r="B21" s="7" t="s">
        <v>39</v>
      </c>
      <c r="C21" s="8">
        <v>2016</v>
      </c>
      <c r="D21" s="8">
        <v>2</v>
      </c>
      <c r="E21" s="9">
        <v>2437.90215</v>
      </c>
      <c r="F21" s="9">
        <f>E21*$B$1</f>
        <v>2754.8294294999996</v>
      </c>
      <c r="G21" s="9">
        <f>F21*$B$2</f>
        <v>4407.7270872</v>
      </c>
      <c r="H21" s="9">
        <f>G21*$B$3</f>
        <v>352.618166976</v>
      </c>
      <c r="I21" s="9">
        <f>G21-H21</f>
        <v>4055.108920224</v>
      </c>
      <c r="J21" s="10">
        <f>I21/F21</f>
        <v>1.4720000000000002</v>
      </c>
    </row>
    <row r="22" spans="1:10" x14ac:dyDescent="0.25">
      <c r="A22" t="s">
        <v>40</v>
      </c>
      <c r="B22" t="s">
        <v>41</v>
      </c>
      <c r="C22" s="4">
        <v>2023</v>
      </c>
      <c r="D22" s="4">
        <v>3</v>
      </c>
      <c r="E22" s="5">
        <v>2497.7445000000002</v>
      </c>
      <c r="F22" s="5">
        <f>E22*$B$1</f>
        <v>2822.451285</v>
      </c>
      <c r="G22" s="5">
        <f>F22*$B$2</f>
        <v>4515.922056</v>
      </c>
      <c r="H22" s="5">
        <f>G22*$B$3</f>
        <v>361.27376448</v>
      </c>
      <c r="I22" s="5">
        <f>G22-H22</f>
        <v>4154.64829152</v>
      </c>
      <c r="J22" s="6">
        <f>I22/F22</f>
        <v>1.472</v>
      </c>
    </row>
    <row r="23" spans="1:10" x14ac:dyDescent="0.25">
      <c r="A23" s="7" t="s">
        <v>42</v>
      </c>
      <c r="B23" s="7" t="s">
        <v>26</v>
      </c>
      <c r="C23" s="8">
        <v>2022</v>
      </c>
      <c r="D23" s="8">
        <v>23</v>
      </c>
      <c r="E23" s="9">
        <v>2683.66155</v>
      </c>
      <c r="F23" s="9">
        <f>E23*$B$1</f>
        <v>3032.5375514999996</v>
      </c>
      <c r="G23" s="9">
        <f>F23*$B$2</f>
        <v>4852.060082399999</v>
      </c>
      <c r="H23" s="9">
        <f>G23*$B$3</f>
        <v>388.16480659199993</v>
      </c>
      <c r="I23" s="9">
        <f>G23-H23</f>
        <v>4463.8952758079995</v>
      </c>
      <c r="J23" s="10">
        <f>I23/F23</f>
        <v>1.472</v>
      </c>
    </row>
    <row r="24" spans="1:10" x14ac:dyDescent="0.25">
      <c r="A24" t="s">
        <v>43</v>
      </c>
      <c r="B24" t="s">
        <v>14</v>
      </c>
      <c r="C24" s="4">
        <v>2022</v>
      </c>
      <c r="D24" s="4">
        <v>2</v>
      </c>
      <c r="E24" s="5">
        <v>2909.3244</v>
      </c>
      <c r="F24" s="5">
        <f>E24*$B$1</f>
        <v>3287.5365719999995</v>
      </c>
      <c r="G24" s="5">
        <f>F24*$B$2</f>
        <v>5260.058515199999</v>
      </c>
      <c r="H24" s="5">
        <f>G24*$B$3</f>
        <v>420.80468121599995</v>
      </c>
      <c r="I24" s="5">
        <f>G24-H24</f>
        <v>4839.253833983999</v>
      </c>
      <c r="J24" s="6">
        <f>I24/F24</f>
        <v>1.472</v>
      </c>
    </row>
    <row r="25" spans="1:10" x14ac:dyDescent="0.25">
      <c r="A25" s="7" t="s">
        <v>44</v>
      </c>
      <c r="B25" s="7" t="s">
        <v>45</v>
      </c>
      <c r="C25" s="8">
        <v>2022</v>
      </c>
      <c r="D25" s="8">
        <v>33</v>
      </c>
      <c r="E25" s="9">
        <v>3057.1250999999997</v>
      </c>
      <c r="F25" s="9">
        <f>E25*$B$1</f>
        <v>3454.5513629999996</v>
      </c>
      <c r="G25" s="9">
        <f>F25*$B$2</f>
        <v>5527.2821808</v>
      </c>
      <c r="H25" s="9">
        <f>G25*$B$3</f>
        <v>442.182574464</v>
      </c>
      <c r="I25" s="9">
        <f>G25-H25</f>
        <v>5085.099606336</v>
      </c>
      <c r="J25" s="10">
        <f>I25/F25</f>
        <v>1.4720000000000002</v>
      </c>
    </row>
    <row r="26" spans="1:10" x14ac:dyDescent="0.25">
      <c r="A26" t="s">
        <v>46</v>
      </c>
      <c r="B26" t="s">
        <v>23</v>
      </c>
      <c r="C26" s="4">
        <v>2022</v>
      </c>
      <c r="D26" s="4">
        <v>13</v>
      </c>
      <c r="E26" s="5">
        <v>3460.2915</v>
      </c>
      <c r="F26" s="5">
        <f>E26*$B$1</f>
        <v>3910.1293949999995</v>
      </c>
      <c r="G26" s="5">
        <f>F26*$B$2</f>
        <v>6256.207031999999</v>
      </c>
      <c r="H26" s="5">
        <f>G26*$B$3</f>
        <v>500.49656256</v>
      </c>
      <c r="I26" s="5">
        <f>G26-H26</f>
        <v>5755.7104694399995</v>
      </c>
      <c r="J26" s="6">
        <f>I26/F26</f>
        <v>1.472</v>
      </c>
    </row>
    <row r="27" spans="1:10" x14ac:dyDescent="0.25">
      <c r="A27" s="7" t="s">
        <v>46</v>
      </c>
      <c r="B27" s="7" t="s">
        <v>30</v>
      </c>
      <c r="C27" s="8">
        <v>2022</v>
      </c>
      <c r="D27" s="8">
        <v>4</v>
      </c>
      <c r="E27" s="9">
        <v>3633.5989499999996</v>
      </c>
      <c r="F27" s="9">
        <f>E27*$B$1</f>
        <v>4105.966813499999</v>
      </c>
      <c r="G27" s="9">
        <f>F27*$B$2</f>
        <v>6569.546901599999</v>
      </c>
      <c r="H27" s="9">
        <f>G27*$B$3</f>
        <v>525.5637521279999</v>
      </c>
      <c r="I27" s="9">
        <f>G27-H27</f>
        <v>6043.983149471999</v>
      </c>
      <c r="J27" s="10">
        <f>I27/F27</f>
        <v>1.472</v>
      </c>
    </row>
    <row r="28" spans="1:10" x14ac:dyDescent="0.25">
      <c r="A28" t="s">
        <v>47</v>
      </c>
      <c r="B28" t="s">
        <v>48</v>
      </c>
      <c r="C28" s="4">
        <v>2019</v>
      </c>
      <c r="D28" s="4">
        <v>16</v>
      </c>
      <c r="E28" s="5">
        <v>3900.4559999999997</v>
      </c>
      <c r="F28" s="5">
        <f>E28*$B$1</f>
        <v>4407.51528</v>
      </c>
      <c r="G28" s="5">
        <f>F28*$B$2</f>
        <v>7052.024448</v>
      </c>
      <c r="H28" s="5">
        <f>G28*$B$3</f>
        <v>564.16195584</v>
      </c>
      <c r="I28" s="5">
        <f>G28-H28</f>
        <v>6487.86249216</v>
      </c>
      <c r="J28" s="6">
        <f>I28/F28</f>
        <v>1.4720000000000002</v>
      </c>
    </row>
    <row r="29" spans="1:10" x14ac:dyDescent="0.25">
      <c r="A29" s="7" t="s">
        <v>49</v>
      </c>
      <c r="B29" s="7" t="s">
        <v>50</v>
      </c>
      <c r="C29" s="8">
        <v>2020</v>
      </c>
      <c r="D29" s="8">
        <v>14</v>
      </c>
      <c r="E29" s="9">
        <v>4406.89545</v>
      </c>
      <c r="F29" s="9">
        <f>E29*$B$1</f>
        <v>4979.7918585</v>
      </c>
      <c r="G29" s="9">
        <f>F29*$B$2</f>
        <v>7967.6669736</v>
      </c>
      <c r="H29" s="9">
        <f>G29*$B$3</f>
        <v>637.4133578880001</v>
      </c>
      <c r="I29" s="9">
        <f>G29-H29</f>
        <v>7330.253615712</v>
      </c>
      <c r="J29" s="10">
        <f>I29/F29</f>
        <v>1.4720000000000002</v>
      </c>
    </row>
    <row r="30" spans="1:10" x14ac:dyDescent="0.25">
      <c r="A30" t="s">
        <v>51</v>
      </c>
      <c r="B30" t="s">
        <v>52</v>
      </c>
      <c r="C30" s="4">
        <v>2016</v>
      </c>
      <c r="D30" s="4">
        <v>1</v>
      </c>
      <c r="E30" s="5">
        <v>4502.04255</v>
      </c>
      <c r="F30" s="5">
        <f>E30*$B$1</f>
        <v>5087.308081499999</v>
      </c>
      <c r="G30" s="5">
        <f>F30*$B$2</f>
        <v>8139.6929304</v>
      </c>
      <c r="H30" s="5">
        <f>G30*$B$3</f>
        <v>651.175434432</v>
      </c>
      <c r="I30" s="5">
        <f>G30-H30</f>
        <v>7488.517495968</v>
      </c>
      <c r="J30" s="6">
        <f>I30/F30</f>
        <v>1.4720000000000002</v>
      </c>
    </row>
    <row r="31" spans="1:10" x14ac:dyDescent="0.25">
      <c r="A31" s="7" t="s">
        <v>53</v>
      </c>
      <c r="B31" s="7" t="s">
        <v>54</v>
      </c>
      <c r="C31" s="8">
        <v>2023</v>
      </c>
      <c r="D31" s="8">
        <v>22</v>
      </c>
      <c r="E31" s="9">
        <v>4886.8377</v>
      </c>
      <c r="F31" s="9">
        <f>E31*$B$1</f>
        <v>5522.126601</v>
      </c>
      <c r="G31" s="9">
        <f>F31*$B$2</f>
        <v>8835.4025616</v>
      </c>
      <c r="H31" s="9">
        <f>G31*$B$3</f>
        <v>706.832204928</v>
      </c>
      <c r="I31" s="9">
        <f>G31-H31</f>
        <v>8128.570356672</v>
      </c>
      <c r="J31" s="10">
        <f>I31/F31</f>
        <v>1.472</v>
      </c>
    </row>
    <row r="32" spans="1:10" x14ac:dyDescent="0.25">
      <c r="A32" t="s">
        <v>55</v>
      </c>
      <c r="B32" t="s">
        <v>54</v>
      </c>
      <c r="C32" s="4">
        <v>2023</v>
      </c>
      <c r="D32" s="4">
        <v>25</v>
      </c>
      <c r="E32" s="5">
        <v>6398.3922</v>
      </c>
      <c r="F32" s="5">
        <f>E32*$B$1</f>
        <v>7230.183185999999</v>
      </c>
      <c r="G32" s="5">
        <f>F32*$B$2</f>
        <v>11568.293097599999</v>
      </c>
      <c r="H32" s="5">
        <f>G32*$B$3</f>
        <v>925.463447808</v>
      </c>
      <c r="I32" s="5">
        <f>G32-H32</f>
        <v>10642.829649791998</v>
      </c>
      <c r="J32" s="6">
        <f>I32/F32</f>
        <v>1.472</v>
      </c>
    </row>
    <row r="33" spans="1:10" x14ac:dyDescent="0.25">
      <c r="A33" s="7" t="s">
        <v>56</v>
      </c>
      <c r="B33" s="7" t="s">
        <v>57</v>
      </c>
      <c r="C33" s="8">
        <v>2006</v>
      </c>
      <c r="D33" s="8">
        <v>2</v>
      </c>
      <c r="E33" s="9">
        <v>7386.0518999999995</v>
      </c>
      <c r="F33" s="9">
        <f>E33*$B$1</f>
        <v>8346.238646999998</v>
      </c>
      <c r="G33" s="9">
        <f>F33*$B$2</f>
        <v>13353.981835199998</v>
      </c>
      <c r="H33" s="9">
        <f>G33*$B$3</f>
        <v>1068.318546816</v>
      </c>
      <c r="I33" s="9">
        <f>G33-H33</f>
        <v>12285.663288384</v>
      </c>
      <c r="J33" s="10">
        <f>I33/F33</f>
        <v>1.4720000000000002</v>
      </c>
    </row>
    <row r="34" spans="1:10" x14ac:dyDescent="0.25">
      <c r="A34" t="s">
        <v>58</v>
      </c>
      <c r="B34" t="s">
        <v>59</v>
      </c>
      <c r="C34" s="4">
        <v>2022</v>
      </c>
      <c r="D34" s="4">
        <v>17</v>
      </c>
      <c r="E34" s="5">
        <v>7479.5269499999995</v>
      </c>
      <c r="F34" s="5">
        <f>E34*$B$1</f>
        <v>8451.865453499999</v>
      </c>
      <c r="G34" s="5">
        <f>F34*$B$2</f>
        <v>13522.9847256</v>
      </c>
      <c r="H34" s="5">
        <f>G34*$B$3</f>
        <v>1081.838778048</v>
      </c>
      <c r="I34" s="5">
        <f>G34-H34</f>
        <v>12441.145947551999</v>
      </c>
      <c r="J34" s="6">
        <f>I34/F34</f>
        <v>1.472</v>
      </c>
    </row>
  </sheetData>
  <autoFilter ref="A5:J34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46" customWidth="1"/>
    <col min="2" max="2" width="24" customWidth="1"/>
    <col min="3" max="3" width="8" customWidth="1"/>
    <col min="5" max="6" width="17" customWidth="1"/>
    <col min="7" max="7" width="24" customWidth="1"/>
    <col min="8" max="9" width="17" customWidth="1"/>
    <col min="10" max="10" width="16" customWidth="1"/>
  </cols>
  <sheetData>
    <row r="1" spans="1:2" x14ac:dyDescent="0.25">
      <c r="A1" s="1" t="s">
        <v>0</v>
      </c>
      <c r="B1">
        <v>1.13</v>
      </c>
    </row>
    <row r="2" spans="1:2" x14ac:dyDescent="0.25">
      <c r="A2" s="1" t="s">
        <v>60</v>
      </c>
      <c r="B2">
        <v>1.4</v>
      </c>
    </row>
    <row r="3" spans="1:2" x14ac:dyDescent="0.25">
      <c r="A3" s="1" t="s">
        <v>2</v>
      </c>
      <c r="B3" s="2">
        <v>0.08</v>
      </c>
    </row>
    <row r="5" ht="42" customHeight="1" spans="1:1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61</v>
      </c>
      <c r="H5" s="3" t="s">
        <v>10</v>
      </c>
      <c r="I5" s="3" t="s">
        <v>11</v>
      </c>
      <c r="J5" s="3" t="s">
        <v>62</v>
      </c>
    </row>
    <row r="6" spans="1:10" x14ac:dyDescent="0.25">
      <c r="A6" t="s">
        <v>13</v>
      </c>
      <c r="B6" t="s">
        <v>14</v>
      </c>
      <c r="C6" s="4">
        <v>2022</v>
      </c>
      <c r="D6" s="4">
        <v>20</v>
      </c>
      <c r="E6" s="5">
        <v>1505.11125</v>
      </c>
      <c r="F6" s="5">
        <f>E6*$B$1</f>
        <v>1700.7757124999998</v>
      </c>
      <c r="G6" s="5">
        <f>F6*$B$2/(1-$B$3)</f>
        <v>2588.136953804347</v>
      </c>
      <c r="H6" s="5">
        <f>G6*$B$3</f>
        <v>207.05095630434775</v>
      </c>
      <c r="I6" s="5">
        <f>G6-H6</f>
        <v>2381.085997499999</v>
      </c>
      <c r="J6" s="6">
        <f>I6/F6</f>
        <v>1.3999999999999995</v>
      </c>
    </row>
    <row r="7" spans="1:10" x14ac:dyDescent="0.25">
      <c r="A7" s="7" t="s">
        <v>15</v>
      </c>
      <c r="B7" s="7" t="s">
        <v>16</v>
      </c>
      <c r="C7" s="8">
        <v>2021</v>
      </c>
      <c r="D7" s="8">
        <v>3</v>
      </c>
      <c r="E7" s="9">
        <v>1579.4269499999998</v>
      </c>
      <c r="F7" s="9">
        <f>E7*$B$1</f>
        <v>1784.7524534999995</v>
      </c>
      <c r="G7" s="9">
        <f>F7*$B$2/(1-$B$3)</f>
        <v>2715.927646630434</v>
      </c>
      <c r="H7" s="9">
        <f>G7*$B$3</f>
        <v>217.27421173043473</v>
      </c>
      <c r="I7" s="9">
        <f>G7-H7</f>
        <v>2498.6534348999994</v>
      </c>
      <c r="J7" s="10">
        <f>I7/F7</f>
        <v>1.4000000000000001</v>
      </c>
    </row>
    <row r="8" spans="1:10" x14ac:dyDescent="0.25">
      <c r="A8" t="s">
        <v>17</v>
      </c>
      <c r="B8" t="s">
        <v>18</v>
      </c>
      <c r="C8" s="4">
        <v>2023</v>
      </c>
      <c r="D8" s="4">
        <v>45</v>
      </c>
      <c r="E8" s="5">
        <v>1588.4368499999998</v>
      </c>
      <c r="F8" s="5">
        <f>E8*$B$1</f>
        <v>1794.9336404999997</v>
      </c>
      <c r="G8" s="5">
        <f>F8*$B$2/(1-$B$3)</f>
        <v>2731.420757282608</v>
      </c>
      <c r="H8" s="5">
        <f>G8*$B$3</f>
        <v>218.51366058260865</v>
      </c>
      <c r="I8" s="5">
        <f>G8-H8</f>
        <v>2512.9070966999993</v>
      </c>
      <c r="J8" s="6">
        <f>I8/F8</f>
        <v>1.4</v>
      </c>
    </row>
    <row r="9" spans="1:10" x14ac:dyDescent="0.25">
      <c r="A9" s="7" t="s">
        <v>19</v>
      </c>
      <c r="B9" s="7" t="s">
        <v>18</v>
      </c>
      <c r="C9" s="8">
        <v>2023</v>
      </c>
      <c r="D9" s="8">
        <v>36</v>
      </c>
      <c r="E9" s="9">
        <v>1588.4368499999998</v>
      </c>
      <c r="F9" s="9">
        <f>E9*$B$1</f>
        <v>1794.9336404999997</v>
      </c>
      <c r="G9" s="9">
        <f>F9*$B$2/(1-$B$3)</f>
        <v>2731.420757282608</v>
      </c>
      <c r="H9" s="9">
        <f>G9*$B$3</f>
        <v>218.51366058260865</v>
      </c>
      <c r="I9" s="9">
        <f>G9-H9</f>
        <v>2512.9070966999993</v>
      </c>
      <c r="J9" s="10">
        <f>I9/F9</f>
        <v>1.4</v>
      </c>
    </row>
    <row r="10" spans="1:10" x14ac:dyDescent="0.25">
      <c r="A10" t="s">
        <v>20</v>
      </c>
      <c r="B10" t="s">
        <v>21</v>
      </c>
      <c r="C10" s="4">
        <v>2023</v>
      </c>
      <c r="D10" s="4">
        <v>1</v>
      </c>
      <c r="E10" s="5">
        <v>1701.8380499999998</v>
      </c>
      <c r="F10" s="5">
        <f>E10*$B$1</f>
        <v>1923.0769964999997</v>
      </c>
      <c r="G10" s="5">
        <f>F10*$B$2/(1-$B$3)</f>
        <v>2926.421516413043</v>
      </c>
      <c r="H10" s="5">
        <f>G10*$B$3</f>
        <v>234.11372131304344</v>
      </c>
      <c r="I10" s="5">
        <f>G10-H10</f>
        <v>2692.3077950999996</v>
      </c>
      <c r="J10" s="6">
        <f>I10/F10</f>
        <v>1.4</v>
      </c>
    </row>
    <row r="11" spans="1:10" x14ac:dyDescent="0.25">
      <c r="A11" s="7" t="s">
        <v>22</v>
      </c>
      <c r="B11" s="7" t="s">
        <v>23</v>
      </c>
      <c r="C11" s="8">
        <v>2022</v>
      </c>
      <c r="D11" s="8">
        <v>4</v>
      </c>
      <c r="E11" s="9">
        <v>1760.4662999999998</v>
      </c>
      <c r="F11" s="9">
        <f>E11*$B$1</f>
        <v>1989.3269189999996</v>
      </c>
      <c r="G11" s="9">
        <f>F11*$B$2/(1-$B$3)</f>
        <v>3027.236615869564</v>
      </c>
      <c r="H11" s="9">
        <f>G11*$B$3</f>
        <v>242.17892926956512</v>
      </c>
      <c r="I11" s="9">
        <f>G11-H11</f>
        <v>2785.0576865999988</v>
      </c>
      <c r="J11" s="10">
        <f>I11/F11</f>
        <v>1.3999999999999997</v>
      </c>
    </row>
    <row r="12" spans="1:10" x14ac:dyDescent="0.25">
      <c r="A12" t="s">
        <v>24</v>
      </c>
      <c r="B12" t="s">
        <v>24</v>
      </c>
      <c r="C12" s="4">
        <v>2002</v>
      </c>
      <c r="D12" s="4">
        <v>39</v>
      </c>
      <c r="E12" s="5">
        <v>1808.5191</v>
      </c>
      <c r="F12" s="5">
        <f>E12*$B$1</f>
        <v>2043.6265829999998</v>
      </c>
      <c r="G12" s="5">
        <f>F12*$B$2/(1-$B$3)</f>
        <v>3109.8665393478254</v>
      </c>
      <c r="H12" s="5">
        <f>G12*$B$3</f>
        <v>248.78932314782605</v>
      </c>
      <c r="I12" s="5">
        <f>G12-H12</f>
        <v>2861.0772161999994</v>
      </c>
      <c r="J12" s="6">
        <f>I12/F12</f>
        <v>1.4</v>
      </c>
    </row>
    <row r="13" spans="1:10" x14ac:dyDescent="0.25">
      <c r="A13" s="7" t="s">
        <v>25</v>
      </c>
      <c r="B13" s="7" t="s">
        <v>26</v>
      </c>
      <c r="C13" s="8">
        <v>2022</v>
      </c>
      <c r="D13" s="8">
        <v>28</v>
      </c>
      <c r="E13" s="9">
        <v>1809.8290499999998</v>
      </c>
      <c r="F13" s="9">
        <f>E13*$B$1</f>
        <v>2045.1068264999997</v>
      </c>
      <c r="G13" s="9">
        <f>F13*$B$2/(1-$B$3)</f>
        <v>3112.119083804347</v>
      </c>
      <c r="H13" s="9">
        <f>G13*$B$3</f>
        <v>248.96952670434777</v>
      </c>
      <c r="I13" s="9">
        <f>G13-H13</f>
        <v>2863.1495570999996</v>
      </c>
      <c r="J13" s="10">
        <f>I13/F13</f>
        <v>1.4000000000000001</v>
      </c>
    </row>
    <row r="14" spans="1:10" x14ac:dyDescent="0.25">
      <c r="A14" t="s">
        <v>27</v>
      </c>
      <c r="B14" t="s">
        <v>28</v>
      </c>
      <c r="C14" s="4">
        <v>2023</v>
      </c>
      <c r="D14" s="4">
        <v>9</v>
      </c>
      <c r="E14" s="5">
        <v>1852.79115</v>
      </c>
      <c r="F14" s="5">
        <f>E14*$B$1</f>
        <v>2093.6539995</v>
      </c>
      <c r="G14" s="5">
        <f>F14*$B$2/(1-$B$3)</f>
        <v>3185.9952166304342</v>
      </c>
      <c r="H14" s="5">
        <f>G14*$B$3</f>
        <v>254.87961733043474</v>
      </c>
      <c r="I14" s="5">
        <f>G14-H14</f>
        <v>2931.1155992999993</v>
      </c>
      <c r="J14" s="6">
        <f>I14/F14</f>
        <v>1.3999999999999997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Precificação</vt:lpstr>
      <vt:lpstr>Markup 1,4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2026-09-23T21:12:35Z</dcterms:created>
  <dcterms:modified xsi:type="dcterms:W3CDTF">2026-09-23T21:12:35Z</dcterms:modified>
</cp:coreProperties>
</file>