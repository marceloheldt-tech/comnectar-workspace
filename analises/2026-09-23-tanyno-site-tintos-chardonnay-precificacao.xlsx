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ecificação" state="visible" r:id="rId4"/>
  </sheets>
  <calcPr calcId="171027"/>
</workbook>
</file>

<file path=xl/sharedStrings.xml><?xml version="1.0" encoding="utf-8"?>
<sst xmlns="http://schemas.openxmlformats.org/spreadsheetml/2006/main" count="100" uniqueCount="70">
  <si>
    <t>Fator sobre A37</t>
  </si>
  <si>
    <t>Markup</t>
  </si>
  <si>
    <t>Simples Nacional (sobre a venda)</t>
  </si>
  <si>
    <t>Vinho</t>
  </si>
  <si>
    <t>Produtor</t>
  </si>
  <si>
    <t>Safra</t>
  </si>
  <si>
    <t>Estoque</t>
  </si>
  <si>
    <t>A37 (site Tanyno)</t>
  </si>
  <si>
    <t>Custo (A37 × 1,13)</t>
  </si>
  <si>
    <t>Preço de venda (custo × 1,6)</t>
  </si>
  <si>
    <t>Simples 8% sobre a venda</t>
  </si>
  <si>
    <t>Venda após Simples</t>
  </si>
  <si>
    <t>Markup (após Simples ÷ custo)</t>
  </si>
  <si>
    <t>LE SERRE NUOVE DELL'ORNELLAIA MAGNUM</t>
  </si>
  <si>
    <t>ORNELLAIA S.R.L</t>
  </si>
  <si>
    <t>2022</t>
  </si>
  <si>
    <t>BAROLO DOCG PAIAGALLO MAGNUM</t>
  </si>
  <si>
    <t>MAURO VEGLIO</t>
  </si>
  <si>
    <t>2021</t>
  </si>
  <si>
    <t>CHASSAGNE-MONTRACHET 1ER CRU "EN REMILLY"</t>
  </si>
  <si>
    <t>XAVIER MONNOT</t>
  </si>
  <si>
    <t>2023</t>
  </si>
  <si>
    <t>PULIGNY-MONTRACHET 1ER CRU "LES FOLATIÈRES"</t>
  </si>
  <si>
    <t>NUITS-SAINT-GEORGES MAGNUM</t>
  </si>
  <si>
    <t>LES PETITS LIEUX</t>
  </si>
  <si>
    <t>VOUGEOT 1ER CRU "LES CRÂS"</t>
  </si>
  <si>
    <t>MONGEARD-MUGNERET</t>
  </si>
  <si>
    <t>CHÂTEAU VALANDRAUD</t>
  </si>
  <si>
    <t>CHATEAU VALANDRAUD</t>
  </si>
  <si>
    <t>2002</t>
  </si>
  <si>
    <t>GEVREY-CHAMBERTIN 1ER CRU "LES CAZETIERS"</t>
  </si>
  <si>
    <t>DOMAINE SÉRAFIN</t>
  </si>
  <si>
    <t>GEVREY-CHAMBERTIN 1ER CRU "LES CORBEAUX"</t>
  </si>
  <si>
    <t>JANE EYRE</t>
  </si>
  <si>
    <t>NUITS-SAINT-GEORGES 1ER CRU "AUX BOUDOTS"</t>
  </si>
  <si>
    <t>DOMAINE JEAN GRIVOT</t>
  </si>
  <si>
    <t>CIRSION</t>
  </si>
  <si>
    <t>BODEGAS RODA S.A</t>
  </si>
  <si>
    <t>2019</t>
  </si>
  <si>
    <t>ORNELLAIA</t>
  </si>
  <si>
    <t>VOLNAY 1ER CRU CLOS DES 60 OUVREES MAGNUM</t>
  </si>
  <si>
    <t>LA POUSSE D'OR</t>
  </si>
  <si>
    <t>NUITS-SAINT-GEORGES "LES PLATEAUX" MAGNUM</t>
  </si>
  <si>
    <t>CHATEAU PICHON LONGUEVILLE COMTESSE DE LALANDE</t>
  </si>
  <si>
    <t>COMTESSE DE LALANDE</t>
  </si>
  <si>
    <t>2006</t>
  </si>
  <si>
    <t>CHATEAU LES CARMES HAUT-BRION</t>
  </si>
  <si>
    <t>LES CARMES HT-BRION</t>
  </si>
  <si>
    <t>2016</t>
  </si>
  <si>
    <t>MEURSAULT CHARMES 1ER CRU MAGNUM</t>
  </si>
  <si>
    <t>DOMAINE GUY BOCARD</t>
  </si>
  <si>
    <t>CHARMES-CHAMBERTIN GRAND CRU</t>
  </si>
  <si>
    <t>LE SERRE NUOVE DELL'ORNELLAIA DOUBLE MAGNUM</t>
  </si>
  <si>
    <t>CORTON-CHARLEMAGNE</t>
  </si>
  <si>
    <t>MICHEL JUILLOT</t>
  </si>
  <si>
    <t>CLOS DE VOUGEOT</t>
  </si>
  <si>
    <t>BONNES MARES GRAND CRU</t>
  </si>
  <si>
    <t>J.P. MARCHAND</t>
  </si>
  <si>
    <t>LODOVICO</t>
  </si>
  <si>
    <t>TENUTA DI BISERNO</t>
  </si>
  <si>
    <t>2020</t>
  </si>
  <si>
    <t>LE PETIT MOUTON DE MOUTON ROTHSCHILD</t>
  </si>
  <si>
    <t>MOUTON ROTHSCHILD</t>
  </si>
  <si>
    <t>BATARD-MONTRACHET</t>
  </si>
  <si>
    <t>JEAN CHARTRON</t>
  </si>
  <si>
    <t>CHEVALIER-MONTRACHET GRAND CRU "CLOS DES CHEVALIERS" MONOPOLE</t>
  </si>
  <si>
    <t>CHATEAU HAUT BRION</t>
  </si>
  <si>
    <t>CLARENCE DILLON</t>
  </si>
  <si>
    <t>CHAMBERTIN GRAND CRU</t>
  </si>
  <si>
    <t>DOMAINE TRAPET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</si>
</sst>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R$&quot; #,##0.00"/>
    <numFmt numFmtId="165" formatCode="0.000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FormatPr defaultRowHeight="15" outlineLevelRow="0" outlineLevelCol="0" x14ac:dyDescent="55"/>
  <cols>
    <col min="1" max="1" width="55" customWidth="1"/>
    <col min="2" max="2" width="24" customWidth="1"/>
    <col min="3" max="3" width="8" customWidth="1"/>
    <col min="5" max="6" width="16" customWidth="1"/>
    <col min="7" max="7" width="20" customWidth="1"/>
    <col min="8" max="10" width="16" customWidth="1"/>
  </cols>
  <sheetData>
    <row r="1" spans="1:2" x14ac:dyDescent="0.25">
      <c r="A1" t="s">
        <v>0</v>
      </c>
      <c r="B1">
        <v>1.13</v>
      </c>
    </row>
    <row r="2" spans="1:2" x14ac:dyDescent="0.25">
      <c r="A2" t="s">
        <v>1</v>
      </c>
      <c r="B2">
        <v>1.6</v>
      </c>
    </row>
    <row r="3" spans="1:2" x14ac:dyDescent="0.25">
      <c r="A3" t="s">
        <v>2</v>
      </c>
      <c r="B3">
        <v>0.08</v>
      </c>
    </row>
    <row r="5" spans="1:10" s="1" customFormat="1" x14ac:dyDescent="0.2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  <c r="I5" s="1" t="s">
        <v>11</v>
      </c>
      <c r="J5" s="1" t="s">
        <v>12</v>
      </c>
    </row>
    <row r="6" spans="1:10" x14ac:dyDescent="0.25">
      <c r="A6" t="s">
        <v>13</v>
      </c>
      <c r="B6" t="s">
        <v>14</v>
      </c>
      <c r="C6" t="s">
        <v>15</v>
      </c>
      <c r="D6">
        <v>20</v>
      </c>
      <c r="E6" s="2">
        <v>1505.11125</v>
      </c>
      <c r="F6" s="2">
        <f>E6*$B$1</f>
      </c>
      <c r="G6" s="2">
        <f>F6*$B$2</f>
      </c>
      <c r="H6" s="2">
        <f>G6*$B$3</f>
      </c>
      <c r="I6" s="2">
        <f>G6-H6</f>
      </c>
      <c r="J6" s="3">
        <f>I6/F6</f>
      </c>
    </row>
    <row r="7" spans="1:10" x14ac:dyDescent="0.25">
      <c r="A7" t="s">
        <v>16</v>
      </c>
      <c r="B7" t="s">
        <v>17</v>
      </c>
      <c r="C7" t="s">
        <v>18</v>
      </c>
      <c r="D7">
        <v>3</v>
      </c>
      <c r="E7" s="2">
        <v>1579.4269499999998</v>
      </c>
      <c r="F7" s="2">
        <f>E7*$B$1</f>
      </c>
      <c r="G7" s="2">
        <f>F7*$B$2</f>
      </c>
      <c r="H7" s="2">
        <f>G7*$B$3</f>
      </c>
      <c r="I7" s="2">
        <f>G7-H7</f>
      </c>
      <c r="J7" s="3">
        <f>I7/F7</f>
      </c>
    </row>
    <row r="8" spans="1:10" x14ac:dyDescent="0.25">
      <c r="A8" t="s">
        <v>19</v>
      </c>
      <c r="B8" t="s">
        <v>20</v>
      </c>
      <c r="C8" t="s">
        <v>21</v>
      </c>
      <c r="D8">
        <v>45</v>
      </c>
      <c r="E8" s="2">
        <v>1588.4368499999998</v>
      </c>
      <c r="F8" s="2">
        <f>E8*$B$1</f>
      </c>
      <c r="G8" s="2">
        <f>F8*$B$2</f>
      </c>
      <c r="H8" s="2">
        <f>G8*$B$3</f>
      </c>
      <c r="I8" s="2">
        <f>G8-H8</f>
      </c>
      <c r="J8" s="3">
        <f>I8/F8</f>
      </c>
    </row>
    <row r="9" spans="1:10" x14ac:dyDescent="0.25">
      <c r="A9" t="s">
        <v>22</v>
      </c>
      <c r="B9" t="s">
        <v>20</v>
      </c>
      <c r="C9" t="s">
        <v>21</v>
      </c>
      <c r="D9">
        <v>36</v>
      </c>
      <c r="E9" s="2">
        <v>1588.4368499999998</v>
      </c>
      <c r="F9" s="2">
        <f>E9*$B$1</f>
      </c>
      <c r="G9" s="2">
        <f>F9*$B$2</f>
      </c>
      <c r="H9" s="2">
        <f>G9*$B$3</f>
      </c>
      <c r="I9" s="2">
        <f>G9-H9</f>
      </c>
      <c r="J9" s="3">
        <f>I9/F9</f>
      </c>
    </row>
    <row r="10" spans="1:10" x14ac:dyDescent="0.25">
      <c r="A10" t="s">
        <v>23</v>
      </c>
      <c r="B10" t="s">
        <v>24</v>
      </c>
      <c r="C10" t="s">
        <v>21</v>
      </c>
      <c r="D10">
        <v>1</v>
      </c>
      <c r="E10" s="2">
        <v>1701.8380499999998</v>
      </c>
      <c r="F10" s="2">
        <f>E10*$B$1</f>
      </c>
      <c r="G10" s="2">
        <f>F10*$B$2</f>
      </c>
      <c r="H10" s="2">
        <f>G10*$B$3</f>
      </c>
      <c r="I10" s="2">
        <f>G10-H10</f>
      </c>
      <c r="J10" s="3">
        <f>I10/F10</f>
      </c>
    </row>
    <row r="11" spans="1:10" x14ac:dyDescent="0.25">
      <c r="A11" t="s">
        <v>25</v>
      </c>
      <c r="B11" t="s">
        <v>26</v>
      </c>
      <c r="C11" t="s">
        <v>15</v>
      </c>
      <c r="D11">
        <v>4</v>
      </c>
      <c r="E11" s="2">
        <v>1760.4662999999998</v>
      </c>
      <c r="F11" s="2">
        <f>E11*$B$1</f>
      </c>
      <c r="G11" s="2">
        <f>F11*$B$2</f>
      </c>
      <c r="H11" s="2">
        <f>G11*$B$3</f>
      </c>
      <c r="I11" s="2">
        <f>G11-H11</f>
      </c>
      <c r="J11" s="3">
        <f>I11/F11</f>
      </c>
    </row>
    <row r="12" spans="1:10" x14ac:dyDescent="0.25">
      <c r="A12" t="s">
        <v>27</v>
      </c>
      <c r="B12" t="s">
        <v>28</v>
      </c>
      <c r="C12" t="s">
        <v>29</v>
      </c>
      <c r="D12">
        <v>39</v>
      </c>
      <c r="E12" s="2">
        <v>1808.5191</v>
      </c>
      <c r="F12" s="2">
        <f>E12*$B$1</f>
      </c>
      <c r="G12" s="2">
        <f>F12*$B$2</f>
      </c>
      <c r="H12" s="2">
        <f>G12*$B$3</f>
      </c>
      <c r="I12" s="2">
        <f>G12-H12</f>
      </c>
      <c r="J12" s="3">
        <f>I12/F12</f>
      </c>
    </row>
    <row r="13" spans="1:10" x14ac:dyDescent="0.25">
      <c r="A13" t="s">
        <v>30</v>
      </c>
      <c r="B13" t="s">
        <v>31</v>
      </c>
      <c r="C13" t="s">
        <v>15</v>
      </c>
      <c r="D13">
        <v>28</v>
      </c>
      <c r="E13" s="2">
        <v>1809.8290499999998</v>
      </c>
      <c r="F13" s="2">
        <f>E13*$B$1</f>
      </c>
      <c r="G13" s="2">
        <f>F13*$B$2</f>
      </c>
      <c r="H13" s="2">
        <f>G13*$B$3</f>
      </c>
      <c r="I13" s="2">
        <f>G13-H13</f>
      </c>
      <c r="J13" s="3">
        <f>I13/F13</f>
      </c>
    </row>
    <row r="14" spans="1:10" x14ac:dyDescent="0.25">
      <c r="A14" t="s">
        <v>32</v>
      </c>
      <c r="B14" t="s">
        <v>33</v>
      </c>
      <c r="C14" t="s">
        <v>21</v>
      </c>
      <c r="D14">
        <v>9</v>
      </c>
      <c r="E14" s="2">
        <v>1852.79115</v>
      </c>
      <c r="F14" s="2">
        <f>E14*$B$1</f>
      </c>
      <c r="G14" s="2">
        <f>F14*$B$2</f>
      </c>
      <c r="H14" s="2">
        <f>G14*$B$3</f>
      </c>
      <c r="I14" s="2">
        <f>G14-H14</f>
      </c>
      <c r="J14" s="3">
        <f>I14/F14</f>
      </c>
    </row>
    <row r="15" spans="1:10" x14ac:dyDescent="0.25">
      <c r="A15" t="s">
        <v>34</v>
      </c>
      <c r="B15" t="s">
        <v>35</v>
      </c>
      <c r="C15" t="s">
        <v>15</v>
      </c>
      <c r="D15">
        <v>5</v>
      </c>
      <c r="E15" s="2">
        <v>2067.87855</v>
      </c>
      <c r="F15" s="2">
        <f>E15*$B$1</f>
      </c>
      <c r="G15" s="2">
        <f>F15*$B$2</f>
      </c>
      <c r="H15" s="2">
        <f>G15*$B$3</f>
      </c>
      <c r="I15" s="2">
        <f>G15-H15</f>
      </c>
      <c r="J15" s="3">
        <f>I15/F15</f>
      </c>
    </row>
    <row r="16" spans="1:10" x14ac:dyDescent="0.25">
      <c r="A16" t="s">
        <v>36</v>
      </c>
      <c r="B16" t="s">
        <v>37</v>
      </c>
      <c r="C16" t="s">
        <v>38</v>
      </c>
      <c r="D16">
        <v>23</v>
      </c>
      <c r="E16" s="2">
        <v>2120.40435</v>
      </c>
      <c r="F16" s="2">
        <f>E16*$B$1</f>
      </c>
      <c r="G16" s="2">
        <f>F16*$B$2</f>
      </c>
      <c r="H16" s="2">
        <f>G16*$B$3</f>
      </c>
      <c r="I16" s="2">
        <f>G16-H16</f>
      </c>
      <c r="J16" s="3">
        <f>I16/F16</f>
      </c>
    </row>
    <row r="17" spans="1:10" x14ac:dyDescent="0.25">
      <c r="A17" t="s">
        <v>39</v>
      </c>
      <c r="B17" t="s">
        <v>14</v>
      </c>
      <c r="C17" t="s">
        <v>15</v>
      </c>
      <c r="D17">
        <v>52</v>
      </c>
      <c r="E17" s="2">
        <v>2172.46155</v>
      </c>
      <c r="F17" s="2">
        <f>E17*$B$1</f>
      </c>
      <c r="G17" s="2">
        <f>F17*$B$2</f>
      </c>
      <c r="H17" s="2">
        <f>G17*$B$3</f>
      </c>
      <c r="I17" s="2">
        <f>G17-H17</f>
      </c>
      <c r="J17" s="3">
        <f>I17/F17</f>
      </c>
    </row>
    <row r="18" spans="1:10" x14ac:dyDescent="0.25">
      <c r="A18" t="s">
        <v>40</v>
      </c>
      <c r="B18" t="s">
        <v>41</v>
      </c>
      <c r="C18" t="s">
        <v>21</v>
      </c>
      <c r="D18">
        <v>1</v>
      </c>
      <c r="E18" s="2">
        <v>2181.68445</v>
      </c>
      <c r="F18" s="2">
        <f>E18*$B$1</f>
      </c>
      <c r="G18" s="2">
        <f>F18*$B$2</f>
      </c>
      <c r="H18" s="2">
        <f>G18*$B$3</f>
      </c>
      <c r="I18" s="2">
        <f>G18-H18</f>
      </c>
      <c r="J18" s="3">
        <f>I18/F18</f>
      </c>
    </row>
    <row r="19" spans="1:10" x14ac:dyDescent="0.25">
      <c r="A19" t="s">
        <v>42</v>
      </c>
      <c r="B19" t="s">
        <v>26</v>
      </c>
      <c r="C19" t="s">
        <v>15</v>
      </c>
      <c r="D19">
        <v>1</v>
      </c>
      <c r="E19" s="2">
        <v>2212.54815</v>
      </c>
      <c r="F19" s="2">
        <f>E19*$B$1</f>
      </c>
      <c r="G19" s="2">
        <f>F19*$B$2</f>
      </c>
      <c r="H19" s="2">
        <f>G19*$B$3</f>
      </c>
      <c r="I19" s="2">
        <f>G19-H19</f>
      </c>
      <c r="J19" s="3">
        <f>I19/F19</f>
      </c>
    </row>
    <row r="20" spans="1:10" x14ac:dyDescent="0.25">
      <c r="A20" t="s">
        <v>43</v>
      </c>
      <c r="B20" t="s">
        <v>44</v>
      </c>
      <c r="C20" t="s">
        <v>45</v>
      </c>
      <c r="D20">
        <v>24</v>
      </c>
      <c r="E20" s="2">
        <v>2373.7785</v>
      </c>
      <c r="F20" s="2">
        <f>E20*$B$1</f>
      </c>
      <c r="G20" s="2">
        <f>F20*$B$2</f>
      </c>
      <c r="H20" s="2">
        <f>G20*$B$3</f>
      </c>
      <c r="I20" s="2">
        <f>G20-H20</f>
      </c>
      <c r="J20" s="3">
        <f>I20/F20</f>
      </c>
    </row>
    <row r="21" spans="1:10" x14ac:dyDescent="0.25">
      <c r="A21" t="s">
        <v>46</v>
      </c>
      <c r="B21" t="s">
        <v>47</v>
      </c>
      <c r="C21" t="s">
        <v>48</v>
      </c>
      <c r="D21">
        <v>2</v>
      </c>
      <c r="E21" s="2">
        <v>2437.90215</v>
      </c>
      <c r="F21" s="2">
        <f>E21*$B$1</f>
      </c>
      <c r="G21" s="2">
        <f>F21*$B$2</f>
      </c>
      <c r="H21" s="2">
        <f>G21*$B$3</f>
      </c>
      <c r="I21" s="2">
        <f>G21-H21</f>
      </c>
      <c r="J21" s="3">
        <f>I21/F21</f>
      </c>
    </row>
    <row r="22" spans="1:10" x14ac:dyDescent="0.25">
      <c r="A22" t="s">
        <v>49</v>
      </c>
      <c r="B22" t="s">
        <v>50</v>
      </c>
      <c r="C22" t="s">
        <v>21</v>
      </c>
      <c r="D22">
        <v>3</v>
      </c>
      <c r="E22" s="2">
        <v>2497.7445000000002</v>
      </c>
      <c r="F22" s="2">
        <f>E22*$B$1</f>
      </c>
      <c r="G22" s="2">
        <f>F22*$B$2</f>
      </c>
      <c r="H22" s="2">
        <f>G22*$B$3</f>
      </c>
      <c r="I22" s="2">
        <f>G22-H22</f>
      </c>
      <c r="J22" s="3">
        <f>I22/F22</f>
      </c>
    </row>
    <row r="23" spans="1:10" x14ac:dyDescent="0.25">
      <c r="A23" t="s">
        <v>51</v>
      </c>
      <c r="B23" t="s">
        <v>31</v>
      </c>
      <c r="C23" t="s">
        <v>15</v>
      </c>
      <c r="D23">
        <v>23</v>
      </c>
      <c r="E23" s="2">
        <v>2683.66155</v>
      </c>
      <c r="F23" s="2">
        <f>E23*$B$1</f>
      </c>
      <c r="G23" s="2">
        <f>F23*$B$2</f>
      </c>
      <c r="H23" s="2">
        <f>G23*$B$3</f>
      </c>
      <c r="I23" s="2">
        <f>G23-H23</f>
      </c>
      <c r="J23" s="3">
        <f>I23/F23</f>
      </c>
    </row>
    <row r="24" spans="1:10" x14ac:dyDescent="0.25">
      <c r="A24" t="s">
        <v>52</v>
      </c>
      <c r="B24" t="s">
        <v>14</v>
      </c>
      <c r="C24" t="s">
        <v>15</v>
      </c>
      <c r="D24">
        <v>2</v>
      </c>
      <c r="E24" s="2">
        <v>2909.3244</v>
      </c>
      <c r="F24" s="2">
        <f>E24*$B$1</f>
      </c>
      <c r="G24" s="2">
        <f>F24*$B$2</f>
      </c>
      <c r="H24" s="2">
        <f>G24*$B$3</f>
      </c>
      <c r="I24" s="2">
        <f>G24-H24</f>
      </c>
      <c r="J24" s="3">
        <f>I24/F24</f>
      </c>
    </row>
    <row r="25" spans="1:10" x14ac:dyDescent="0.25">
      <c r="A25" t="s">
        <v>53</v>
      </c>
      <c r="B25" t="s">
        <v>54</v>
      </c>
      <c r="C25" t="s">
        <v>15</v>
      </c>
      <c r="D25">
        <v>33</v>
      </c>
      <c r="E25" s="2">
        <v>3057.1250999999997</v>
      </c>
      <c r="F25" s="2">
        <f>E25*$B$1</f>
      </c>
      <c r="G25" s="2">
        <f>F25*$B$2</f>
      </c>
      <c r="H25" s="2">
        <f>G25*$B$3</f>
      </c>
      <c r="I25" s="2">
        <f>G25-H25</f>
      </c>
      <c r="J25" s="3">
        <f>I25/F25</f>
      </c>
    </row>
    <row r="26" spans="1:10" x14ac:dyDescent="0.25">
      <c r="A26" t="s">
        <v>55</v>
      </c>
      <c r="B26" t="s">
        <v>26</v>
      </c>
      <c r="C26" t="s">
        <v>15</v>
      </c>
      <c r="D26">
        <v>13</v>
      </c>
      <c r="E26" s="2">
        <v>3460.2915</v>
      </c>
      <c r="F26" s="2">
        <f>E26*$B$1</f>
      </c>
      <c r="G26" s="2">
        <f>F26*$B$2</f>
      </c>
      <c r="H26" s="2">
        <f>G26*$B$3</f>
      </c>
      <c r="I26" s="2">
        <f>G26-H26</f>
      </c>
      <c r="J26" s="3">
        <f>I26/F26</f>
      </c>
    </row>
    <row r="27" spans="1:10" x14ac:dyDescent="0.25">
      <c r="A27" t="s">
        <v>55</v>
      </c>
      <c r="B27" t="s">
        <v>35</v>
      </c>
      <c r="C27" t="s">
        <v>15</v>
      </c>
      <c r="D27">
        <v>4</v>
      </c>
      <c r="E27" s="2">
        <v>3633.5989499999996</v>
      </c>
      <c r="F27" s="2">
        <f>E27*$B$1</f>
      </c>
      <c r="G27" s="2">
        <f>F27*$B$2</f>
      </c>
      <c r="H27" s="2">
        <f>G27*$B$3</f>
      </c>
      <c r="I27" s="2">
        <f>G27-H27</f>
      </c>
      <c r="J27" s="3">
        <f>I27/F27</f>
      </c>
    </row>
    <row r="28" spans="1:10" x14ac:dyDescent="0.25">
      <c r="A28" t="s">
        <v>56</v>
      </c>
      <c r="B28" t="s">
        <v>57</v>
      </c>
      <c r="C28" t="s">
        <v>38</v>
      </c>
      <c r="D28">
        <v>16</v>
      </c>
      <c r="E28" s="2">
        <v>3900.4559999999997</v>
      </c>
      <c r="F28" s="2">
        <f>E28*$B$1</f>
      </c>
      <c r="G28" s="2">
        <f>F28*$B$2</f>
      </c>
      <c r="H28" s="2">
        <f>G28*$B$3</f>
      </c>
      <c r="I28" s="2">
        <f>G28-H28</f>
      </c>
      <c r="J28" s="3">
        <f>I28/F28</f>
      </c>
    </row>
    <row r="29" spans="1:10" x14ac:dyDescent="0.25">
      <c r="A29" t="s">
        <v>58</v>
      </c>
      <c r="B29" t="s">
        <v>59</v>
      </c>
      <c r="C29" t="s">
        <v>60</v>
      </c>
      <c r="D29">
        <v>14</v>
      </c>
      <c r="E29" s="2">
        <v>4406.89545</v>
      </c>
      <c r="F29" s="2">
        <f>E29*$B$1</f>
      </c>
      <c r="G29" s="2">
        <f>F29*$B$2</f>
      </c>
      <c r="H29" s="2">
        <f>G29*$B$3</f>
      </c>
      <c r="I29" s="2">
        <f>G29-H29</f>
      </c>
      <c r="J29" s="3">
        <f>I29/F29</f>
      </c>
    </row>
    <row r="30" spans="1:10" x14ac:dyDescent="0.25">
      <c r="A30" t="s">
        <v>61</v>
      </c>
      <c r="B30" t="s">
        <v>62</v>
      </c>
      <c r="C30" t="s">
        <v>48</v>
      </c>
      <c r="D30">
        <v>1</v>
      </c>
      <c r="E30" s="2">
        <v>4502.04255</v>
      </c>
      <c r="F30" s="2">
        <f>E30*$B$1</f>
      </c>
      <c r="G30" s="2">
        <f>F30*$B$2</f>
      </c>
      <c r="H30" s="2">
        <f>G30*$B$3</f>
      </c>
      <c r="I30" s="2">
        <f>G30-H30</f>
      </c>
      <c r="J30" s="3">
        <f>I30/F30</f>
      </c>
    </row>
    <row r="31" spans="1:10" x14ac:dyDescent="0.25">
      <c r="A31" t="s">
        <v>63</v>
      </c>
      <c r="B31" t="s">
        <v>64</v>
      </c>
      <c r="C31" t="s">
        <v>21</v>
      </c>
      <c r="D31">
        <v>22</v>
      </c>
      <c r="E31" s="2">
        <v>4886.8377</v>
      </c>
      <c r="F31" s="2">
        <f>E31*$B$1</f>
      </c>
      <c r="G31" s="2">
        <f>F31*$B$2</f>
      </c>
      <c r="H31" s="2">
        <f>G31*$B$3</f>
      </c>
      <c r="I31" s="2">
        <f>G31-H31</f>
      </c>
      <c r="J31" s="3">
        <f>I31/F31</f>
      </c>
    </row>
    <row r="32" spans="1:10" x14ac:dyDescent="0.25">
      <c r="A32" t="s">
        <v>65</v>
      </c>
      <c r="B32" t="s">
        <v>64</v>
      </c>
      <c r="C32" t="s">
        <v>21</v>
      </c>
      <c r="D32">
        <v>25</v>
      </c>
      <c r="E32" s="2">
        <v>6398.3922</v>
      </c>
      <c r="F32" s="2">
        <f>E32*$B$1</f>
      </c>
      <c r="G32" s="2">
        <f>F32*$B$2</f>
      </c>
      <c r="H32" s="2">
        <f>G32*$B$3</f>
      </c>
      <c r="I32" s="2">
        <f>G32-H32</f>
      </c>
      <c r="J32" s="3">
        <f>I32/F32</f>
      </c>
    </row>
    <row r="33" spans="1:10" x14ac:dyDescent="0.25">
      <c r="A33" t="s">
        <v>66</v>
      </c>
      <c r="B33" t="s">
        <v>67</v>
      </c>
      <c r="C33" t="s">
        <v>45</v>
      </c>
      <c r="D33">
        <v>2</v>
      </c>
      <c r="E33" s="2">
        <v>7386.0518999999995</v>
      </c>
      <c r="F33" s="2">
        <f>E33*$B$1</f>
      </c>
      <c r="G33" s="2">
        <f>F33*$B$2</f>
      </c>
      <c r="H33" s="2">
        <f>G33*$B$3</f>
      </c>
      <c r="I33" s="2">
        <f>G33-H33</f>
      </c>
      <c r="J33" s="3">
        <f>I33/F33</f>
      </c>
    </row>
    <row r="34" spans="1:10" x14ac:dyDescent="0.25">
      <c r="A34" t="s">
        <v>68</v>
      </c>
      <c r="B34" t="s">
        <v>69</v>
      </c>
      <c r="C34" t="s">
        <v>15</v>
      </c>
      <c r="D34">
        <v>17</v>
      </c>
      <c r="E34" s="2">
        <v>7479.5269499999995</v>
      </c>
      <c r="F34" s="2">
        <f>E34*$B$1</f>
      </c>
      <c r="G34" s="2">
        <f>F34*$B$2</f>
      </c>
      <c r="H34" s="2">
        <f>G34*$B$3</f>
      </c>
      <c r="I34" s="2">
        <f>G34-H34</f>
      </c>
      <c r="J34" s="3">
        <f>I34/F34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Precificação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2026-09-23T21:08:21Z</dcterms:created>
  <dcterms:modified xsi:type="dcterms:W3CDTF">2026-09-23T21:08:21Z</dcterms:modified>
</cp:coreProperties>
</file>