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ecificação" state="visible" r:id="rId4"/>
  </sheets>
  <calcPr calcId="171027"/>
</workbook>
</file>

<file path=xl/sharedStrings.xml><?xml version="1.0" encoding="utf-8"?>
<sst xmlns="http://schemas.openxmlformats.org/spreadsheetml/2006/main" count="38" uniqueCount="31">
  <si>
    <t>Fator sobre A37</t>
  </si>
  <si>
    <t>Imposto de renda (sobre a venda)</t>
  </si>
  <si>
    <t>Vinho</t>
  </si>
  <si>
    <t>Produtor</t>
  </si>
  <si>
    <t>Safra</t>
  </si>
  <si>
    <t>Estoque</t>
  </si>
  <si>
    <t>A37 (tabela Tanyno)</t>
  </si>
  <si>
    <t>Custo (A37 × 1,13)</t>
  </si>
  <si>
    <t>Margem alvo (após IR ÷ custo)</t>
  </si>
  <si>
    <t>Markup sobre o custo (margem ÷ 0,92)</t>
  </si>
  <si>
    <t>Preço de venda</t>
  </si>
  <si>
    <t>IR 8% sobre a venda</t>
  </si>
  <si>
    <t>Venda após IR</t>
  </si>
  <si>
    <t>Conferência (após IR ÷ custo)</t>
  </si>
  <si>
    <t>CHATEAU PAVIE-DECESSE</t>
  </si>
  <si>
    <t>PAVIE-DECESSE</t>
  </si>
  <si>
    <t>2007</t>
  </si>
  <si>
    <t>MOREY SAINT DENIS 1ER CRU "LA RIOTTE"</t>
  </si>
  <si>
    <t>PERROT-MINOT</t>
  </si>
  <si>
    <t>2022</t>
  </si>
  <si>
    <t>CLOS DE VOUGEOT</t>
  </si>
  <si>
    <t>MONGEARD-MUGNERET</t>
  </si>
  <si>
    <t>2021</t>
  </si>
  <si>
    <t>CHAMBOLLE MUSIGNY 1ER CRU "LES FUES"</t>
  </si>
  <si>
    <t>CHATEAU D YQUEM</t>
  </si>
  <si>
    <t>2011</t>
  </si>
  <si>
    <t>2010</t>
  </si>
  <si>
    <t>2016</t>
  </si>
  <si>
    <t>CHATEAU HAUT BRION</t>
  </si>
  <si>
    <t>CLARENCE DILLON</t>
  </si>
  <si>
    <t>2006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</si>
</sst>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R$&quot; #,##0.00"/>
    <numFmt numFmtId="165" formatCode="0.0000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FormatPr defaultRowHeight="15" outlineLevelRow="0" outlineLevelCol="0" x14ac:dyDescent="55"/>
  <cols>
    <col min="1" max="1" width="42" customWidth="1"/>
    <col min="2" max="2" width="22" customWidth="1"/>
    <col min="3" max="3" width="8" customWidth="1"/>
    <col min="5" max="6" width="16" customWidth="1"/>
    <col min="7" max="7" width="18" customWidth="1"/>
    <col min="8" max="8" width="20" customWidth="1"/>
    <col min="9" max="11" width="16" customWidth="1"/>
    <col min="12" max="12" width="18" customWidth="1"/>
  </cols>
  <sheetData>
    <row r="1" spans="1:2" x14ac:dyDescent="0.25">
      <c r="A1" t="s">
        <v>0</v>
      </c>
      <c r="B1">
        <v>1.13</v>
      </c>
    </row>
    <row r="2" spans="1:2" x14ac:dyDescent="0.25">
      <c r="A2" t="s">
        <v>1</v>
      </c>
      <c r="B2">
        <v>0.08</v>
      </c>
    </row>
    <row r="4" spans="1:12" s="1" customForma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</row>
    <row r="5" spans="1:12" x14ac:dyDescent="0.25">
      <c r="A5" t="s">
        <v>14</v>
      </c>
      <c r="B5" t="s">
        <v>15</v>
      </c>
      <c r="C5" t="s">
        <v>16</v>
      </c>
      <c r="D5">
        <v>1</v>
      </c>
      <c r="E5" s="2">
        <v>1546.56</v>
      </c>
      <c r="F5" s="2">
        <f>E5*$B$1</f>
      </c>
      <c r="G5" s="3">
        <v>1.33</v>
      </c>
      <c r="H5" s="3">
        <f>G5/(1-$B$2)</f>
      </c>
      <c r="I5" s="2">
        <f>F5*H5</f>
      </c>
      <c r="J5" s="2">
        <f>I5*$B$2</f>
      </c>
      <c r="K5" s="2">
        <f>I5-J5</f>
      </c>
      <c r="L5" s="3">
        <f>K5/F5</f>
      </c>
    </row>
    <row r="6" spans="1:12" x14ac:dyDescent="0.25">
      <c r="A6" t="s">
        <v>17</v>
      </c>
      <c r="B6" t="s">
        <v>18</v>
      </c>
      <c r="C6" t="s">
        <v>19</v>
      </c>
      <c r="D6">
        <v>1</v>
      </c>
      <c r="E6" s="2">
        <v>2695.79</v>
      </c>
      <c r="F6" s="2">
        <f>E6*$B$1</f>
      </c>
      <c r="G6" s="3">
        <v>1.3</v>
      </c>
      <c r="H6" s="3">
        <f>G6/(1-$B$2)</f>
      </c>
      <c r="I6" s="2">
        <f>F6*H6</f>
      </c>
      <c r="J6" s="2">
        <f>I6*$B$2</f>
      </c>
      <c r="K6" s="2">
        <f>I6-J6</f>
      </c>
      <c r="L6" s="3">
        <f>K6/F6</f>
      </c>
    </row>
    <row r="7" spans="1:12" x14ac:dyDescent="0.25">
      <c r="A7" t="s">
        <v>20</v>
      </c>
      <c r="B7" t="s">
        <v>21</v>
      </c>
      <c r="C7" t="s">
        <v>22</v>
      </c>
      <c r="D7">
        <v>1</v>
      </c>
      <c r="E7" s="2">
        <v>3014.68</v>
      </c>
      <c r="F7" s="2">
        <f>E7*$B$1</f>
      </c>
      <c r="G7" s="3">
        <v>1.28</v>
      </c>
      <c r="H7" s="3">
        <f>G7/(1-$B$2)</f>
      </c>
      <c r="I7" s="2">
        <f>F7*H7</f>
      </c>
      <c r="J7" s="2">
        <f>I7*$B$2</f>
      </c>
      <c r="K7" s="2">
        <f>I7-J7</f>
      </c>
      <c r="L7" s="3">
        <f>K7/F7</f>
      </c>
    </row>
    <row r="8" spans="1:12" x14ac:dyDescent="0.25">
      <c r="A8" t="s">
        <v>23</v>
      </c>
      <c r="B8" t="s">
        <v>18</v>
      </c>
      <c r="C8" t="s">
        <v>19</v>
      </c>
      <c r="D8">
        <v>1</v>
      </c>
      <c r="E8" s="2">
        <v>4782.86</v>
      </c>
      <c r="F8" s="2">
        <f>E8*$B$1</f>
      </c>
      <c r="G8" s="3">
        <v>1.25</v>
      </c>
      <c r="H8" s="3">
        <f>G8/(1-$B$2)</f>
      </c>
      <c r="I8" s="2">
        <f>F8*H8</f>
      </c>
      <c r="J8" s="2">
        <f>I8*$B$2</f>
      </c>
      <c r="K8" s="2">
        <f>I8-J8</f>
      </c>
      <c r="L8" s="3">
        <f>K8/F8</f>
      </c>
    </row>
    <row r="9" spans="1:12" x14ac:dyDescent="0.25">
      <c r="A9" t="s">
        <v>24</v>
      </c>
      <c r="B9" t="s">
        <v>24</v>
      </c>
      <c r="C9" t="s">
        <v>25</v>
      </c>
      <c r="D9">
        <v>1</v>
      </c>
      <c r="E9" s="2">
        <v>4867.7</v>
      </c>
      <c r="F9" s="2">
        <f>E9*$B$1</f>
      </c>
      <c r="G9" s="3">
        <v>1.25</v>
      </c>
      <c r="H9" s="3">
        <f>G9/(1-$B$2)</f>
      </c>
      <c r="I9" s="2">
        <f>F9*H9</f>
      </c>
      <c r="J9" s="2">
        <f>I9*$B$2</f>
      </c>
      <c r="K9" s="2">
        <f>I9-J9</f>
      </c>
      <c r="L9" s="3">
        <f>K9/F9</f>
      </c>
    </row>
    <row r="10" spans="1:12" x14ac:dyDescent="0.25">
      <c r="A10" t="s">
        <v>24</v>
      </c>
      <c r="B10" t="s">
        <v>24</v>
      </c>
      <c r="C10" t="s">
        <v>26</v>
      </c>
      <c r="D10">
        <v>1</v>
      </c>
      <c r="E10" s="2">
        <v>5111.08</v>
      </c>
      <c r="F10" s="2">
        <f>E10*$B$1</f>
      </c>
      <c r="G10" s="3">
        <v>1.25</v>
      </c>
      <c r="H10" s="3">
        <f>G10/(1-$B$2)</f>
      </c>
      <c r="I10" s="2">
        <f>F10*H10</f>
      </c>
      <c r="J10" s="2">
        <f>I10*$B$2</f>
      </c>
      <c r="K10" s="2">
        <f>I10-J10</f>
      </c>
      <c r="L10" s="3">
        <f>K10/F10</f>
      </c>
    </row>
    <row r="11" spans="1:12" x14ac:dyDescent="0.25">
      <c r="A11" t="s">
        <v>24</v>
      </c>
      <c r="B11" t="s">
        <v>24</v>
      </c>
      <c r="C11" t="s">
        <v>27</v>
      </c>
      <c r="D11">
        <v>1</v>
      </c>
      <c r="E11" s="2">
        <v>5192.21</v>
      </c>
      <c r="F11" s="2">
        <f>E11*$B$1</f>
      </c>
      <c r="G11" s="3">
        <v>1.25</v>
      </c>
      <c r="H11" s="3">
        <f>G11/(1-$B$2)</f>
      </c>
      <c r="I11" s="2">
        <f>F11*H11</f>
      </c>
      <c r="J11" s="2">
        <f>I11*$B$2</f>
      </c>
      <c r="K11" s="2">
        <f>I11-J11</f>
      </c>
      <c r="L11" s="3">
        <f>K11/F11</f>
      </c>
    </row>
    <row r="12" spans="1:12" x14ac:dyDescent="0.25">
      <c r="A12" t="s">
        <v>28</v>
      </c>
      <c r="B12" t="s">
        <v>29</v>
      </c>
      <c r="C12" t="s">
        <v>30</v>
      </c>
      <c r="D12">
        <v>1</v>
      </c>
      <c r="E12" s="2">
        <v>7386.05</v>
      </c>
      <c r="F12" s="2">
        <f>E12*$B$1</f>
      </c>
      <c r="G12" s="3">
        <v>1.2</v>
      </c>
      <c r="H12" s="3">
        <f>G12/(1-$B$2)</f>
      </c>
      <c r="I12" s="2">
        <f>F12*H12</f>
      </c>
      <c r="J12" s="2">
        <f>I12*$B$2</f>
      </c>
      <c r="K12" s="2">
        <f>I12-J12</f>
      </c>
      <c r="L12" s="3">
        <f>K12/F12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Precificação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2026-09-23T20:55:10Z</dcterms:created>
  <dcterms:modified xsi:type="dcterms:W3CDTF">2026-09-23T20:55:10Z</dcterms:modified>
</cp:coreProperties>
</file>