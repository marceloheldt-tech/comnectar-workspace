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cificação" state="visible" r:id="rId4"/>
  </sheets>
  <calcPr calcId="171027"/>
</workbook>
</file>

<file path=xl/sharedStrings.xml><?xml version="1.0" encoding="utf-8"?>
<sst xmlns="http://schemas.openxmlformats.org/spreadsheetml/2006/main" count="37" uniqueCount="30">
  <si>
    <t>Fator sobre A37</t>
  </si>
  <si>
    <t>Markup</t>
  </si>
  <si>
    <t>Imposto de renda</t>
  </si>
  <si>
    <t>Vinho</t>
  </si>
  <si>
    <t>Produtor</t>
  </si>
  <si>
    <t>Safra</t>
  </si>
  <si>
    <t>Estoque</t>
  </si>
  <si>
    <t>A37 (tabela Tanyno)</t>
  </si>
  <si>
    <t>Custo (A37 × 1,13)</t>
  </si>
  <si>
    <t>Preço de venda (custo × 1,6)</t>
  </si>
  <si>
    <t>IR 8% sobre a venda</t>
  </si>
  <si>
    <t>Venda após IR</t>
  </si>
  <si>
    <t>Venda após IR ÷ custo</t>
  </si>
  <si>
    <t>CHATEAU PAVIE-DECESSE</t>
  </si>
  <si>
    <t>PAVIE-DECESSE</t>
  </si>
  <si>
    <t>2007</t>
  </si>
  <si>
    <t>MOREY SAINT DENIS 1ER CRU "LA RIOTTE"</t>
  </si>
  <si>
    <t>PERROT-MINOT</t>
  </si>
  <si>
    <t>2022</t>
  </si>
  <si>
    <t>CLOS DE VOUGEOT</t>
  </si>
  <si>
    <t>MONGEARD-MUGNERET</t>
  </si>
  <si>
    <t>2021</t>
  </si>
  <si>
    <t>CHAMBOLLE MUSIGNY 1ER CRU "LES FUES"</t>
  </si>
  <si>
    <t>CHATEAU D YQUEM</t>
  </si>
  <si>
    <t>2011</t>
  </si>
  <si>
    <t>2010</t>
  </si>
  <si>
    <t>2016</t>
  </si>
  <si>
    <t>CHATEAU HAUT BRION</t>
  </si>
  <si>
    <t>CLARENCE DILLON</t>
  </si>
  <si>
    <t>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</si>
</sst>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R$&quot; #,##0.00"/>
    <numFmt numFmtId="165" formatCode="0.0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42" customWidth="1"/>
    <col min="2" max="2" width="22" customWidth="1"/>
    <col min="3" max="3" width="8" customWidth="1"/>
    <col min="5" max="6" width="16" customWidth="1"/>
    <col min="7" max="7" width="20" customWidth="1"/>
    <col min="8" max="10" width="16" customWidth="1"/>
  </cols>
  <sheetData>
    <row r="1" spans="1:2" x14ac:dyDescent="0.25">
      <c r="A1" t="s">
        <v>0</v>
      </c>
      <c r="B1">
        <v>1.13</v>
      </c>
    </row>
    <row r="2" spans="1:2" x14ac:dyDescent="0.25">
      <c r="A2" t="s">
        <v>1</v>
      </c>
      <c r="B2">
        <v>1.6</v>
      </c>
    </row>
    <row r="3" spans="1:2" x14ac:dyDescent="0.25">
      <c r="A3" t="s">
        <v>2</v>
      </c>
      <c r="B3">
        <v>0.08</v>
      </c>
    </row>
    <row r="5" spans="1:10" s="1" customFormat="1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</row>
    <row r="6" spans="1:10" x14ac:dyDescent="0.25">
      <c r="A6" t="s">
        <v>13</v>
      </c>
      <c r="B6" t="s">
        <v>14</v>
      </c>
      <c r="C6" t="s">
        <v>15</v>
      </c>
      <c r="D6">
        <v>1</v>
      </c>
      <c r="E6" s="2">
        <v>1546.56</v>
      </c>
      <c r="F6" s="2">
        <f>E6*$B$1</f>
      </c>
      <c r="G6" s="2">
        <f>F6*$B$2</f>
      </c>
      <c r="H6" s="2">
        <f>G6*$B$3</f>
      </c>
      <c r="I6" s="2">
        <f>G6-H6</f>
      </c>
      <c r="J6" s="3">
        <f>I6/F6</f>
      </c>
    </row>
    <row r="7" spans="1:10" x14ac:dyDescent="0.25">
      <c r="A7" t="s">
        <v>16</v>
      </c>
      <c r="B7" t="s">
        <v>17</v>
      </c>
      <c r="C7" t="s">
        <v>18</v>
      </c>
      <c r="D7">
        <v>1</v>
      </c>
      <c r="E7" s="2">
        <v>2695.79</v>
      </c>
      <c r="F7" s="2">
        <f>E7*$B$1</f>
      </c>
      <c r="G7" s="2">
        <f>F7*$B$2</f>
      </c>
      <c r="H7" s="2">
        <f>G7*$B$3</f>
      </c>
      <c r="I7" s="2">
        <f>G7-H7</f>
      </c>
      <c r="J7" s="3">
        <f>I7/F7</f>
      </c>
    </row>
    <row r="8" spans="1:10" x14ac:dyDescent="0.25">
      <c r="A8" t="s">
        <v>19</v>
      </c>
      <c r="B8" t="s">
        <v>20</v>
      </c>
      <c r="C8" t="s">
        <v>21</v>
      </c>
      <c r="D8">
        <v>1</v>
      </c>
      <c r="E8" s="2">
        <v>3014.68</v>
      </c>
      <c r="F8" s="2">
        <f>E8*$B$1</f>
      </c>
      <c r="G8" s="2">
        <f>F8*$B$2</f>
      </c>
      <c r="H8" s="2">
        <f>G8*$B$3</f>
      </c>
      <c r="I8" s="2">
        <f>G8-H8</f>
      </c>
      <c r="J8" s="3">
        <f>I8/F8</f>
      </c>
    </row>
    <row r="9" spans="1:10" x14ac:dyDescent="0.25">
      <c r="A9" t="s">
        <v>22</v>
      </c>
      <c r="B9" t="s">
        <v>17</v>
      </c>
      <c r="C9" t="s">
        <v>18</v>
      </c>
      <c r="D9">
        <v>1</v>
      </c>
      <c r="E9" s="2">
        <v>4782.86</v>
      </c>
      <c r="F9" s="2">
        <f>E9*$B$1</f>
      </c>
      <c r="G9" s="2">
        <f>F9*$B$2</f>
      </c>
      <c r="H9" s="2">
        <f>G9*$B$3</f>
      </c>
      <c r="I9" s="2">
        <f>G9-H9</f>
      </c>
      <c r="J9" s="3">
        <f>I9/F9</f>
      </c>
    </row>
    <row r="10" spans="1:10" x14ac:dyDescent="0.25">
      <c r="A10" t="s">
        <v>23</v>
      </c>
      <c r="B10" t="s">
        <v>23</v>
      </c>
      <c r="C10" t="s">
        <v>24</v>
      </c>
      <c r="D10">
        <v>1</v>
      </c>
      <c r="E10" s="2">
        <v>4867.7</v>
      </c>
      <c r="F10" s="2">
        <f>E10*$B$1</f>
      </c>
      <c r="G10" s="2">
        <f>F10*$B$2</f>
      </c>
      <c r="H10" s="2">
        <f>G10*$B$3</f>
      </c>
      <c r="I10" s="2">
        <f>G10-H10</f>
      </c>
      <c r="J10" s="3">
        <f>I10/F10</f>
      </c>
    </row>
    <row r="11" spans="1:10" x14ac:dyDescent="0.25">
      <c r="A11" t="s">
        <v>23</v>
      </c>
      <c r="B11" t="s">
        <v>23</v>
      </c>
      <c r="C11" t="s">
        <v>25</v>
      </c>
      <c r="D11">
        <v>1</v>
      </c>
      <c r="E11" s="2">
        <v>5111.08</v>
      </c>
      <c r="F11" s="2">
        <f>E11*$B$1</f>
      </c>
      <c r="G11" s="2">
        <f>F11*$B$2</f>
      </c>
      <c r="H11" s="2">
        <f>G11*$B$3</f>
      </c>
      <c r="I11" s="2">
        <f>G11-H11</f>
      </c>
      <c r="J11" s="3">
        <f>I11/F11</f>
      </c>
    </row>
    <row r="12" spans="1:10" x14ac:dyDescent="0.25">
      <c r="A12" t="s">
        <v>23</v>
      </c>
      <c r="B12" t="s">
        <v>23</v>
      </c>
      <c r="C12" t="s">
        <v>26</v>
      </c>
      <c r="D12">
        <v>1</v>
      </c>
      <c r="E12" s="2">
        <v>5192.21</v>
      </c>
      <c r="F12" s="2">
        <f>E12*$B$1</f>
      </c>
      <c r="G12" s="2">
        <f>F12*$B$2</f>
      </c>
      <c r="H12" s="2">
        <f>G12*$B$3</f>
      </c>
      <c r="I12" s="2">
        <f>G12-H12</f>
      </c>
      <c r="J12" s="3">
        <f>I12/F12</f>
      </c>
    </row>
    <row r="13" spans="1:10" x14ac:dyDescent="0.25">
      <c r="A13" t="s">
        <v>27</v>
      </c>
      <c r="B13" t="s">
        <v>28</v>
      </c>
      <c r="C13" t="s">
        <v>29</v>
      </c>
      <c r="D13">
        <v>1</v>
      </c>
      <c r="E13" s="2">
        <v>7386.05</v>
      </c>
      <c r="F13" s="2">
        <f>E13*$B$1</f>
      </c>
      <c r="G13" s="2">
        <f>F13*$B$2</f>
      </c>
      <c r="H13" s="2">
        <f>G13*$B$3</f>
      </c>
      <c r="I13" s="2">
        <f>G13-H13</f>
      </c>
      <c r="J13" s="3">
        <f>I13/F13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Precificação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2026-09-23T20:51:08Z</dcterms:created>
  <dcterms:modified xsi:type="dcterms:W3CDTF">2026-09-23T20:51:08Z</dcterms:modified>
</cp:coreProperties>
</file>