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e\Desktop\claude comnéctar\campanhas\clube-assinatura-lucas-muttoni\"/>
    </mc:Choice>
  </mc:AlternateContent>
  <bookViews>
    <workbookView xWindow="0" yWindow="0" windowWidth="23040" windowHeight="9528"/>
  </bookViews>
  <sheets>
    <sheet name="Simulação financeira" sheetId="1" r:id="rId1"/>
  </sheets>
  <calcPr calcId="162913"/>
</workbook>
</file>

<file path=xl/calcChain.xml><?xml version="1.0" encoding="utf-8"?>
<calcChain xmlns="http://schemas.openxmlformats.org/spreadsheetml/2006/main">
  <c r="F7" i="1" l="1"/>
  <c r="E6" i="1"/>
  <c r="G21" i="1"/>
  <c r="G20" i="1"/>
  <c r="E7" i="1" s="1"/>
  <c r="G19" i="1"/>
  <c r="G18" i="1"/>
  <c r="G17" i="1"/>
  <c r="G16" i="1"/>
  <c r="G15" i="1"/>
  <c r="G14" i="1"/>
  <c r="G13" i="1"/>
  <c r="E5" i="1" s="1"/>
  <c r="C5" i="1"/>
  <c r="D5" i="1"/>
  <c r="B8" i="1"/>
  <c r="D7" i="1"/>
  <c r="C7" i="1"/>
  <c r="D6" i="1"/>
  <c r="C6" i="1"/>
  <c r="C8" i="1"/>
  <c r="E8" i="1" l="1"/>
  <c r="F5" i="1"/>
  <c r="G5" i="1" s="1"/>
  <c r="G7" i="1"/>
  <c r="F6" i="1"/>
  <c r="D8" i="1"/>
  <c r="F8" i="1" l="1"/>
  <c r="G6" i="1"/>
</calcChain>
</file>

<file path=xl/sharedStrings.xml><?xml version="1.0" encoding="utf-8"?>
<sst xmlns="http://schemas.openxmlformats.org/spreadsheetml/2006/main" count="55" uniqueCount="39">
  <si>
    <t>Clube de assinatura — simulação financeira (Set/Out/Nov)</t>
  </si>
  <si>
    <t>Mês</t>
  </si>
  <si>
    <t>Preço cheio do mês (R$)</t>
  </si>
  <si>
    <t>Simples Nacional 8% (R$)</t>
  </si>
  <si>
    <t>Comissão Lucas 15% (R$)</t>
  </si>
  <si>
    <t>Custo do produto (R$)</t>
  </si>
  <si>
    <t>Sobra pra comnéctar (R$)</t>
  </si>
  <si>
    <t>Setembro</t>
  </si>
  <si>
    <t>Outubro</t>
  </si>
  <si>
    <t>Novembro</t>
  </si>
  <si>
    <t>Total</t>
  </si>
  <si>
    <t>Vinho</t>
  </si>
  <si>
    <t>Produtor</t>
  </si>
  <si>
    <t>Região</t>
  </si>
  <si>
    <t>Preço (R$)</t>
  </si>
  <si>
    <t>Langhe Nebbiolo 2023</t>
  </si>
  <si>
    <t>Castello Di Verduno</t>
  </si>
  <si>
    <t>Piemonte</t>
  </si>
  <si>
    <t>Barbera d'Asti Battaglione 2023</t>
  </si>
  <si>
    <t>Ratti</t>
  </si>
  <si>
    <t>Barolo 2020</t>
  </si>
  <si>
    <t>Roversi</t>
  </si>
  <si>
    <t>Chianti Classico 2021</t>
  </si>
  <si>
    <t>Perano</t>
  </si>
  <si>
    <t>Toscana</t>
  </si>
  <si>
    <t>Rosso Di Caparsa IGT 2020</t>
  </si>
  <si>
    <t>Caparsa</t>
  </si>
  <si>
    <t>"Attenti Al Lupo" Sangiovese 2022</t>
  </si>
  <si>
    <t>Podere Le Ripi</t>
  </si>
  <si>
    <t>Regaleale Bianco DOC Sicilia 2023</t>
  </si>
  <si>
    <t>Tasca D'Almerita</t>
  </si>
  <si>
    <t>Sicília</t>
  </si>
  <si>
    <t>Etna Bianco Superiore 2023</t>
  </si>
  <si>
    <t>Barone Di Villagrande</t>
  </si>
  <si>
    <t>Sul Vulcano Etna 2021</t>
  </si>
  <si>
    <t>Donnafugata</t>
  </si>
  <si>
    <t>CUSTO COM DIFAL</t>
  </si>
  <si>
    <t>CUSTO EMBALAGEM+ENVIO</t>
  </si>
  <si>
    <t>% 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</si>
</sst>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4"/>
      <color rgb="FF0A0A0A"/>
      <name val="Calibri"/>
    </font>
    <font>
      <i/>
      <sz val="10"/>
      <color rgb="FF6A6A6A"/>
      <name val="Calibri"/>
    </font>
    <font>
      <b/>
      <sz val="11"/>
      <color rgb="FFFFFFFF"/>
      <name val="Calibri"/>
    </font>
    <font>
      <b/>
      <sz val="11"/>
      <color rgb="FF0A0A0A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1356"/>
      </patternFill>
    </fill>
    <fill>
      <patternFill patternType="solid">
        <fgColor rgb="FFFFF6E5"/>
      </patternFill>
    </fill>
    <fill>
      <patternFill patternType="solid">
        <fgColor rgb="FFF7EAF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4" fontId="0" fillId="3" borderId="1" xfId="0" applyNumberFormat="1" applyFill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0" fontId="2" fillId="0" borderId="0" xfId="0" applyFont="1"/>
    <xf numFmtId="0" fontId="0" fillId="0" borderId="0" xfId="0"/>
    <xf numFmtId="0" fontId="1" fillId="0" borderId="0" xfId="0" applyFont="1"/>
    <xf numFmtId="0" fontId="0" fillId="5" borderId="1" xfId="0" applyFill="1" applyBorder="1"/>
    <xf numFmtId="164" fontId="0" fillId="5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44" fontId="0" fillId="0" borderId="0" xfId="1" applyFont="1"/>
    <xf numFmtId="0" fontId="3" fillId="2" borderId="2" xfId="0" applyFont="1" applyFill="1" applyBorder="1" applyAlignment="1">
      <alignment horizontal="center" vertical="center" wrapText="1"/>
    </xf>
    <xf numFmtId="9" fontId="0" fillId="0" borderId="0" xfId="2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pane ySplit="4" topLeftCell="A5" activePane="bottomLeft" state="frozen"/>
      <selection pane="bottomLeft" activeCell="G7" sqref="G7"/>
    </sheetView>
  </sheetViews>
  <sheetFormatPr defaultRowHeight="14.4" x14ac:dyDescent="0.3"/>
  <cols>
    <col min="1" max="1" width="14" customWidth="1"/>
    <col min="2" max="2" width="28.88671875" bestFit="1" customWidth="1"/>
    <col min="3" max="4" width="22" customWidth="1"/>
    <col min="5" max="5" width="20" customWidth="1"/>
    <col min="6" max="6" width="22" customWidth="1"/>
    <col min="7" max="7" width="21.21875" customWidth="1"/>
  </cols>
  <sheetData>
    <row r="1" spans="1:7" ht="18" x14ac:dyDescent="0.35">
      <c r="A1" s="9" t="s">
        <v>0</v>
      </c>
      <c r="B1" s="8"/>
      <c r="C1" s="8"/>
      <c r="D1" s="8"/>
      <c r="E1" s="8"/>
      <c r="F1" s="8"/>
    </row>
    <row r="2" spans="1:7" x14ac:dyDescent="0.3">
      <c r="A2" s="7"/>
      <c r="B2" s="8"/>
      <c r="C2" s="8"/>
      <c r="D2" s="8"/>
      <c r="E2" s="8"/>
      <c r="F2" s="8"/>
    </row>
    <row r="4" spans="1: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5" t="s">
        <v>38</v>
      </c>
    </row>
    <row r="5" spans="1:7" x14ac:dyDescent="0.3">
      <c r="A5" s="2" t="s">
        <v>7</v>
      </c>
      <c r="B5" s="3">
        <v>997</v>
      </c>
      <c r="C5" s="3">
        <f>B5*0.08</f>
        <v>79.760000000000005</v>
      </c>
      <c r="D5" s="3">
        <f>B5*0.15</f>
        <v>149.54999999999998</v>
      </c>
      <c r="E5" s="4">
        <f>G13+G14+G15</f>
        <v>581</v>
      </c>
      <c r="F5" s="3">
        <f>B5-C5-D5-E5</f>
        <v>186.69000000000005</v>
      </c>
      <c r="G5" s="16">
        <f>F5/B5</f>
        <v>0.18725175526579746</v>
      </c>
    </row>
    <row r="6" spans="1:7" x14ac:dyDescent="0.3">
      <c r="A6" s="2" t="s">
        <v>8</v>
      </c>
      <c r="B6" s="3">
        <v>977</v>
      </c>
      <c r="C6" s="3">
        <f>B6*0.08</f>
        <v>78.16</v>
      </c>
      <c r="D6" s="3">
        <f>B6*0.15</f>
        <v>146.54999999999998</v>
      </c>
      <c r="E6" s="4">
        <f>G16+G17+G18</f>
        <v>568</v>
      </c>
      <c r="F6" s="3">
        <f>B6-C6-D6-E6</f>
        <v>184.29000000000008</v>
      </c>
      <c r="G6" s="16">
        <f t="shared" ref="G6:G7" si="0">F6/B6</f>
        <v>0.18862845445240539</v>
      </c>
    </row>
    <row r="7" spans="1:7" x14ac:dyDescent="0.3">
      <c r="A7" s="2" t="s">
        <v>9</v>
      </c>
      <c r="B7" s="3">
        <v>1087</v>
      </c>
      <c r="C7" s="3">
        <f>B7*0.08</f>
        <v>86.960000000000008</v>
      </c>
      <c r="D7" s="3">
        <f>B7*0.15</f>
        <v>163.04999999999998</v>
      </c>
      <c r="E7" s="4">
        <f>G19+G20+G21</f>
        <v>624</v>
      </c>
      <c r="F7" s="3">
        <f>B7-C7-D7-E7</f>
        <v>212.99</v>
      </c>
      <c r="G7" s="16">
        <f t="shared" si="0"/>
        <v>0.19594296228150876</v>
      </c>
    </row>
    <row r="8" spans="1:7" x14ac:dyDescent="0.3">
      <c r="A8" s="5" t="s">
        <v>10</v>
      </c>
      <c r="B8" s="6">
        <f>SUM(B5:B7)</f>
        <v>3061</v>
      </c>
      <c r="C8" s="6">
        <f>SUM(C5:C7)</f>
        <v>244.88000000000002</v>
      </c>
      <c r="D8" s="6">
        <f>SUM(D5:D7)</f>
        <v>459.15</v>
      </c>
      <c r="E8" s="6">
        <f>SUM(E5:E7)</f>
        <v>1773</v>
      </c>
      <c r="F8" s="6">
        <f>SUM(F5:F7)</f>
        <v>583.97000000000014</v>
      </c>
      <c r="G8" s="16"/>
    </row>
    <row r="12" spans="1:7" ht="28.8" x14ac:dyDescent="0.3">
      <c r="A12" s="1" t="s">
        <v>1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36</v>
      </c>
      <c r="G12" s="1" t="s">
        <v>37</v>
      </c>
    </row>
    <row r="13" spans="1:7" x14ac:dyDescent="0.3">
      <c r="A13" s="10" t="s">
        <v>7</v>
      </c>
      <c r="B13" s="10" t="s">
        <v>15</v>
      </c>
      <c r="C13" s="10" t="s">
        <v>16</v>
      </c>
      <c r="D13" s="10" t="s">
        <v>17</v>
      </c>
      <c r="E13" s="11">
        <v>289</v>
      </c>
      <c r="F13" s="14">
        <v>177</v>
      </c>
      <c r="G13" s="14">
        <f>F13+12</f>
        <v>189</v>
      </c>
    </row>
    <row r="14" spans="1:7" x14ac:dyDescent="0.3">
      <c r="A14" s="10" t="s">
        <v>7</v>
      </c>
      <c r="B14" s="10" t="s">
        <v>18</v>
      </c>
      <c r="C14" s="10" t="s">
        <v>19</v>
      </c>
      <c r="D14" s="10" t="s">
        <v>17</v>
      </c>
      <c r="E14" s="11">
        <v>359</v>
      </c>
      <c r="F14" s="14">
        <v>189</v>
      </c>
      <c r="G14" s="14">
        <f t="shared" ref="G14:G21" si="1">F14+12</f>
        <v>201</v>
      </c>
    </row>
    <row r="15" spans="1:7" x14ac:dyDescent="0.3">
      <c r="A15" s="10" t="s">
        <v>7</v>
      </c>
      <c r="B15" s="10" t="s">
        <v>20</v>
      </c>
      <c r="C15" s="10" t="s">
        <v>21</v>
      </c>
      <c r="D15" s="10" t="s">
        <v>17</v>
      </c>
      <c r="E15" s="11">
        <v>349</v>
      </c>
      <c r="F15" s="14">
        <v>179</v>
      </c>
      <c r="G15" s="14">
        <f t="shared" si="1"/>
        <v>191</v>
      </c>
    </row>
    <row r="16" spans="1:7" x14ac:dyDescent="0.3">
      <c r="A16" s="2" t="s">
        <v>8</v>
      </c>
      <c r="B16" s="2" t="s">
        <v>22</v>
      </c>
      <c r="C16" s="2" t="s">
        <v>23</v>
      </c>
      <c r="D16" s="2" t="s">
        <v>24</v>
      </c>
      <c r="E16" s="3">
        <v>369</v>
      </c>
      <c r="F16" s="14">
        <v>199</v>
      </c>
      <c r="G16" s="14">
        <f t="shared" si="1"/>
        <v>211</v>
      </c>
    </row>
    <row r="17" spans="1:7" x14ac:dyDescent="0.3">
      <c r="A17" s="2" t="s">
        <v>8</v>
      </c>
      <c r="B17" s="2" t="s">
        <v>25</v>
      </c>
      <c r="C17" s="2" t="s">
        <v>26</v>
      </c>
      <c r="D17" s="2" t="s">
        <v>24</v>
      </c>
      <c r="E17" s="3">
        <v>259</v>
      </c>
      <c r="F17" s="14">
        <v>138</v>
      </c>
      <c r="G17" s="14">
        <f t="shared" si="1"/>
        <v>150</v>
      </c>
    </row>
    <row r="18" spans="1:7" x14ac:dyDescent="0.3">
      <c r="A18" s="2" t="s">
        <v>8</v>
      </c>
      <c r="B18" s="2" t="s">
        <v>27</v>
      </c>
      <c r="C18" s="2" t="s">
        <v>28</v>
      </c>
      <c r="D18" s="2" t="s">
        <v>24</v>
      </c>
      <c r="E18" s="3">
        <v>349</v>
      </c>
      <c r="F18" s="14">
        <v>195</v>
      </c>
      <c r="G18" s="14">
        <f t="shared" si="1"/>
        <v>207</v>
      </c>
    </row>
    <row r="19" spans="1:7" x14ac:dyDescent="0.3">
      <c r="A19" s="12" t="s">
        <v>9</v>
      </c>
      <c r="B19" s="12" t="s">
        <v>29</v>
      </c>
      <c r="C19" s="12" t="s">
        <v>30</v>
      </c>
      <c r="D19" s="12" t="s">
        <v>31</v>
      </c>
      <c r="E19" s="13">
        <v>239</v>
      </c>
      <c r="F19" s="14">
        <v>130</v>
      </c>
      <c r="G19" s="14">
        <f t="shared" si="1"/>
        <v>142</v>
      </c>
    </row>
    <row r="20" spans="1:7" x14ac:dyDescent="0.3">
      <c r="A20" s="12" t="s">
        <v>9</v>
      </c>
      <c r="B20" s="12" t="s">
        <v>32</v>
      </c>
      <c r="C20" s="12" t="s">
        <v>33</v>
      </c>
      <c r="D20" s="12" t="s">
        <v>31</v>
      </c>
      <c r="E20" s="13">
        <v>389</v>
      </c>
      <c r="F20" s="14">
        <v>213</v>
      </c>
      <c r="G20" s="14">
        <f t="shared" si="1"/>
        <v>225</v>
      </c>
    </row>
    <row r="21" spans="1:7" x14ac:dyDescent="0.3">
      <c r="A21" s="12" t="s">
        <v>9</v>
      </c>
      <c r="B21" s="12" t="s">
        <v>34</v>
      </c>
      <c r="C21" s="12" t="s">
        <v>35</v>
      </c>
      <c r="D21" s="12" t="s">
        <v>31</v>
      </c>
      <c r="E21" s="13">
        <v>459</v>
      </c>
      <c r="F21" s="14">
        <v>245</v>
      </c>
      <c r="G21" s="14">
        <f t="shared" si="1"/>
        <v>257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Simulação financeira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heldt</cp:lastModifiedBy>
  <dcterms:created xsi:type="dcterms:W3CDTF">2026-08-19T13:11:49Z</dcterms:created>
  <dcterms:modified xsi:type="dcterms:W3CDTF">2026-08-19T13:20:36Z</dcterms:modified>
</cp:coreProperties>
</file>