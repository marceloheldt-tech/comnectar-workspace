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ção financeira" sheetId="1" state="visible" r:id="rId1"/>
    <sheet name="Composição dos ki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5">
    <font>
      <name val="Calibri"/>
      <family val="2"/>
      <color theme="1"/>
      <sz val="11"/>
      <scheme val="minor"/>
    </font>
    <font>
      <name val="Calibri"/>
      <b val="1"/>
      <color rgb="000A0A0A"/>
      <sz val="14"/>
    </font>
    <font>
      <name val="Calibri"/>
      <i val="1"/>
      <color rgb="006A6A6A"/>
      <sz val="10"/>
    </font>
    <font>
      <name val="Calibri"/>
      <b val="1"/>
      <color rgb="00FFFFFF"/>
      <sz val="11"/>
    </font>
    <font>
      <name val="Calibri"/>
      <b val="1"/>
      <color rgb="000A0A0A"/>
      <sz val="11"/>
    </font>
  </fonts>
  <fills count="5">
    <fill>
      <patternFill/>
    </fill>
    <fill>
      <patternFill patternType="gray125"/>
    </fill>
    <fill>
      <patternFill patternType="solid">
        <fgColor rgb="00991356"/>
      </patternFill>
    </fill>
    <fill>
      <patternFill patternType="solid">
        <fgColor rgb="00FFF6E5"/>
      </patternFill>
    </fill>
    <fill>
      <patternFill patternType="solid">
        <fgColor rgb="00F7EA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4" fillId="4" borderId="1" pivotButton="0" quotePrefix="0" xfId="0"/>
    <xf numFmtId="164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0" customWidth="1" min="5" max="5"/>
    <col width="22" customWidth="1" min="6" max="6"/>
  </cols>
  <sheetData>
    <row r="1">
      <c r="A1" s="1" t="inlineStr">
        <is>
          <t>Clube de assinatura — simulação financeira (Set/Out/Nov)</t>
        </is>
      </c>
    </row>
    <row r="2">
      <c r="A2" s="2" t="inlineStr">
        <is>
          <t>Preço cheio = soma das 3 garrafas do kit do mês, no valor de venda do site. Preencha a coluna de custo do produto pra ver a sobra real.</t>
        </is>
      </c>
    </row>
    <row r="4">
      <c r="A4" s="3" t="inlineStr">
        <is>
          <t>Mês</t>
        </is>
      </c>
      <c r="B4" s="3" t="inlineStr">
        <is>
          <t>Preço cheio do mês (R$)</t>
        </is>
      </c>
      <c r="C4" s="3" t="inlineStr">
        <is>
          <t>Simples Nacional 8% (R$)</t>
        </is>
      </c>
      <c r="D4" s="3" t="inlineStr">
        <is>
          <t>Comissão Lucas 15% (R$)</t>
        </is>
      </c>
      <c r="E4" s="3" t="inlineStr">
        <is>
          <t>Custo do produto (R$)</t>
        </is>
      </c>
      <c r="F4" s="3" t="inlineStr">
        <is>
          <t>Sobra pra comnéctar (R$)</t>
        </is>
      </c>
    </row>
    <row r="5">
      <c r="A5" s="4" t="inlineStr">
        <is>
          <t>Setembro</t>
        </is>
      </c>
      <c r="B5" s="5" t="n">
        <v>997</v>
      </c>
      <c r="C5" s="5">
        <f>B5*0.08</f>
        <v/>
      </c>
      <c r="D5" s="5">
        <f>B5*0.15</f>
        <v/>
      </c>
      <c r="E5" s="6" t="n"/>
      <c r="F5" s="5">
        <f>B5-C5-D5-E5</f>
        <v/>
      </c>
    </row>
    <row r="6">
      <c r="A6" s="4" t="inlineStr">
        <is>
          <t>Outubro</t>
        </is>
      </c>
      <c r="B6" s="5" t="n">
        <v>977</v>
      </c>
      <c r="C6" s="5">
        <f>B6*0.08</f>
        <v/>
      </c>
      <c r="D6" s="5">
        <f>B6*0.15</f>
        <v/>
      </c>
      <c r="E6" s="6" t="n"/>
      <c r="F6" s="5">
        <f>B6-C6-D6-E6</f>
        <v/>
      </c>
    </row>
    <row r="7">
      <c r="A7" s="4" t="inlineStr">
        <is>
          <t>Novembro</t>
        </is>
      </c>
      <c r="B7" s="5" t="n">
        <v>1087</v>
      </c>
      <c r="C7" s="5">
        <f>B7*0.08</f>
        <v/>
      </c>
      <c r="D7" s="5">
        <f>B7*0.15</f>
        <v/>
      </c>
      <c r="E7" s="6" t="n"/>
      <c r="F7" s="5">
        <f>B7-C7-D7-E7</f>
        <v/>
      </c>
    </row>
    <row r="8">
      <c r="A8" s="7" t="inlineStr">
        <is>
          <t>Total</t>
        </is>
      </c>
      <c r="B8" s="8">
        <f>SUM(B5:B7)</f>
        <v/>
      </c>
      <c r="C8" s="8">
        <f>SUM(C5:C7)</f>
        <v/>
      </c>
      <c r="D8" s="8">
        <f>SUM(D5:D7)</f>
        <v/>
      </c>
      <c r="E8" s="8">
        <f>SUM(E5:E7)</f>
        <v/>
      </c>
      <c r="F8" s="8">
        <f>SUM(F5:F7)</f>
        <v/>
      </c>
    </row>
    <row r="10">
      <c r="A10" s="2" t="inlineStr">
        <is>
          <t>A coluna de custo do produto está em aberto — preencha com o custo de compra das 3 garrafas de cada mês pra ver a sobra líquida na última coluna.</t>
        </is>
      </c>
    </row>
  </sheetData>
  <mergeCells count="3">
    <mergeCell ref="A2:F2"/>
    <mergeCell ref="A1:F1"/>
    <mergeCell ref="A10:F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2" customWidth="1" min="3" max="3"/>
    <col width="14" customWidth="1" min="4" max="4"/>
    <col width="14" customWidth="1" min="5" max="5"/>
  </cols>
  <sheetData>
    <row r="1">
      <c r="A1" s="3" t="inlineStr">
        <is>
          <t>Mês</t>
        </is>
      </c>
      <c r="B1" s="3" t="inlineStr">
        <is>
          <t>Vinho</t>
        </is>
      </c>
      <c r="C1" s="3" t="inlineStr">
        <is>
          <t>Produtor</t>
        </is>
      </c>
      <c r="D1" s="3" t="inlineStr">
        <is>
          <t>Região</t>
        </is>
      </c>
      <c r="E1" s="3" t="inlineStr">
        <is>
          <t>Preço (R$)</t>
        </is>
      </c>
    </row>
    <row r="2">
      <c r="A2" s="4" t="inlineStr">
        <is>
          <t>Setembro</t>
        </is>
      </c>
      <c r="B2" s="4" t="inlineStr">
        <is>
          <t>Langhe Nebbiolo 2023</t>
        </is>
      </c>
      <c r="C2" s="4" t="inlineStr">
        <is>
          <t>Castello Di Verduno</t>
        </is>
      </c>
      <c r="D2" s="4" t="inlineStr">
        <is>
          <t>Piemonte</t>
        </is>
      </c>
      <c r="E2" s="5" t="n">
        <v>289</v>
      </c>
    </row>
    <row r="3">
      <c r="A3" s="4" t="inlineStr">
        <is>
          <t>Setembro</t>
        </is>
      </c>
      <c r="B3" s="4" t="inlineStr">
        <is>
          <t>Barbera d'Asti Battaglione 2023</t>
        </is>
      </c>
      <c r="C3" s="4" t="inlineStr">
        <is>
          <t>Ratti</t>
        </is>
      </c>
      <c r="D3" s="4" t="inlineStr">
        <is>
          <t>Piemonte</t>
        </is>
      </c>
      <c r="E3" s="5" t="n">
        <v>359</v>
      </c>
    </row>
    <row r="4">
      <c r="A4" s="4" t="inlineStr">
        <is>
          <t>Setembro</t>
        </is>
      </c>
      <c r="B4" s="4" t="inlineStr">
        <is>
          <t>Barolo 2020</t>
        </is>
      </c>
      <c r="C4" s="4" t="inlineStr">
        <is>
          <t>Roversi</t>
        </is>
      </c>
      <c r="D4" s="4" t="inlineStr">
        <is>
          <t>Piemonte</t>
        </is>
      </c>
      <c r="E4" s="5" t="n">
        <v>349</v>
      </c>
    </row>
    <row r="5">
      <c r="A5" s="4" t="inlineStr">
        <is>
          <t>Outubro</t>
        </is>
      </c>
      <c r="B5" s="4" t="inlineStr">
        <is>
          <t>Chianti Classico 2021</t>
        </is>
      </c>
      <c r="C5" s="4" t="inlineStr">
        <is>
          <t>Perano</t>
        </is>
      </c>
      <c r="D5" s="4" t="inlineStr">
        <is>
          <t>Toscana</t>
        </is>
      </c>
      <c r="E5" s="5" t="n">
        <v>369</v>
      </c>
    </row>
    <row r="6">
      <c r="A6" s="4" t="inlineStr">
        <is>
          <t>Outubro</t>
        </is>
      </c>
      <c r="B6" s="4" t="inlineStr">
        <is>
          <t>Rosso Di Caparsa IGT 2020</t>
        </is>
      </c>
      <c r="C6" s="4" t="inlineStr">
        <is>
          <t>Caparsa</t>
        </is>
      </c>
      <c r="D6" s="4" t="inlineStr">
        <is>
          <t>Toscana</t>
        </is>
      </c>
      <c r="E6" s="5" t="n">
        <v>259</v>
      </c>
    </row>
    <row r="7">
      <c r="A7" s="4" t="inlineStr">
        <is>
          <t>Outubro</t>
        </is>
      </c>
      <c r="B7" s="4" t="inlineStr">
        <is>
          <t>"Attenti Al Lupo" Sangiovese 2022</t>
        </is>
      </c>
      <c r="C7" s="4" t="inlineStr">
        <is>
          <t>Podere Le Ripi</t>
        </is>
      </c>
      <c r="D7" s="4" t="inlineStr">
        <is>
          <t>Toscana</t>
        </is>
      </c>
      <c r="E7" s="5" t="n">
        <v>349</v>
      </c>
    </row>
    <row r="8">
      <c r="A8" s="4" t="inlineStr">
        <is>
          <t>Novembro</t>
        </is>
      </c>
      <c r="B8" s="4" t="inlineStr">
        <is>
          <t>Regaleale Bianco DOC Sicilia 2023</t>
        </is>
      </c>
      <c r="C8" s="4" t="inlineStr">
        <is>
          <t>Tasca D'Almerita</t>
        </is>
      </c>
      <c r="D8" s="4" t="inlineStr">
        <is>
          <t>Sicília</t>
        </is>
      </c>
      <c r="E8" s="5" t="n">
        <v>239</v>
      </c>
    </row>
    <row r="9">
      <c r="A9" s="4" t="inlineStr">
        <is>
          <t>Novembro</t>
        </is>
      </c>
      <c r="B9" s="4" t="inlineStr">
        <is>
          <t>Etna Bianco Superiore 2023</t>
        </is>
      </c>
      <c r="C9" s="4" t="inlineStr">
        <is>
          <t>Barone Di Villagrande</t>
        </is>
      </c>
      <c r="D9" s="4" t="inlineStr">
        <is>
          <t>Sicília</t>
        </is>
      </c>
      <c r="E9" s="5" t="n">
        <v>389</v>
      </c>
    </row>
    <row r="10">
      <c r="A10" s="4" t="inlineStr">
        <is>
          <t>Novembro</t>
        </is>
      </c>
      <c r="B10" s="4" t="inlineStr">
        <is>
          <t>Sul Vulcano Etna 2021</t>
        </is>
      </c>
      <c r="C10" s="4" t="inlineStr">
        <is>
          <t>Donnafugata</t>
        </is>
      </c>
      <c r="D10" s="4" t="inlineStr">
        <is>
          <t>Sicília</t>
        </is>
      </c>
      <c r="E10" s="5" t="n">
        <v>459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2026-08-19T13:11:49Z</dcterms:created>
  <dcterms:modified xsi:type="dcterms:W3CDTF">2026-08-19T13:11:49Z</dcterms:modified>
</cp:coreProperties>
</file>