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hos" sheetId="1" r:id="rId4"/>
    <sheet state="visible" name="Agua-  Azeite- Xarope" sheetId="2" r:id="rId5"/>
    <sheet state="visible" name="Prod Nacional" sheetId="3" r:id="rId6"/>
    <sheet state="visible" name="Cervejas" sheetId="4" r:id="rId7"/>
    <sheet state="visible" name="Destilados" sheetId="5" r:id="rId8"/>
  </sheets>
  <definedNames>
    <definedName hidden="1" localSheetId="3" name="_xlnm._FilterDatabase">Cervejas!$A$1:$M$70</definedName>
  </definedNames>
  <calcPr/>
  <extLst>
    <ext uri="GoogleSheetsCustomDataVersion2">
      <go:sheetsCustomData xmlns:go="http://customooxmlschemas.google.com/" r:id="rId9" roundtripDataChecksum="vKeWNN00G4ffW+/Vpx7PBtKHIbRVm2dJ0FRSFeFGQFY="/>
    </ext>
  </extLst>
</workbook>
</file>

<file path=xl/sharedStrings.xml><?xml version="1.0" encoding="utf-8"?>
<sst xmlns="http://schemas.openxmlformats.org/spreadsheetml/2006/main" count="3785" uniqueCount="2417">
  <si>
    <t>VINHOS INTERFOOD</t>
  </si>
  <si>
    <t>VINHOS LINHA PREMIUM</t>
  </si>
  <si>
    <t>TABELA DE PREÇOS :: 2023::  ABRIL</t>
  </si>
  <si>
    <t>ATACADO</t>
  </si>
  <si>
    <t>REGIÃO/PAÍS</t>
  </si>
  <si>
    <t>SUB/REGIÃO</t>
  </si>
  <si>
    <t>CÓD. ANT.</t>
  </si>
  <si>
    <t>COD. NOVO</t>
  </si>
  <si>
    <t>DESCRIÇÃO</t>
  </si>
  <si>
    <t>UN/CX</t>
  </si>
  <si>
    <t>IPI</t>
  </si>
  <si>
    <t>Interestadual</t>
  </si>
  <si>
    <t>valor produto</t>
  </si>
  <si>
    <t>valor final</t>
  </si>
  <si>
    <t>BLACK TOWER</t>
  </si>
  <si>
    <t>RHEINHESSEN</t>
  </si>
  <si>
    <t xml:space="preserve">X532      </t>
  </si>
  <si>
    <t>BVIBRBWIVXXSCXX</t>
  </si>
  <si>
    <t xml:space="preserve">V B BLACK TOWER RIVANER 750 ML                              </t>
  </si>
  <si>
    <t>CAVA</t>
  </si>
  <si>
    <t>PENEDÈS</t>
  </si>
  <si>
    <t xml:space="preserve">08JT      </t>
  </si>
  <si>
    <t>BESXXCOAAXXSCXX</t>
  </si>
  <si>
    <t xml:space="preserve">V ESP CODORNIU ANNA 750 ML                                  </t>
  </si>
  <si>
    <t xml:space="preserve"> </t>
  </si>
  <si>
    <t xml:space="preserve">V8LR      </t>
  </si>
  <si>
    <t>BVITTCORQTESCXX</t>
  </si>
  <si>
    <t xml:space="preserve">V T CASTELL DE RAIMAT 750ML                                 </t>
  </si>
  <si>
    <t>RIOJA</t>
  </si>
  <si>
    <t xml:space="preserve">V8LZ      </t>
  </si>
  <si>
    <t>BVITTCOLVXXSCXX</t>
  </si>
  <si>
    <t xml:space="preserve">V T CODORNIU LA VICALANDA RESERVA 750 ML                    </t>
  </si>
  <si>
    <t>RIBERA DEL DUERO</t>
  </si>
  <si>
    <t xml:space="preserve">V8LX      </t>
  </si>
  <si>
    <t>BVITTCOLEXXSCXX</t>
  </si>
  <si>
    <t xml:space="preserve">V T CODORNIU LEGARIS RESERVA 750 ML                         </t>
  </si>
  <si>
    <t xml:space="preserve">X1163     </t>
  </si>
  <si>
    <t>BESEBCO00000041</t>
  </si>
  <si>
    <t xml:space="preserve">V ESP CODORNIU CLASSICO BRUT 200 ML                         </t>
  </si>
  <si>
    <t>TIERRA DE CASTILLA</t>
  </si>
  <si>
    <t xml:space="preserve">X1543     </t>
  </si>
  <si>
    <t>BVIBRCO00001411</t>
  </si>
  <si>
    <t xml:space="preserve">V B NUVIANA CHARDONNAY GF 750 ML                            </t>
  </si>
  <si>
    <t>VALLE DEL CINCA</t>
  </si>
  <si>
    <t xml:space="preserve">X1542     </t>
  </si>
  <si>
    <t>BVITTCO00001410</t>
  </si>
  <si>
    <t xml:space="preserve">V T NUVIANA TEMPRANILLO/CAB SAUV GF 750 ML                  </t>
  </si>
  <si>
    <t xml:space="preserve">08JV      </t>
  </si>
  <si>
    <t>BESEBCOCLXXSCXX</t>
  </si>
  <si>
    <t xml:space="preserve">V ESP BRUT CODORNIU CLASSICO 750 ML                         </t>
  </si>
  <si>
    <t xml:space="preserve">08JZ      </t>
  </si>
  <si>
    <t>BESEICOCLXXSCXX</t>
  </si>
  <si>
    <t xml:space="preserve">V ESP SEMI CODORNIU CLASSICO 750 ML                         </t>
  </si>
  <si>
    <t xml:space="preserve">.V801     </t>
  </si>
  <si>
    <t>BVIROCOBKXXSCXX</t>
  </si>
  <si>
    <t xml:space="preserve">V CODORNIU BRUT CLAS ROSADO 750ML                           </t>
  </si>
  <si>
    <t xml:space="preserve">X1544     </t>
  </si>
  <si>
    <t>BVIESCO00001412</t>
  </si>
  <si>
    <t xml:space="preserve">V ESP RONDEL BRUT GF 750 ML                                 </t>
  </si>
  <si>
    <t xml:space="preserve">X1440     </t>
  </si>
  <si>
    <t>BESBRCO00000983</t>
  </si>
  <si>
    <t xml:space="preserve">V ESP CODORNIU ANNA ICE 750ML                               </t>
  </si>
  <si>
    <t xml:space="preserve">X1286     </t>
  </si>
  <si>
    <t>BESROCO00000683</t>
  </si>
  <si>
    <t xml:space="preserve">V ESP CODORNIU ANNA ROSE                                    </t>
  </si>
  <si>
    <t xml:space="preserve">08LK      </t>
  </si>
  <si>
    <t>BVIROCOXXPNSCXX</t>
  </si>
  <si>
    <t xml:space="preserve">V ESP GRAN CODORNIU P NOIR 750 ML                           </t>
  </si>
  <si>
    <t xml:space="preserve">08QL   </t>
  </si>
  <si>
    <t>BVIROCOXXPNSAXX</t>
  </si>
  <si>
    <t xml:space="preserve">V ESP GRAN CODORNIU P NOIR 750 ML (CARTUCHO)                </t>
  </si>
  <si>
    <t xml:space="preserve">X1070     </t>
  </si>
  <si>
    <t>BVIGTCOXXPNLKXX</t>
  </si>
  <si>
    <t xml:space="preserve">V CODORNIU G VINTAGE P NOIR (01GF/2TACAS) 750 ML            </t>
  </si>
  <si>
    <t>PENEDÉS</t>
  </si>
  <si>
    <t xml:space="preserve">          </t>
  </si>
  <si>
    <t>BESBSCO00003091</t>
  </si>
  <si>
    <t xml:space="preserve">V ESP ARS COLLECTA CODORNIU GRAND ROSE RESERVA 750ML        </t>
  </si>
  <si>
    <t>BESEBCO00003090</t>
  </si>
  <si>
    <t xml:space="preserve">V ESP ARS COLLECTA CODORNIU BLANC DE BLANCS RESERVA 750ML   </t>
  </si>
  <si>
    <t xml:space="preserve">V8TY      </t>
  </si>
  <si>
    <t>BVIROCOXXPNSLXX</t>
  </si>
  <si>
    <t xml:space="preserve">V ROSE CODORNIU PINOT NOIR 750 ML (LATA)                    </t>
  </si>
  <si>
    <t>NAVARRA</t>
  </si>
  <si>
    <t xml:space="preserve">X1915     </t>
  </si>
  <si>
    <t>BVITTEC00002216</t>
  </si>
  <si>
    <t xml:space="preserve">V T ESCAROT SINGLE GARNACHA DO NAVARRA 750 ML               </t>
  </si>
  <si>
    <t xml:space="preserve">X1916     </t>
  </si>
  <si>
    <t>BVITTEC00002217</t>
  </si>
  <si>
    <t xml:space="preserve">V T ESCAROT TRIC GARNACHA TEMPRAN/MERLOT DO NAVARRA 750ML   </t>
  </si>
  <si>
    <t>JUMILLA</t>
  </si>
  <si>
    <t xml:space="preserve">X1913     </t>
  </si>
  <si>
    <t>BVITTEC00002214</t>
  </si>
  <si>
    <t xml:space="preserve">V T FRANCO GARNACHA TINTORERA DOP JUMILLA 750 ML            </t>
  </si>
  <si>
    <t xml:space="preserve">X1914     </t>
  </si>
  <si>
    <t>BVITTEC00002215</t>
  </si>
  <si>
    <t xml:space="preserve">V T FRANCO MONASTRELL DOP JUMILLA 750 ML                    </t>
  </si>
  <si>
    <t>VALDEPEÑAS</t>
  </si>
  <si>
    <t xml:space="preserve">X1922     </t>
  </si>
  <si>
    <t>BVITTEC00002223</t>
  </si>
  <si>
    <t xml:space="preserve">V T VENTA REAL RESERVA DO VALDEPENAS 750 ML                 </t>
  </si>
  <si>
    <t xml:space="preserve">X1923     </t>
  </si>
  <si>
    <t>BVITTEC00002224</t>
  </si>
  <si>
    <t xml:space="preserve">V T VENTA REAL GRAN RESERVA DO VALDEPENAS 750 ML            </t>
  </si>
  <si>
    <t>ALICANTE</t>
  </si>
  <si>
    <t xml:space="preserve">X1921     </t>
  </si>
  <si>
    <t>BVITTEC00002222</t>
  </si>
  <si>
    <t xml:space="preserve">V T EL VIVERO GARNACHA ALICANTE DOP 750ML                   </t>
  </si>
  <si>
    <t>BVITTEC00002450</t>
  </si>
  <si>
    <t xml:space="preserve">V T PROXIMO MARQUES DE RISCAL 750 ML                        </t>
  </si>
  <si>
    <t>RUEDA</t>
  </si>
  <si>
    <t>BVITTEC00002454</t>
  </si>
  <si>
    <t xml:space="preserve">V B VINA CALERA RUEDA 750 ML                                </t>
  </si>
  <si>
    <t>ARAGÓN</t>
  </si>
  <si>
    <t>BVIBRCO00002602</t>
  </si>
  <si>
    <t xml:space="preserve">V B VERANZA 750 ML                                          </t>
  </si>
  <si>
    <t>BVITTCO00002603</t>
  </si>
  <si>
    <t xml:space="preserve">V T VERANZA 750 ML                                          </t>
  </si>
  <si>
    <t>CATALUNYA</t>
  </si>
  <si>
    <t>BVIBRCO00002600</t>
  </si>
  <si>
    <t xml:space="preserve">V B VOL I DOL D.O.CATALUNYA 750 ML                          </t>
  </si>
  <si>
    <t>BVITTCO00002601</t>
  </si>
  <si>
    <t xml:space="preserve">V T VOL I DOL D.O.CATALUNYA 750 ML                          </t>
  </si>
  <si>
    <t>BVIBRCO00002604</t>
  </si>
  <si>
    <t xml:space="preserve">V B VINAS DE ANNA D.O.CATALUNYA 750 ML                      </t>
  </si>
  <si>
    <t>BVIROCO00002605</t>
  </si>
  <si>
    <t xml:space="preserve">V R VINAS DE ANNA D.O.CATALUNYA 750 ML                      </t>
  </si>
  <si>
    <t>PENÍNSULA DE SETÚBAL</t>
  </si>
  <si>
    <t xml:space="preserve">X2069     </t>
  </si>
  <si>
    <t>BVIBRJM00002320</t>
  </si>
  <si>
    <t xml:space="preserve">V B JMF TREVO 750 ML                                        </t>
  </si>
  <si>
    <t>BVIROJM00003080</t>
  </si>
  <si>
    <t xml:space="preserve">V R JMF TREVO 750 ML                                        </t>
  </si>
  <si>
    <t xml:space="preserve">X2068     </t>
  </si>
  <si>
    <t>BVITTJM00002319</t>
  </si>
  <si>
    <t xml:space="preserve">V T JMF TREVO 750 ML                                        </t>
  </si>
  <si>
    <t xml:space="preserve">X2070     </t>
  </si>
  <si>
    <t>BVITTJM00002321</t>
  </si>
  <si>
    <t xml:space="preserve">V T JMF TREVO RESERVA 750 ML                                </t>
  </si>
  <si>
    <t>VINHOS VERDES</t>
  </si>
  <si>
    <t xml:space="preserve">X1910     </t>
  </si>
  <si>
    <t>BVIBREC00002211</t>
  </si>
  <si>
    <t xml:space="preserve">V VERDE BCO AVELEDA LOUREIRO 750ML                          </t>
  </si>
  <si>
    <t xml:space="preserve">X1911     </t>
  </si>
  <si>
    <t>BVIBREC00002212</t>
  </si>
  <si>
    <t xml:space="preserve">V VERDE BCO AVELEDA PRAIA 750 ML                            </t>
  </si>
  <si>
    <t>DOURO</t>
  </si>
  <si>
    <t xml:space="preserve">X1912     </t>
  </si>
  <si>
    <t>BVITTEC00002213</t>
  </si>
  <si>
    <t xml:space="preserve">V T CHARAMBA DOURO RESERVA 750ML                            </t>
  </si>
  <si>
    <t>BVITTAV00002455</t>
  </si>
  <si>
    <t xml:space="preserve">V T AVELEDA 12 KNIGHTS VR LISBOA GF 750ML                   </t>
  </si>
  <si>
    <t xml:space="preserve">08YF      </t>
  </si>
  <si>
    <t>BVITTMRGRTESCXX</t>
  </si>
  <si>
    <t xml:space="preserve">V T M RISCAL G RESERVA TEMPRAN 750 ML                       </t>
  </si>
  <si>
    <t xml:space="preserve">08YD      </t>
  </si>
  <si>
    <t>BVITTMRBHTESCXX</t>
  </si>
  <si>
    <t xml:space="preserve">V T M RISCAL BARON CHIREL TEMPRAN 750 ML                    </t>
  </si>
  <si>
    <t>CASTILLA Y LEÓN</t>
  </si>
  <si>
    <t xml:space="preserve">08YT      </t>
  </si>
  <si>
    <t>BVITTMRRCTETSXX</t>
  </si>
  <si>
    <t xml:space="preserve">V T M RISCAL 1860 TEMPRANILLO 375 ML                        </t>
  </si>
  <si>
    <t xml:space="preserve">08YP      </t>
  </si>
  <si>
    <t>BVIBRMRRUVETSXX</t>
  </si>
  <si>
    <t xml:space="preserve">V B M RISCAL RUEDA VERDEJO 375 ML                           </t>
  </si>
  <si>
    <t xml:space="preserve">V8UB      </t>
  </si>
  <si>
    <t>BVITTMRVCXXSCXX</t>
  </si>
  <si>
    <t xml:space="preserve">V T M RISCAL VINA COLLADA 750 ML                            </t>
  </si>
  <si>
    <t>BKTNLMR00003310</t>
  </si>
  <si>
    <t>PACK V T VINA COLLADA M RISCAL(01GF 750ML/01 TABUA PETISCOS)</t>
  </si>
  <si>
    <t xml:space="preserve">X1896     </t>
  </si>
  <si>
    <t>BVITTMR00002154</t>
  </si>
  <si>
    <t xml:space="preserve">V T M RISCAL 1860 TEMPRANILLO 750 ML                        </t>
  </si>
  <si>
    <t xml:space="preserve">X1892     </t>
  </si>
  <si>
    <t>BVIBRMR00002125</t>
  </si>
  <si>
    <t xml:space="preserve">V B M RISCAL RUEDA VERDEJO 750 ML                           </t>
  </si>
  <si>
    <t xml:space="preserve">.B12      </t>
  </si>
  <si>
    <t>BVITTMRZZXXSC07</t>
  </si>
  <si>
    <t xml:space="preserve">V T MARQUES DE ARIENZO CRIANZA 750 ML                       </t>
  </si>
  <si>
    <t xml:space="preserve">08YJ      </t>
  </si>
  <si>
    <t>BVITTMRRATETSXX</t>
  </si>
  <si>
    <t xml:space="preserve">V T M RISCAL RESERVA TEMPRAN 375 ML                         </t>
  </si>
  <si>
    <t>BVIBREC00003664</t>
  </si>
  <si>
    <t xml:space="preserve">V B M RISCAL LIMOUSIN DO RUEDA 750 ML                       </t>
  </si>
  <si>
    <t xml:space="preserve">08YH      </t>
  </si>
  <si>
    <t>BVITTMRRATESCXX</t>
  </si>
  <si>
    <t xml:space="preserve">V T M RISCAL RESERVA TEMPRAN 750 ML                         </t>
  </si>
  <si>
    <t xml:space="preserve">08YL      </t>
  </si>
  <si>
    <t>BVITTMRRATEMQXX</t>
  </si>
  <si>
    <t xml:space="preserve">V T M RISCAL RESERVA TEMPRAN 1500 ML                        </t>
  </si>
  <si>
    <t>UTIEL-REQUENA DO</t>
  </si>
  <si>
    <t/>
  </si>
  <si>
    <t>BVITTTL00002829</t>
  </si>
  <si>
    <t xml:space="preserve">V T TORO LOCO TINTO SUPERIOR DOP UTIEL REQUENA 375 ML       </t>
  </si>
  <si>
    <t>BVITTTL00002465</t>
  </si>
  <si>
    <t xml:space="preserve">V T TORO LOCO TINTO SUPERIOR DOP UTIEL REQUENA 750 ML       </t>
  </si>
  <si>
    <t>BVIROTL00002463</t>
  </si>
  <si>
    <t xml:space="preserve">V R TORO LOCO DOP UTIEL REQUENA 750 ML                      </t>
  </si>
  <si>
    <t>BVIBRTL00002464</t>
  </si>
  <si>
    <t xml:space="preserve">V B TORO LOCO VIURA SAUVIGNON BLANC 750 ML                  </t>
  </si>
  <si>
    <t>BVITTTL00002466</t>
  </si>
  <si>
    <t xml:space="preserve">V T TORO LOCO BOBAL MERLOT SEL DOP UTIEL REQUENA 750 ML     </t>
  </si>
  <si>
    <t>BVITTTL00002467</t>
  </si>
  <si>
    <t xml:space="preserve">V T TORO LOCO CRIANZA DOP UTIEL REQUENA 750 ML              </t>
  </si>
  <si>
    <t>BVITTTL00002468</t>
  </si>
  <si>
    <t xml:space="preserve">V T TORO LOCO RESERVA DOP UTIEL REQUENA 750 ML              </t>
  </si>
  <si>
    <t>BVITTTL00002469</t>
  </si>
  <si>
    <t xml:space="preserve">V T TORO LOCO EDICION MEMORIA DOP UTIEL REQUENA 750 ML      </t>
  </si>
  <si>
    <t>BVITTTL00002470</t>
  </si>
  <si>
    <t xml:space="preserve">V T TORO LOCO LA FINCA DOP UTIEL REQUENA 750 ML             </t>
  </si>
  <si>
    <t>BVIBRBP00002838</t>
  </si>
  <si>
    <t xml:space="preserve">V B PROTOS VERDEJO P 750 ML                                 </t>
  </si>
  <si>
    <t>BVIROBP00002837</t>
  </si>
  <si>
    <t xml:space="preserve">V R PROTOS P ROSE 750ML                                     </t>
  </si>
  <si>
    <t>BVIBRBP00002839</t>
  </si>
  <si>
    <t xml:space="preserve">V B PROTOS VERDEJO 750 ML                                   </t>
  </si>
  <si>
    <t>BVITTBP00002830</t>
  </si>
  <si>
    <t xml:space="preserve">V T PROTOS P TEMPRANILLO BARREL AGED 750 ML                 </t>
  </si>
  <si>
    <t>CIGALES</t>
  </si>
  <si>
    <t>BVIROBP00002836</t>
  </si>
  <si>
    <t xml:space="preserve">V R AIRE DE PROTOS ROSE 750 ML                              </t>
  </si>
  <si>
    <t>BVITTBP00002833</t>
  </si>
  <si>
    <t xml:space="preserve">V T PROTOS ROBLE 750 ML                                     </t>
  </si>
  <si>
    <t>BVITTBP00002832</t>
  </si>
  <si>
    <t xml:space="preserve">V T PROTOS CRIANZA 750 ML                                   </t>
  </si>
  <si>
    <t>BVITTBP00002831</t>
  </si>
  <si>
    <t xml:space="preserve">V T PROTOS 27 750 ML                                        </t>
  </si>
  <si>
    <t>BVITTBP00002834</t>
  </si>
  <si>
    <t xml:space="preserve">V T PROTOS RESERVA 750 ML                                   </t>
  </si>
  <si>
    <t>CASTILLA - LA MANCHA</t>
  </si>
  <si>
    <t>BVITTNJ00003139</t>
  </si>
  <si>
    <t xml:space="preserve">V T CONEJITO CABERNET SAUVIGNON 750 ML                      </t>
  </si>
  <si>
    <t xml:space="preserve">V8DH      </t>
  </si>
  <si>
    <t>BVITTMRGVXXSCXX</t>
  </si>
  <si>
    <t xml:space="preserve">V T M RISCAL G RESERVA 150 ANIV 750 ML                      </t>
  </si>
  <si>
    <t>BVIBREC00002452</t>
  </si>
  <si>
    <t xml:space="preserve">V B M RISCAL LIMOUSIN RUEDA 750 ML                          </t>
  </si>
  <si>
    <t>BVIBREC00002453</t>
  </si>
  <si>
    <t xml:space="preserve">V B FINCA MONTICO RUEDA 750 ML                              </t>
  </si>
  <si>
    <t>BVITTEC00002451</t>
  </si>
  <si>
    <t xml:space="preserve">V T FINCA TORREA DOC RIOJA 750 ML                           </t>
  </si>
  <si>
    <t>TOKAJ</t>
  </si>
  <si>
    <t xml:space="preserve">X804      </t>
  </si>
  <si>
    <t>BVIBDLOWMXXQIXX</t>
  </si>
  <si>
    <t xml:space="preserve">V BCO DOCE LEONIS SWEET SZAMORODNI GF 500 ML                </t>
  </si>
  <si>
    <t xml:space="preserve">.B28      </t>
  </si>
  <si>
    <t>BVIBUPA5PXXQI00</t>
  </si>
  <si>
    <t xml:space="preserve">V B SUAVE PATRICIUS TOKAJI ASZU 5 PUTTONYOS 500ML           </t>
  </si>
  <si>
    <t xml:space="preserve">.B29      </t>
  </si>
  <si>
    <t>BVIBUPA6PXXQI00</t>
  </si>
  <si>
    <t xml:space="preserve">V B SUAVE PATRICIUS TOKAJI ASZU 6 PUTTONYOS 500ML           </t>
  </si>
  <si>
    <t xml:space="preserve">CORSEGA </t>
  </si>
  <si>
    <t>ILÉ DE BEAUTÉ</t>
  </si>
  <si>
    <t xml:space="preserve">V8GV      </t>
  </si>
  <si>
    <t>BVITTBGRVPNSCXX</t>
  </si>
  <si>
    <t xml:space="preserve">V BARTON GUESTIER RES PINOT NOIR 750 ML                     </t>
  </si>
  <si>
    <t>BORDEAUX</t>
  </si>
  <si>
    <t xml:space="preserve">V8IL      </t>
  </si>
  <si>
    <t>BVITTTBRBXXSCXX</t>
  </si>
  <si>
    <t xml:space="preserve">V T TH BARTON RESERVE BORDEAUX 750 ML                       </t>
  </si>
  <si>
    <t>MÉDOC</t>
  </si>
  <si>
    <t xml:space="preserve">V8IN      </t>
  </si>
  <si>
    <t>BVITTTBRTXXSCXX</t>
  </si>
  <si>
    <t xml:space="preserve">V T TH BARTON RESERVE MEDOC 750 ML                          </t>
  </si>
  <si>
    <t>GRAVES</t>
  </si>
  <si>
    <t xml:space="preserve">V8IJ      </t>
  </si>
  <si>
    <t>BVIBRTBRLXXSCXX</t>
  </si>
  <si>
    <t xml:space="preserve">V B TH BARTON RESERVE GRAVES 750 ML                         </t>
  </si>
  <si>
    <t xml:space="preserve">V8HV      </t>
  </si>
  <si>
    <t>BVITTBGCAXXSCXX</t>
  </si>
  <si>
    <t xml:space="preserve">V T B G LES CHARMES MAGNOL MEDOC 750 ML                     </t>
  </si>
  <si>
    <t>SAINT-ÉMILION</t>
  </si>
  <si>
    <t xml:space="preserve">V8IP      </t>
  </si>
  <si>
    <t>BVITTTBRWXXSCXX</t>
  </si>
  <si>
    <t xml:space="preserve">V T TH BARTON RESERVE ST EMILION 750 ML                     </t>
  </si>
  <si>
    <t>SAUTERNES</t>
  </si>
  <si>
    <t xml:space="preserve">V8IT      </t>
  </si>
  <si>
    <t>BVIBRTBRYXXSCXX</t>
  </si>
  <si>
    <t xml:space="preserve">V B TH BARTON RESERVE SAUTERNES 750 ML                      </t>
  </si>
  <si>
    <t>HAUT-MÉDOC</t>
  </si>
  <si>
    <t xml:space="preserve">V8HX      </t>
  </si>
  <si>
    <t>BVITTBGCXXXSCXX</t>
  </si>
  <si>
    <t xml:space="preserve">V T B G CHAT MAGNOL HAUT MEDOC 750 ML                       </t>
  </si>
  <si>
    <t>MARGAUX</t>
  </si>
  <si>
    <t xml:space="preserve">V8IR      </t>
  </si>
  <si>
    <t>BVITTTBSFXXSCXX</t>
  </si>
  <si>
    <t xml:space="preserve">V T TH BARTON RESERVE MARGAUX 750 ML                        </t>
  </si>
  <si>
    <t>GASCOGNE</t>
  </si>
  <si>
    <t>CÔTES DE GASCOGNE</t>
  </si>
  <si>
    <t xml:space="preserve">V8GX      </t>
  </si>
  <si>
    <t>BVIBRBGRVSBSCXX</t>
  </si>
  <si>
    <t xml:space="preserve">V B B&amp;G RESERVE VAR S BLANC 750 ML                          </t>
  </si>
  <si>
    <t xml:space="preserve">LANGUEDOC </t>
  </si>
  <si>
    <t>PAYS D'OC</t>
  </si>
  <si>
    <t xml:space="preserve">V8GR      </t>
  </si>
  <si>
    <t>BVITTBGRVCSSCXX</t>
  </si>
  <si>
    <t xml:space="preserve">V T BARTON GUESTIER RESERVE VAR CAB SAUV 750 ML             </t>
  </si>
  <si>
    <t>LANGUEDOC</t>
  </si>
  <si>
    <t xml:space="preserve">V8GT      </t>
  </si>
  <si>
    <t>BVITTBGRVMESCXX</t>
  </si>
  <si>
    <t xml:space="preserve">V T B G RESERVE VAR MERLOT 750 ML                           </t>
  </si>
  <si>
    <t>RHÔNE</t>
  </si>
  <si>
    <t>CÔTES-DU-RHÔNE</t>
  </si>
  <si>
    <t xml:space="preserve">X314      </t>
  </si>
  <si>
    <t>BVITTBGKDCRSCXX</t>
  </si>
  <si>
    <t xml:space="preserve">V T BARTON GUESTIER FRENCH APP COTES DU RHONE 750 ML        </t>
  </si>
  <si>
    <t xml:space="preserve">X307      </t>
  </si>
  <si>
    <t>BVIBRBGKDBXSCXX</t>
  </si>
  <si>
    <t xml:space="preserve">V B BARTON GUESTIER FRENCH APP BORDEAUX 750 ML              </t>
  </si>
  <si>
    <t xml:space="preserve">X311      </t>
  </si>
  <si>
    <t>BVITTBGKDBXSCXX</t>
  </si>
  <si>
    <t xml:space="preserve">V T BARTON GUESTIER FRENCH APP BORDEAUX 750 ML              </t>
  </si>
  <si>
    <t>PROVENCE</t>
  </si>
  <si>
    <t>CÔTES DE PROVENCE</t>
  </si>
  <si>
    <t xml:space="preserve">X1745     </t>
  </si>
  <si>
    <t>BVIROBG00001785</t>
  </si>
  <si>
    <t xml:space="preserve">V ROSE BG COTES DE PROVENCE 750 ML                          </t>
  </si>
  <si>
    <t xml:space="preserve">X312      </t>
  </si>
  <si>
    <t>BVITTBGKDMDSCXX</t>
  </si>
  <si>
    <t xml:space="preserve">V T BARTON GUESTIER FRENCH APP MEDOC 750 ML                 </t>
  </si>
  <si>
    <t xml:space="preserve">X310      </t>
  </si>
  <si>
    <t>BVITTBGKDSESCXX</t>
  </si>
  <si>
    <t xml:space="preserve">V T BARTON GUESTIER FRENCH APP SAINT EMILION 750 ML         </t>
  </si>
  <si>
    <t>BORGONHA</t>
  </si>
  <si>
    <t>CHABLIS</t>
  </si>
  <si>
    <t xml:space="preserve">X306      </t>
  </si>
  <si>
    <t>BVIBRBGKDABSCXX</t>
  </si>
  <si>
    <t xml:space="preserve">V B BARTON GUESTIER FRENCH APP CHABLIS 750 ML               </t>
  </si>
  <si>
    <t xml:space="preserve">X313      </t>
  </si>
  <si>
    <t>BVITTBGKDMBSCXX</t>
  </si>
  <si>
    <t xml:space="preserve">V T BARTON GUESTIER FRENCH APP MARGAUX 750 ML               </t>
  </si>
  <si>
    <t>CHÂTEAUNEUF-DU-PAPE</t>
  </si>
  <si>
    <t xml:space="preserve">X309      </t>
  </si>
  <si>
    <t>BVITTBGKDAUSCXX</t>
  </si>
  <si>
    <t xml:space="preserve">V T BARTON GUESTIER FRENCH APP CHAT DU PAPE 750 ML          </t>
  </si>
  <si>
    <t xml:space="preserve">X271      </t>
  </si>
  <si>
    <t>BVIBRGUCWXXSCXX</t>
  </si>
  <si>
    <t xml:space="preserve">V B E.GUIGAL COTES DU RHONE 750 ML                          </t>
  </si>
  <si>
    <t xml:space="preserve">X270      </t>
  </si>
  <si>
    <t>BVIROGUCWXXSCXX</t>
  </si>
  <si>
    <t xml:space="preserve">V ROSE E.GUIGAL COTES DU RHONE 750 ML                       </t>
  </si>
  <si>
    <t xml:space="preserve">X269      </t>
  </si>
  <si>
    <t>BVITTGUCWXXSCXX</t>
  </si>
  <si>
    <t xml:space="preserve">V T E.GUIGAL COTES DU RHONE 750 ML                          </t>
  </si>
  <si>
    <t>TAVEL</t>
  </si>
  <si>
    <t xml:space="preserve">X268      </t>
  </si>
  <si>
    <t>BVIROGUFKXXSCXX</t>
  </si>
  <si>
    <t xml:space="preserve">V ROSE E.GUIGAL TAVEL 750 ML                                </t>
  </si>
  <si>
    <t>CROZES-HERMITAGE</t>
  </si>
  <si>
    <t xml:space="preserve">X265      </t>
  </si>
  <si>
    <t>BVITTGUZEXXSCXX</t>
  </si>
  <si>
    <t xml:space="preserve">V T E.GUIGAL CROZES HERMITAGE 750 ML                        </t>
  </si>
  <si>
    <t>GIGONDAS</t>
  </si>
  <si>
    <t xml:space="preserve">X267      </t>
  </si>
  <si>
    <t>BVITTGUNFXXSCXX</t>
  </si>
  <si>
    <t xml:space="preserve">V T E.GUIGAL GIGONDAS 750 ML                                </t>
  </si>
  <si>
    <t>SAINT JOSEPH</t>
  </si>
  <si>
    <t xml:space="preserve">X263      </t>
  </si>
  <si>
    <t>BVITTGUHOXXSCXX</t>
  </si>
  <si>
    <t xml:space="preserve">V T E.GUIGAL SAINT JOSEPH 750 ML                            </t>
  </si>
  <si>
    <t xml:space="preserve">X272      </t>
  </si>
  <si>
    <t>BVITTGUDPXXSCXX</t>
  </si>
  <si>
    <t xml:space="preserve">V T E.GUIGAL CHATEAUNEUF DU PAPE 750 ML                     </t>
  </si>
  <si>
    <t>CONDRIEU</t>
  </si>
  <si>
    <t xml:space="preserve">X259      </t>
  </si>
  <si>
    <t>BVIBRGUEUXXSCXX</t>
  </si>
  <si>
    <t xml:space="preserve">V B E.GUIGAL CONDRIEU 750 ML                                </t>
  </si>
  <si>
    <t xml:space="preserve">CÔTE-RÔTIE </t>
  </si>
  <si>
    <t xml:space="preserve">X257      </t>
  </si>
  <si>
    <t>BVITTGUEDBBSCXX</t>
  </si>
  <si>
    <t xml:space="preserve">V T E.GUIGAL COTE ROTIE BRUNE E BLONDE 750 ML               </t>
  </si>
  <si>
    <t>HERMITAGE</t>
  </si>
  <si>
    <t xml:space="preserve">X261      </t>
  </si>
  <si>
    <t>BVITTGUEMXXSCXX</t>
  </si>
  <si>
    <t xml:space="preserve">V T E.GUIGAL HERMITAGE 750 ML                               </t>
  </si>
  <si>
    <t xml:space="preserve">X256      </t>
  </si>
  <si>
    <t>BVITTGUEDCPSCXX</t>
  </si>
  <si>
    <t xml:space="preserve">V T E.GUIGAL COTE ROTIE CHATEAU D AMPUIS 750 ML             </t>
  </si>
  <si>
    <t>CÔTE RÔTIE</t>
  </si>
  <si>
    <t xml:space="preserve">X254      </t>
  </si>
  <si>
    <t>BVITTGUEDLLSCXX</t>
  </si>
  <si>
    <t xml:space="preserve">V T E.GUIGAL COTE ROTIE LA LANDONNE 750 ML                  </t>
  </si>
  <si>
    <t xml:space="preserve">X255      </t>
  </si>
  <si>
    <t>BVITTGUEDLTSCXX</t>
  </si>
  <si>
    <t xml:space="preserve">V T E.GUIGAL COTE ROTIE LA TURQUE 750 ML                    </t>
  </si>
  <si>
    <t xml:space="preserve">X253      </t>
  </si>
  <si>
    <t>BVITTGUEDLMSCXX</t>
  </si>
  <si>
    <t xml:space="preserve">V T E.GUIGAL COTE ROTIE LA MOULINE 750 ML                   </t>
  </si>
  <si>
    <t xml:space="preserve">X1541     </t>
  </si>
  <si>
    <t>BVITTGU00001403</t>
  </si>
  <si>
    <t>V T E.GUIGAL CHATEAUNEUF DU PAPE STES PIERRES DE NALYS 750ML</t>
  </si>
  <si>
    <t xml:space="preserve">X1540     </t>
  </si>
  <si>
    <t>BVITTGU00001402</t>
  </si>
  <si>
    <t xml:space="preserve">V T E.GUIGAL CHATEAUNEUF DU PAPE CHATEAU DE NALYS 750ML     </t>
  </si>
  <si>
    <t>VIN DE FRANCE</t>
  </si>
  <si>
    <t xml:space="preserve">X1151     </t>
  </si>
  <si>
    <t>BVIROGDXXLCSCXX</t>
  </si>
  <si>
    <t xml:space="preserve">V ROSE GEORGES DUBOEUF LA CUVEE 750 ML                      </t>
  </si>
  <si>
    <t>VCE</t>
  </si>
  <si>
    <t xml:space="preserve">X1152     </t>
  </si>
  <si>
    <t>BVITTGDXXLCSCXX</t>
  </si>
  <si>
    <t xml:space="preserve">V T GEORGES DUBOEUF LA CUVEE 750 ML                         </t>
  </si>
  <si>
    <t xml:space="preserve">X281      </t>
  </si>
  <si>
    <t>BVITTGDJPMESCXX</t>
  </si>
  <si>
    <t xml:space="preserve">V T GEORGES DUBOEUF MERLOT 750 ML                           </t>
  </si>
  <si>
    <t xml:space="preserve">X280      </t>
  </si>
  <si>
    <t>BVIBRGDJPCHSCXX</t>
  </si>
  <si>
    <t xml:space="preserve">V B GEORGES DUBOEUF CHARDONNAY 750 ML                       </t>
  </si>
  <si>
    <t>BEAUJOLAIS</t>
  </si>
  <si>
    <t>BEUAJOLAIS VILLAGE</t>
  </si>
  <si>
    <t xml:space="preserve">X275      </t>
  </si>
  <si>
    <t>BVITTGDVOXXSCXX</t>
  </si>
  <si>
    <t xml:space="preserve">V T GEORGES DUBOEUF BEAUJ VILL AOC 750 ML                   </t>
  </si>
  <si>
    <t xml:space="preserve">FLEURIE </t>
  </si>
  <si>
    <t xml:space="preserve">X277      </t>
  </si>
  <si>
    <t>BVITTGDODXXSCXX</t>
  </si>
  <si>
    <t xml:space="preserve">V T GEORGES DUBOEUF FLEURIE AOC 750 ML                      </t>
  </si>
  <si>
    <t>MOULIN-À-VENT</t>
  </si>
  <si>
    <t xml:space="preserve">X278      </t>
  </si>
  <si>
    <t>BVITTGDDLXXSCXX</t>
  </si>
  <si>
    <t xml:space="preserve">V T GEORGES DUBOEUF MOULIN A VENT AOC 750 ML                </t>
  </si>
  <si>
    <t>POUILLY FUISSE</t>
  </si>
  <si>
    <t xml:space="preserve">X279      </t>
  </si>
  <si>
    <t>BVIBRGDLYXXSCXX</t>
  </si>
  <si>
    <t xml:space="preserve">V B GEORGES DUBOEUF POUILLY FUISSE AOC 750 ML               </t>
  </si>
  <si>
    <t xml:space="preserve">X1671     </t>
  </si>
  <si>
    <t>BVIBRGD00001671</t>
  </si>
  <si>
    <t xml:space="preserve">V B GEORGES DUBOEUF LA CUVEE BLANC GF 750 ML                </t>
  </si>
  <si>
    <t xml:space="preserve">X1672     </t>
  </si>
  <si>
    <t>BVITTGD00001672</t>
  </si>
  <si>
    <t xml:space="preserve">V T GEORGES DUBOEUF PINOT NOIR GF 750 ML                    </t>
  </si>
  <si>
    <t>ALSÁCIA</t>
  </si>
  <si>
    <t xml:space="preserve">X630      </t>
  </si>
  <si>
    <t>BVIBRLYXXLCSCXX</t>
  </si>
  <si>
    <t xml:space="preserve">V B LEON BEYER LA CUVEE 750 ML                              </t>
  </si>
  <si>
    <t xml:space="preserve">X626      </t>
  </si>
  <si>
    <t>BVIBRLYXXRISCXX</t>
  </si>
  <si>
    <t xml:space="preserve">V B LEON BEYER RIESLING 750 ML                              </t>
  </si>
  <si>
    <t xml:space="preserve">X624      </t>
  </si>
  <si>
    <t>BVIBRLYZTXXSCXX</t>
  </si>
  <si>
    <t xml:space="preserve">V B LEON BEYER GEWURZTRAMINER 750 ML                        </t>
  </si>
  <si>
    <t xml:space="preserve">X629      </t>
  </si>
  <si>
    <t>BVIBRLYXXRRSCXX</t>
  </si>
  <si>
    <t xml:space="preserve">V B LEON BEYER RIESLING RESERVE 750 ML                      </t>
  </si>
  <si>
    <t>LOIRE</t>
  </si>
  <si>
    <t>TOURAINE</t>
  </si>
  <si>
    <t xml:space="preserve">X632      </t>
  </si>
  <si>
    <t>BVIBRPJUDSBSCXX</t>
  </si>
  <si>
    <t xml:space="preserve">V B PASCAL JOLIVET ATTITUDE S BLANC 750 ML                  </t>
  </si>
  <si>
    <t>SANCERRE</t>
  </si>
  <si>
    <t xml:space="preserve">X635      </t>
  </si>
  <si>
    <t>BVIBRPJHSXXSCXX</t>
  </si>
  <si>
    <t xml:space="preserve">V B PASCAL JOLIVET SANCERRE 750 ML                          </t>
  </si>
  <si>
    <t>POUILLY-FUMÉ</t>
  </si>
  <si>
    <t xml:space="preserve">X638      </t>
  </si>
  <si>
    <t>BVIBRPJYEXXSCXX</t>
  </si>
  <si>
    <t xml:space="preserve">V B PASCAL JOLIVET POUILLY FUME 750 ML                      </t>
  </si>
  <si>
    <t xml:space="preserve">SANCERRE </t>
  </si>
  <si>
    <t xml:space="preserve">X640      </t>
  </si>
  <si>
    <t>BVIBRPJHCXXSCXX</t>
  </si>
  <si>
    <t xml:space="preserve">V B PASCAL JOLIVET SANCERRE L CAILLOTTES 750 ML             </t>
  </si>
  <si>
    <t xml:space="preserve">X639      </t>
  </si>
  <si>
    <t>BVIBRPJYTXXSCXX</t>
  </si>
  <si>
    <t xml:space="preserve">V B PASCAL JOLIVET POUILLY F L T BLANCHES 750 ML            </t>
  </si>
  <si>
    <t xml:space="preserve">X642      </t>
  </si>
  <si>
    <t>BVIBRPJHMXXSCXX</t>
  </si>
  <si>
    <t xml:space="preserve">V B PASCAL JOLIVET SANCERRE SAUVAGE 750 ML                  </t>
  </si>
  <si>
    <t>CHAMPAGNE</t>
  </si>
  <si>
    <t xml:space="preserve">X456      </t>
  </si>
  <si>
    <t>BCPBRTGRHXXTSXX</t>
  </si>
  <si>
    <t xml:space="preserve">CHAMPAGNE TAITTINGER BRUT RESERVE 375 ML                    </t>
  </si>
  <si>
    <t xml:space="preserve">X455      </t>
  </si>
  <si>
    <t>BCPROTGEGXXTSXX</t>
  </si>
  <si>
    <t xml:space="preserve">CHAMPAGNE TAITTINGER PRESTIGE ROSE 375 ML                   </t>
  </si>
  <si>
    <t xml:space="preserve">X373      </t>
  </si>
  <si>
    <t>BCPBRTGXXXXSCXX</t>
  </si>
  <si>
    <t xml:space="preserve">CHAMPAGNE TAITTINGER BRUT RESERVE 750 ML                    </t>
  </si>
  <si>
    <t xml:space="preserve">X371      </t>
  </si>
  <si>
    <t>BCPBRTGNBXXSCXX</t>
  </si>
  <si>
    <t xml:space="preserve">CHAMPAGNE TAITTINGER NOCTURNE 750 ML                        </t>
  </si>
  <si>
    <t xml:space="preserve">X372      </t>
  </si>
  <si>
    <t>BCPROTGEGXXSCXX</t>
  </si>
  <si>
    <t xml:space="preserve">CHAMPAGNE TAITTINGER PRESTIGE ROSE 750 ML                   </t>
  </si>
  <si>
    <t xml:space="preserve">X374      </t>
  </si>
  <si>
    <t>BCPBRTGRHXXSCXX</t>
  </si>
  <si>
    <t xml:space="preserve">CHAMPAGNE TAITTINGER BRUT MILLESIME 750 ML                  </t>
  </si>
  <si>
    <t xml:space="preserve">X678 </t>
  </si>
  <si>
    <t>BCPXXTGQIXXMIMG</t>
  </si>
  <si>
    <t xml:space="preserve">CHAMP TAITTINGER BRUT RES MAGNUM 1500 ML                    </t>
  </si>
  <si>
    <t xml:space="preserve">X674 </t>
  </si>
  <si>
    <t>BCPROTGEGMGMQXX</t>
  </si>
  <si>
    <t xml:space="preserve">CHAMP TAITTINGER PRESTIGE ROSE MAGNUM 1500 ML               </t>
  </si>
  <si>
    <t>CÔTES DE BLANC</t>
  </si>
  <si>
    <t xml:space="preserve">X375      </t>
  </si>
  <si>
    <t>BCPBRTGWLBDSCXX</t>
  </si>
  <si>
    <t xml:space="preserve">CHAMPAGNE TAITTINGER COMTES B DE BLANCS 750 ML              </t>
  </si>
  <si>
    <t xml:space="preserve">X1089     </t>
  </si>
  <si>
    <t>BCPEBTGRHXXTMJE</t>
  </si>
  <si>
    <t xml:space="preserve">CHAMP TAITTINGER BRUT RESERVE JEROBOAM 3000 ML              </t>
  </si>
  <si>
    <t>CÔTES DE BLANC / MONTAGNE DE REIMS</t>
  </si>
  <si>
    <t xml:space="preserve">X376      </t>
  </si>
  <si>
    <t>BCPROTGWLXXSCXX</t>
  </si>
  <si>
    <t xml:space="preserve">CHAMPAGNE TAITTINGER COMTES ROSE 750 ML                     </t>
  </si>
  <si>
    <t xml:space="preserve">X713 </t>
  </si>
  <si>
    <t>BCPROTGEGXXTMJE</t>
  </si>
  <si>
    <t xml:space="preserve">CHAMP TAITTINGER PRESTIGE ROSE JEROBOAM 3000 ML             </t>
  </si>
  <si>
    <t>BEAUJOLAIS VILLAGES</t>
  </si>
  <si>
    <t xml:space="preserve">X1294     </t>
  </si>
  <si>
    <t>BVITTLJ00000731</t>
  </si>
  <si>
    <t xml:space="preserve">V T LOUIS JADOT BEAUJOLAIS VILLAGES 750ML                   </t>
  </si>
  <si>
    <t xml:space="preserve">X1293     </t>
  </si>
  <si>
    <t>BVITTLJ00000730</t>
  </si>
  <si>
    <t xml:space="preserve">V T LOUIS JADOT BEAUJ VILLAGES COMBE AUX JACQUES 750ML      </t>
  </si>
  <si>
    <t xml:space="preserve">X1297     </t>
  </si>
  <si>
    <t>BVIBRLJ00000734</t>
  </si>
  <si>
    <t xml:space="preserve">V B LOUIS JADOT BOURG CHARDONNAY COUVENT JACOBINS 750ML     </t>
  </si>
  <si>
    <t xml:space="preserve">X1298     </t>
  </si>
  <si>
    <t>BVIBRLJ00000735</t>
  </si>
  <si>
    <t xml:space="preserve">V B LOUIS JADOT BOURGOGNE CHARDONNAY 750ML                  </t>
  </si>
  <si>
    <t xml:space="preserve">X1295     </t>
  </si>
  <si>
    <t>BVITTLJ00000732</t>
  </si>
  <si>
    <t xml:space="preserve">V T LOUIS JADOT BOURG PINOT NOIR COUVENT JACOBINS 750ML     </t>
  </si>
  <si>
    <t xml:space="preserve">X1296     </t>
  </si>
  <si>
    <t>BVITTLJ00000733</t>
  </si>
  <si>
    <t xml:space="preserve">V T LOUIS JADOT BOURGOGNE PINOT NOIR 750ML                  </t>
  </si>
  <si>
    <t>FLEURIE</t>
  </si>
  <si>
    <t xml:space="preserve">X1300     </t>
  </si>
  <si>
    <t>BVITTLJ00000737</t>
  </si>
  <si>
    <t xml:space="preserve">V T LOUIS JADOT FLEURIE 750ML                               </t>
  </si>
  <si>
    <t>PETIT CHABLIS</t>
  </si>
  <si>
    <t>X1303</t>
  </si>
  <si>
    <t>BVIBRLJ00000740</t>
  </si>
  <si>
    <t xml:space="preserve">V B LOUIS JADOT PETIT CHABLIS 750ML                         </t>
  </si>
  <si>
    <t xml:space="preserve">X1299     </t>
  </si>
  <si>
    <t>BVITTLJ00000736</t>
  </si>
  <si>
    <t xml:space="preserve">V T LOUIS JADOT MOULIN A VENT CHATEAU DES JACQUES 750ML     </t>
  </si>
  <si>
    <t xml:space="preserve">X1304     </t>
  </si>
  <si>
    <t>BVIBRLJ00000741</t>
  </si>
  <si>
    <t xml:space="preserve">V B LOUIS JADOT CHABLIS 750ML                               </t>
  </si>
  <si>
    <t xml:space="preserve">CÔTE DE BEAUNE </t>
  </si>
  <si>
    <t xml:space="preserve">X1310     </t>
  </si>
  <si>
    <t>BVITTLJ00000748</t>
  </si>
  <si>
    <t xml:space="preserve">V T LOUIS JADOT COTE DE BEAUNE VILLAGES 750ML               </t>
  </si>
  <si>
    <t>POUILLY-FUISSÉ</t>
  </si>
  <si>
    <t xml:space="preserve">X1302     </t>
  </si>
  <si>
    <t>BVIBRLJ00000739</t>
  </si>
  <si>
    <t xml:space="preserve">V B LOUIS JADOT POUILLY FUISSE 750ML                        </t>
  </si>
  <si>
    <t xml:space="preserve">X1301     </t>
  </si>
  <si>
    <t>BVIBRLJ00000738</t>
  </si>
  <si>
    <t xml:space="preserve">V B LOUIS JADOT POUILLY FUISSE PETITES PIERRES 750ML        </t>
  </si>
  <si>
    <t xml:space="preserve">SANTENAY </t>
  </si>
  <si>
    <t xml:space="preserve">X1308     </t>
  </si>
  <si>
    <t>BVITTLJ00000745</t>
  </si>
  <si>
    <t xml:space="preserve">V T LOUIS JADOT SANTENAY CLOS DE MALTE 750ML                </t>
  </si>
  <si>
    <t xml:space="preserve">X1306     </t>
  </si>
  <si>
    <t>BVIBRLJ00000743</t>
  </si>
  <si>
    <t xml:space="preserve">V B LOUIS JADOT CHABLIS 1ER CRU FOURCHAUME 750ML            </t>
  </si>
  <si>
    <t>NUITS-SAINT-GEORGES</t>
  </si>
  <si>
    <t xml:space="preserve">X1318     </t>
  </si>
  <si>
    <t>BVIBRLJ00000755</t>
  </si>
  <si>
    <t xml:space="preserve">V T LOUIS JADOT NUITS SAINT GEORGES 750ML                   </t>
  </si>
  <si>
    <t>POMMARD</t>
  </si>
  <si>
    <t xml:space="preserve">X1309     </t>
  </si>
  <si>
    <t>BVITTLJ00000746</t>
  </si>
  <si>
    <t xml:space="preserve">V T LOUIS JADOT POMMARD 750ML                               </t>
  </si>
  <si>
    <t>MEURSAULT</t>
  </si>
  <si>
    <t xml:space="preserve">X1315     </t>
  </si>
  <si>
    <t>BVIBRLJ00000752</t>
  </si>
  <si>
    <t xml:space="preserve">V B LOUIS JADOT MEURSAULT 750ML                             </t>
  </si>
  <si>
    <t xml:space="preserve">X1311     </t>
  </si>
  <si>
    <t>BVITTLJ00000747</t>
  </si>
  <si>
    <t xml:space="preserve">V T LOUIS JADOT BEAUNE 1ER CRU CLOS DES URSULES 750ML       </t>
  </si>
  <si>
    <t xml:space="preserve">CHASSAGNE-MONTRACHET </t>
  </si>
  <si>
    <t xml:space="preserve">X1316     </t>
  </si>
  <si>
    <t>BVIBRLJ00000753</t>
  </si>
  <si>
    <t xml:space="preserve">V B LOUIS JADOT CHASS MONTR 1ER CRU MORGEOT C MAGENTA 750ML </t>
  </si>
  <si>
    <t xml:space="preserve">X1312     </t>
  </si>
  <si>
    <t>BVITTLJ00000749</t>
  </si>
  <si>
    <t xml:space="preserve">V T LOUIS JADOT NUITS SAINT GEORGES 1ER CRU L BOUDOTS 750ML </t>
  </si>
  <si>
    <t xml:space="preserve">CORTON </t>
  </si>
  <si>
    <t xml:space="preserve">X1313     </t>
  </si>
  <si>
    <t>BVITTLJ00000750</t>
  </si>
  <si>
    <t xml:space="preserve">V T LOUIS JADOT CORTON GRAND CRU 750ML                      </t>
  </si>
  <si>
    <t>CLOS VOUGEOT</t>
  </si>
  <si>
    <t xml:space="preserve">X1314     </t>
  </si>
  <si>
    <t>BVITTLJ00000751</t>
  </si>
  <si>
    <t xml:space="preserve">V T LOUIS JADOT CLOS VOUGEOT GRAND CRU 750ML                </t>
  </si>
  <si>
    <t>CORTON CHARLEMAGNE</t>
  </si>
  <si>
    <t>X1317</t>
  </si>
  <si>
    <t>BVIBRLJ00000754</t>
  </si>
  <si>
    <t xml:space="preserve">V B LOUIS JADOT CORTON CHARLEMAGNE GRAND CRU 750ML          </t>
  </si>
  <si>
    <t>BORGONHA/BEAUJOLAIS</t>
  </si>
  <si>
    <t>BVITTLJ00003479</t>
  </si>
  <si>
    <t xml:space="preserve">V T LOUIS JADOT COTEAUX BOURGUIGNONS 750 ML                 </t>
  </si>
  <si>
    <t>BVIBRLJ00003477</t>
  </si>
  <si>
    <t xml:space="preserve">V B LOUIS JADOT COTEAUX BOURGUIGNONS 750 ML                 </t>
  </si>
  <si>
    <t>BVITTLJ00003478</t>
  </si>
  <si>
    <t xml:space="preserve">V T LOUIS JADOT BOURGOGNE GAMAY 750 ML                      </t>
  </si>
  <si>
    <t xml:space="preserve">X2073     </t>
  </si>
  <si>
    <t>BVIBRLJ00002334</t>
  </si>
  <si>
    <t xml:space="preserve">V B LOUIS JADOT CHABLIS CELLIER DU VALVAN 750 ML            </t>
  </si>
  <si>
    <t>BVIBRLJ00003723</t>
  </si>
  <si>
    <t xml:space="preserve">V B LOUIS JADOT CHABLIS BLANCHOT GRAND CRU 750 ML           </t>
  </si>
  <si>
    <t>ALPES DE HAUTE PROVENCE</t>
  </si>
  <si>
    <t xml:space="preserve">X1925     </t>
  </si>
  <si>
    <t>BVIROEC00002226</t>
  </si>
  <si>
    <t xml:space="preserve">V R ALPES DE HAUTE PROVENCE SOLEIL DES ALPES 750 ML         </t>
  </si>
  <si>
    <t>COTÊS DU PROVENCE</t>
  </si>
  <si>
    <t xml:space="preserve">X1927     </t>
  </si>
  <si>
    <t>BVIROEC00002228</t>
  </si>
  <si>
    <t xml:space="preserve">V R COTES DE PROVENCE CHANTROSE CRD 750 ML                  </t>
  </si>
  <si>
    <t xml:space="preserve">X1886     </t>
  </si>
  <si>
    <t>BCPEDTG00002118</t>
  </si>
  <si>
    <t xml:space="preserve">CHAMPAGNE TAITTINGER IRROY EXTRA BRUT 750ML                 </t>
  </si>
  <si>
    <t xml:space="preserve">X1885     </t>
  </si>
  <si>
    <t>BCPROTG00002117</t>
  </si>
  <si>
    <t xml:space="preserve">CHAMPAGNE TAITTINGER IRROY ROSE BRUT 750ML                  </t>
  </si>
  <si>
    <t xml:space="preserve">X1977     </t>
  </si>
  <si>
    <t>BESBREC00002282</t>
  </si>
  <si>
    <t xml:space="preserve">V B ESP LA JOLIE BRUT BLANC DE BLANCS 750 ML                </t>
  </si>
  <si>
    <t xml:space="preserve">X1978     </t>
  </si>
  <si>
    <t>BESROEC00002283</t>
  </si>
  <si>
    <t xml:space="preserve">V R ESP LA JOLIE BRUT ROSE DE VERGY 750 ML                  </t>
  </si>
  <si>
    <t xml:space="preserve">X1975     </t>
  </si>
  <si>
    <t>BVIBREC00002274</t>
  </si>
  <si>
    <t xml:space="preserve">V B WILD PIG SAUVIGNON BLANC IGP PAYS DOC 750 ML            </t>
  </si>
  <si>
    <t xml:space="preserve">X1971     </t>
  </si>
  <si>
    <t>BVITTEC00002270</t>
  </si>
  <si>
    <t xml:space="preserve">V T WILD PIG CABERNET SAUVIGNON IGP PAYS DOC 750 ML         </t>
  </si>
  <si>
    <t xml:space="preserve">X1972     </t>
  </si>
  <si>
    <t>BVITTEC00002271</t>
  </si>
  <si>
    <t xml:space="preserve">V T WILD PIG MERLOT IGP PAYS DOC 750 ML                     </t>
  </si>
  <si>
    <t xml:space="preserve">X1976     </t>
  </si>
  <si>
    <t>BVITTEC00002275</t>
  </si>
  <si>
    <t xml:space="preserve">V R WILD PIG SYRAH/ROSE IGP PAYS DOC 750 ML                 </t>
  </si>
  <si>
    <t xml:space="preserve">X1974     </t>
  </si>
  <si>
    <t>BVIBREC00002295</t>
  </si>
  <si>
    <t xml:space="preserve">V B WILD PIG CHARDONNAY IGP PAYS DOC 750 ML                 </t>
  </si>
  <si>
    <t xml:space="preserve">X1973     </t>
  </si>
  <si>
    <t>BVITTEC00002272</t>
  </si>
  <si>
    <t xml:space="preserve">V T WILD PIG PINOT NOIR IGP PAYS DOC 750 ML                 </t>
  </si>
  <si>
    <t xml:space="preserve">X1987     </t>
  </si>
  <si>
    <t>BVITTEC00002279</t>
  </si>
  <si>
    <t xml:space="preserve">V T FAT BASTARD CABERNET SAUVIGNON IGP PAYS DOC 750 ML      </t>
  </si>
  <si>
    <t xml:space="preserve">X1985     </t>
  </si>
  <si>
    <t>BVITTEC00002277</t>
  </si>
  <si>
    <t xml:space="preserve">V T FAT BASTARD MERLOT IGP PAYS DOC 750 ML                  </t>
  </si>
  <si>
    <t xml:space="preserve">X1984     </t>
  </si>
  <si>
    <t>BVITTEC00002276</t>
  </si>
  <si>
    <t xml:space="preserve">V T FAT BASTARD SYRAH IGP PAYS DOC 750 ML                   </t>
  </si>
  <si>
    <t xml:space="preserve">X1989     </t>
  </si>
  <si>
    <t>BVIBREC00002281</t>
  </si>
  <si>
    <t xml:space="preserve">V B FAT BASTARD CHARDORNNAY IGP PAYS DOC 750 ML             </t>
  </si>
  <si>
    <t xml:space="preserve">X1988     </t>
  </si>
  <si>
    <t>BVIBREC00002280</t>
  </si>
  <si>
    <t xml:space="preserve">V B FAT BASTARD SAUVIGNON BLANC IGP PAYS DOC 750 ML         </t>
  </si>
  <si>
    <t xml:space="preserve">X1986     </t>
  </si>
  <si>
    <t>BVITTEC00002278</t>
  </si>
  <si>
    <t xml:space="preserve">V T FAT BASTARD PINOT NOIR IGP PAYS DOC 750 ML              </t>
  </si>
  <si>
    <t xml:space="preserve">X1947     </t>
  </si>
  <si>
    <t>BVITTEC00002260</t>
  </si>
  <si>
    <t xml:space="preserve">V T CHATEAU BARAIL AC BORDEAUX 750 ML                       </t>
  </si>
  <si>
    <t xml:space="preserve">X1944     </t>
  </si>
  <si>
    <t>BVIBREC00002257</t>
  </si>
  <si>
    <t xml:space="preserve">V B CHATEAU PILET AC BORDEAUX BLANC 750 ML                  </t>
  </si>
  <si>
    <t xml:space="preserve">X1945     </t>
  </si>
  <si>
    <t>BVITTEC00002258</t>
  </si>
  <si>
    <t xml:space="preserve">V T ROQUES MAURIAC AC BORDEAUX 750 ML                       </t>
  </si>
  <si>
    <t>BLAYE CÔTES DE BORDEAUX</t>
  </si>
  <si>
    <t xml:space="preserve">X1946     </t>
  </si>
  <si>
    <t>BVITTEC00002259</t>
  </si>
  <si>
    <t xml:space="preserve">V T LE CHANT DU COQ  AC BORDEAUX 750 ML                     </t>
  </si>
  <si>
    <t xml:space="preserve">X1924     </t>
  </si>
  <si>
    <t>BVIROEC00002225</t>
  </si>
  <si>
    <t xml:space="preserve">V R ALPES DE HAUTE PROVENCE PERLE DE VALENSOLE 750 ML       </t>
  </si>
  <si>
    <t>LUBERON</t>
  </si>
  <si>
    <t xml:space="preserve">X1926     </t>
  </si>
  <si>
    <t>BVIROEC00002227</t>
  </si>
  <si>
    <t xml:space="preserve">V R LUBERON JARDIN DES NAUTES CRD 750 ML                    </t>
  </si>
  <si>
    <t xml:space="preserve">X1954     </t>
  </si>
  <si>
    <t>BVITTEC00002267</t>
  </si>
  <si>
    <t xml:space="preserve">V T CHATEAU BOURBON LA CHAPELLE AC MEDOC 750 ML             </t>
  </si>
  <si>
    <t>CASTILLON CÔTES DE BORDEAUX</t>
  </si>
  <si>
    <t xml:space="preserve">X1953     </t>
  </si>
  <si>
    <t>BVITTEC00002266</t>
  </si>
  <si>
    <t xml:space="preserve">V T CH FONGABAN AC CASTILLON COTES DE BORDEAUX 750 ML       </t>
  </si>
  <si>
    <t xml:space="preserve">X1948     </t>
  </si>
  <si>
    <t>BVITTEC00002261</t>
  </si>
  <si>
    <t xml:space="preserve">V T CHATEAU LA BRANDE AC CASTILLON COTES DE BORDEAUX 750 ML </t>
  </si>
  <si>
    <t>MONTAGNE SAINT-ÉMILION</t>
  </si>
  <si>
    <t xml:space="preserve">X1951     </t>
  </si>
  <si>
    <t>BVITTEC00002264</t>
  </si>
  <si>
    <t xml:space="preserve">V T CH LA COURONNE RESERVE AC MONTAGNE ST EMILION 750 ML    </t>
  </si>
  <si>
    <t xml:space="preserve">X2058     </t>
  </si>
  <si>
    <t>BVITTEC00002268</t>
  </si>
  <si>
    <t xml:space="preserve">V T CHATEAU CASTERA AC MEDOC 750 ML                         </t>
  </si>
  <si>
    <t xml:space="preserve">X1949     </t>
  </si>
  <si>
    <t>BVITTEC00002262</t>
  </si>
  <si>
    <t xml:space="preserve">V T RECLOS DE LA COURONNE AC MONTAGNE ST EMILION 750 ML     </t>
  </si>
  <si>
    <t>SAINT ÉMILION</t>
  </si>
  <si>
    <t xml:space="preserve">X1952     </t>
  </si>
  <si>
    <t>BVITTEC00002265</t>
  </si>
  <si>
    <t xml:space="preserve">V T CHATEAU MANGOT AC SAINT EMILION GRAND CRU 750 ML        </t>
  </si>
  <si>
    <t xml:space="preserve">X1950     </t>
  </si>
  <si>
    <t>BVITTEC00002263</t>
  </si>
  <si>
    <t xml:space="preserve">V T CH ROYLLAND AC SAINT EMILION GRAND CRU 750 ML           </t>
  </si>
  <si>
    <t>LALANDE DE POMEROL</t>
  </si>
  <si>
    <t xml:space="preserve">X1963     </t>
  </si>
  <si>
    <t>BVITTEC00002251</t>
  </si>
  <si>
    <t xml:space="preserve">V T CHATEAU LA MISSON AOC LALANDE DE POMEROL 750 ML         </t>
  </si>
  <si>
    <t xml:space="preserve">X1964     </t>
  </si>
  <si>
    <t>BVITTEC00002252</t>
  </si>
  <si>
    <t xml:space="preserve">V T CHATEAU DE BEL AIR AOC LALANDE DE POMEROL 750 ML        </t>
  </si>
  <si>
    <t>POMEROL</t>
  </si>
  <si>
    <t xml:space="preserve">X1962     </t>
  </si>
  <si>
    <t>BVITTEC00002250</t>
  </si>
  <si>
    <t xml:space="preserve">V T L HOSPITALET DE GAZIN AOC POMEROL 750 ML                </t>
  </si>
  <si>
    <t xml:space="preserve">X1961     </t>
  </si>
  <si>
    <t>BVITTEC00002249</t>
  </si>
  <si>
    <t xml:space="preserve">V T CHATEAU LAGRANGE AOC POMEROL 750 ML                     </t>
  </si>
  <si>
    <t xml:space="preserve">X1966     </t>
  </si>
  <si>
    <t>BVITTEC00002254</t>
  </si>
  <si>
    <t xml:space="preserve">V T ESPERANCE DE TROTANOY AOC POMEROL 750 ML                </t>
  </si>
  <si>
    <t xml:space="preserve">X1960     </t>
  </si>
  <si>
    <t>BVITTEC00002248</t>
  </si>
  <si>
    <t xml:space="preserve">V T CHATEAU LATOUR AOC A POMEROL 750 ML                     </t>
  </si>
  <si>
    <t xml:space="preserve">X1959     </t>
  </si>
  <si>
    <t>BVITTEC00002247</t>
  </si>
  <si>
    <t xml:space="preserve">V T CHATEAU HOSANNA AOC POMEROL 750 ML                      </t>
  </si>
  <si>
    <t xml:space="preserve">X1965     </t>
  </si>
  <si>
    <t>BVITTEC00002253</t>
  </si>
  <si>
    <t xml:space="preserve">V T CHATEAU TROTANOY AOC POMEROL 750 ML                     </t>
  </si>
  <si>
    <t>BVIBRHR00003317</t>
  </si>
  <si>
    <t xml:space="preserve">V B CHATEAU HAUT RIOT SAUV BLANC 750 ML                     </t>
  </si>
  <si>
    <t>BVIROHR00003315</t>
  </si>
  <si>
    <t xml:space="preserve">V ROSE CHATEAU HAUT RIOT 750 ML                             </t>
  </si>
  <si>
    <t>BVITTHR00003316</t>
  </si>
  <si>
    <t xml:space="preserve">V T CHATEAU HAUT RIOT CAB SAUV 750 ML                       </t>
  </si>
  <si>
    <t>PIEMONTE</t>
  </si>
  <si>
    <t>ALBA</t>
  </si>
  <si>
    <t xml:space="preserve">V8NK      </t>
  </si>
  <si>
    <t>BVITTGCTIXXSCXX</t>
  </si>
  <si>
    <t xml:space="preserve">V T G CORTESE TRIFOLERA DOLC D ALBA DOC 750 ML              </t>
  </si>
  <si>
    <t xml:space="preserve">.B2       </t>
  </si>
  <si>
    <t>BVITTGCXXBASCXX</t>
  </si>
  <si>
    <t xml:space="preserve">V T G CORTESE BARBERA D ALBA 750 ML                         </t>
  </si>
  <si>
    <t>BARBARESCO</t>
  </si>
  <si>
    <t xml:space="preserve">V8MN      </t>
  </si>
  <si>
    <t>BVITTGCRKXXSCXX</t>
  </si>
  <si>
    <t xml:space="preserve">V T G CORTESE BARBARESCO RABAJA DOC 750 ML                  </t>
  </si>
  <si>
    <t>EMILIA ROMAGNA</t>
  </si>
  <si>
    <t xml:space="preserve">08AT      </t>
  </si>
  <si>
    <t>BVIFBAALBXXSCXX</t>
  </si>
  <si>
    <t xml:space="preserve">V FRIS B A ANDREANI LAMBRUSCO 750 ML                        </t>
  </si>
  <si>
    <t xml:space="preserve">08AS      </t>
  </si>
  <si>
    <t>BVIFTAALBXXSCXX</t>
  </si>
  <si>
    <t xml:space="preserve">V FRIS T A ANDREANI LAMBRUSCO 750 ML                        </t>
  </si>
  <si>
    <t>VENETO</t>
  </si>
  <si>
    <t>PROSECCO</t>
  </si>
  <si>
    <t xml:space="preserve">08BU      </t>
  </si>
  <si>
    <t>BESXXAAPSXXSCXX</t>
  </si>
  <si>
    <t xml:space="preserve">V ESP A ANDREANI PROSECCO 750 ML                            </t>
  </si>
  <si>
    <t>VALPOLICELLA CLASSICO</t>
  </si>
  <si>
    <t xml:space="preserve">V8BX      </t>
  </si>
  <si>
    <t>BVITTBOAFXXTSXX</t>
  </si>
  <si>
    <t xml:space="preserve">V T BOLLA VALPOLICELLA CLASS 375 ML                         </t>
  </si>
  <si>
    <t>SOAVE</t>
  </si>
  <si>
    <t xml:space="preserve">V8TM      </t>
  </si>
  <si>
    <t>BVIBRBOCFXXSCXX</t>
  </si>
  <si>
    <t xml:space="preserve">V B BOLLA SOAVE CLASSICO DOC 750 ML                         </t>
  </si>
  <si>
    <t xml:space="preserve">V8TO      </t>
  </si>
  <si>
    <t>BVITTBOXXCSSCXX</t>
  </si>
  <si>
    <t xml:space="preserve">V T BOLLA CAB SAUV 750 ML                                   </t>
  </si>
  <si>
    <t>BARDOLINO CLASSICO</t>
  </si>
  <si>
    <t xml:space="preserve">V8TQ      </t>
  </si>
  <si>
    <t>BVITTBOCJXXSCXX</t>
  </si>
  <si>
    <t xml:space="preserve">V T BOLLA BARDOLINO CLASSICO DOC 750 ML                     </t>
  </si>
  <si>
    <t xml:space="preserve">V8XE      </t>
  </si>
  <si>
    <t>BVITTBOCBXXSCXX</t>
  </si>
  <si>
    <t xml:space="preserve">V T BOLLA VALPOLICELLA CLASS DOC 750 ML                     </t>
  </si>
  <si>
    <t xml:space="preserve">.M53      </t>
  </si>
  <si>
    <t>BVIFBCCLBXXSCXX</t>
  </si>
  <si>
    <t xml:space="preserve">V FRIS B CAVICCHIOLI LAMBRUSCO 750 ML                       </t>
  </si>
  <si>
    <t xml:space="preserve">.M54      </t>
  </si>
  <si>
    <t>BVIFTCCLBXXSCXX</t>
  </si>
  <si>
    <t xml:space="preserve">V FRIS T CAVICCHIOLI LAMBRUSCO 750 ML                       </t>
  </si>
  <si>
    <t>TOSCANA</t>
  </si>
  <si>
    <t>CHIANTI</t>
  </si>
  <si>
    <t xml:space="preserve">V800      </t>
  </si>
  <si>
    <t>BVITTMECIXXTSXX</t>
  </si>
  <si>
    <t xml:space="preserve">V T MELINI PIAN DEL MASSO CHIANTI DOCG 375 ML               </t>
  </si>
  <si>
    <t xml:space="preserve">V8ZZ      </t>
  </si>
  <si>
    <t>BVITTMECIXXSCXX</t>
  </si>
  <si>
    <t xml:space="preserve">V T MELINI PIAN DEL MASSO CHIANTI DOCG 750 ML               </t>
  </si>
  <si>
    <t>CHIANTI CLASSICO</t>
  </si>
  <si>
    <t xml:space="preserve">V8ZY      </t>
  </si>
  <si>
    <t>BVITTMSCCXXSCXX</t>
  </si>
  <si>
    <t xml:space="preserve">V T MELINI V SELVANELLA RSVA CHIANTI 750 ML                 </t>
  </si>
  <si>
    <t>VÊNETO</t>
  </si>
  <si>
    <t xml:space="preserve">X1252     </t>
  </si>
  <si>
    <t>BVICQCN00000523</t>
  </si>
  <si>
    <t xml:space="preserve">COQUETEL BELLINI CANELLA 200 ML                             </t>
  </si>
  <si>
    <t xml:space="preserve">X1253     </t>
  </si>
  <si>
    <t>BVICQCN00000524</t>
  </si>
  <si>
    <t xml:space="preserve">COQUETEL BELLINI CANELLA 750 ML                             </t>
  </si>
  <si>
    <t>SICILIA</t>
  </si>
  <si>
    <t xml:space="preserve">08JI      </t>
  </si>
  <si>
    <t>BVITTCESKNDSCXX</t>
  </si>
  <si>
    <t xml:space="preserve">V T CALEO SICILIA N DAVOLA 750 ML                           </t>
  </si>
  <si>
    <t>ABRUZZO</t>
  </si>
  <si>
    <t>MONTEPULCIANO D'ABRUZZO</t>
  </si>
  <si>
    <t xml:space="preserve">08LG      </t>
  </si>
  <si>
    <t>BVITTCEABMOSCXX</t>
  </si>
  <si>
    <t xml:space="preserve">V T CALEO D ABRUZZO MONTEPULC 750 ML                        </t>
  </si>
  <si>
    <t>PUGLIA</t>
  </si>
  <si>
    <t>SALENTO</t>
  </si>
  <si>
    <t xml:space="preserve">08JH      </t>
  </si>
  <si>
    <t>BVITTCESANOSCXX</t>
  </si>
  <si>
    <t xml:space="preserve">V T CALEO SALENTO NEGROAMARO 750 ML                         </t>
  </si>
  <si>
    <t xml:space="preserve">08JK      </t>
  </si>
  <si>
    <t>BVITTCEPRXXSCXX</t>
  </si>
  <si>
    <t xml:space="preserve">V T CALEO PUGLIA PRIMITIVO 750 ML                           </t>
  </si>
  <si>
    <t>MANDURIA</t>
  </si>
  <si>
    <t xml:space="preserve">X1743     </t>
  </si>
  <si>
    <t>BVITTCE00001783</t>
  </si>
  <si>
    <t xml:space="preserve">V T CALEO PRIMITIVO DI MANDURIA 750 ML                      </t>
  </si>
  <si>
    <t xml:space="preserve">X1744     </t>
  </si>
  <si>
    <t>BVIBRCE00001784</t>
  </si>
  <si>
    <t xml:space="preserve">V B CALEO PINOT GRIGIO 750 ML                               </t>
  </si>
  <si>
    <t xml:space="preserve">X17       </t>
  </si>
  <si>
    <t>BVIBEVRPSXXSCXX</t>
  </si>
  <si>
    <t xml:space="preserve">V ESP VISCONTI DELLA ROCCA PROSECCO DOC 750 ML              </t>
  </si>
  <si>
    <t xml:space="preserve">08TQ      </t>
  </si>
  <si>
    <t>BVITTALSBXXSCXX</t>
  </si>
  <si>
    <t xml:space="preserve">V T A LISINI SAN BIAGIO TOSC 750 ML                         </t>
  </si>
  <si>
    <t>MONTALCINO</t>
  </si>
  <si>
    <t xml:space="preserve">V8J       </t>
  </si>
  <si>
    <t>BVITTALMMXXSCXX</t>
  </si>
  <si>
    <t xml:space="preserve">V T A LISINI ROSSO DI MONTALCINO 750 ML                     </t>
  </si>
  <si>
    <t xml:space="preserve">08TO      </t>
  </si>
  <si>
    <t>BVITTALBUXXSCXX</t>
  </si>
  <si>
    <t xml:space="preserve">V T A LISINI BRUNELLO DI MONTALCINO 750 ML                  </t>
  </si>
  <si>
    <t xml:space="preserve">08TS      </t>
  </si>
  <si>
    <t>BVITTALBXXXSCXX</t>
  </si>
  <si>
    <t xml:space="preserve">V T A LISINI BRUNELLO DI MONTALCINO UGOLAIA 750 ML          </t>
  </si>
  <si>
    <t xml:space="preserve">X605      </t>
  </si>
  <si>
    <t>BVIBRVOTYXXTSXX</t>
  </si>
  <si>
    <t xml:space="preserve">V ITA BCO CORVO 375ML                                       </t>
  </si>
  <si>
    <t xml:space="preserve">X607      </t>
  </si>
  <si>
    <t>BVITTVOYIXXTSXX</t>
  </si>
  <si>
    <t xml:space="preserve">V ITA TTO CORVO 375 ML                                      </t>
  </si>
  <si>
    <t>BVIBRVO00002929</t>
  </si>
  <si>
    <t xml:space="preserve">V ITA BCO CORVO 750 ML                                      </t>
  </si>
  <si>
    <t xml:space="preserve">X2081     </t>
  </si>
  <si>
    <t>BVIROVO00002353</t>
  </si>
  <si>
    <t xml:space="preserve">V ITA CORVO ROSA 750 ML                                     </t>
  </si>
  <si>
    <t xml:space="preserve">X606      </t>
  </si>
  <si>
    <t>BVITTVOYIXXSCXX</t>
  </si>
  <si>
    <t xml:space="preserve">V ITA TTO CORVO 750 ML                                      </t>
  </si>
  <si>
    <t>BVIPAVO00003449</t>
  </si>
  <si>
    <t xml:space="preserve">PACK V T CORVO 750ML (01GF/01 TABUA PETISCOS)               </t>
  </si>
  <si>
    <t>BVIBRVO00003138</t>
  </si>
  <si>
    <t xml:space="preserve">V B ONIRIS 750 ML                                           </t>
  </si>
  <si>
    <t>BVITTVO00002927</t>
  </si>
  <si>
    <t xml:space="preserve">V T ONIRIS 750 ML                                           </t>
  </si>
  <si>
    <t>BVIROVO00002926</t>
  </si>
  <si>
    <t xml:space="preserve">V ROSE ONIRIS 750 ML                                        </t>
  </si>
  <si>
    <t xml:space="preserve">X801      </t>
  </si>
  <si>
    <t>BVITTULXXNDSCXX</t>
  </si>
  <si>
    <t xml:space="preserve">V T PASSO DEL MULE NERO D AVOLA 750 ML                      </t>
  </si>
  <si>
    <t>ETNA</t>
  </si>
  <si>
    <t xml:space="preserve">X803      </t>
  </si>
  <si>
    <t>BVITTVLWEXXSCXX</t>
  </si>
  <si>
    <t xml:space="preserve">V T LAVICO NERELLO MASCALASE 750 ML                         </t>
  </si>
  <si>
    <t>RIESI</t>
  </si>
  <si>
    <t xml:space="preserve">X802      </t>
  </si>
  <si>
    <t>BVITTDEXXNDSCXX</t>
  </si>
  <si>
    <t xml:space="preserve">V T DUCA ENRICO NERO D AVOLA 750 ML                         </t>
  </si>
  <si>
    <t>MARSALA</t>
  </si>
  <si>
    <t xml:space="preserve">X1739     </t>
  </si>
  <si>
    <t>BVIBRFL00001779</t>
  </si>
  <si>
    <t xml:space="preserve">V MARSALA FLORIO VECCHIOFLORIO DOLCE 750 ML                 </t>
  </si>
  <si>
    <t>BVIBRLN00003136</t>
  </si>
  <si>
    <t xml:space="preserve">V B CALANICA GRILLO 750 ML                                  </t>
  </si>
  <si>
    <t>BVITTLN00003137</t>
  </si>
  <si>
    <t xml:space="preserve">V T CALANICA FRAPPATO 750 ML                                </t>
  </si>
  <si>
    <t>BVITTLN00003135</t>
  </si>
  <si>
    <t xml:space="preserve">V T CALANICA NERO D'AVOLA 750 ML                            </t>
  </si>
  <si>
    <t xml:space="preserve">X799      </t>
  </si>
  <si>
    <t>BVIBRLNXXZHSCXX</t>
  </si>
  <si>
    <t xml:space="preserve">V B CALANICA INZOLIA/CHARDONNAY 750 ML                      </t>
  </si>
  <si>
    <t xml:space="preserve">08SQ      </t>
  </si>
  <si>
    <t>BVITTEGDGXXSCXX</t>
  </si>
  <si>
    <t xml:space="preserve">V T E GRASSO DOLC ALBA DEI GRASSI 750 ML                    </t>
  </si>
  <si>
    <t>LANGHE</t>
  </si>
  <si>
    <t xml:space="preserve">08SS      </t>
  </si>
  <si>
    <t>BVITTEGLIXXSCXX</t>
  </si>
  <si>
    <t xml:space="preserve">V T E GRASSO LANGHE NEBBIOLO 750 ML                         </t>
  </si>
  <si>
    <t xml:space="preserve">08SU      </t>
  </si>
  <si>
    <t>BVITTEGVMXXSCXX</t>
  </si>
  <si>
    <t xml:space="preserve">V T E GRASSO BARB DALBA V MARTINA 750 ML                    </t>
  </si>
  <si>
    <t>BAROLO</t>
  </si>
  <si>
    <t xml:space="preserve">08SX      </t>
  </si>
  <si>
    <t>BVITTEGBCXXSCXX</t>
  </si>
  <si>
    <t xml:space="preserve">V T E GRASSO BAROLO G.V. CHINIERA 750 ML                    </t>
  </si>
  <si>
    <t xml:space="preserve">08SW      </t>
  </si>
  <si>
    <t>BVITTEGBMXXSCXX</t>
  </si>
  <si>
    <t xml:space="preserve">V T E GRASSO BAROLO G.V.CASA MATE 750 ML                    </t>
  </si>
  <si>
    <t xml:space="preserve">.B24      </t>
  </si>
  <si>
    <t>BVITTBAUFXXSCXX</t>
  </si>
  <si>
    <t xml:space="preserve">V T BARBI SRL BRUSCO DEI BARBI IGT 750ML                    </t>
  </si>
  <si>
    <t>MORELLINO DI SCANSANO</t>
  </si>
  <si>
    <t xml:space="preserve">.B23      </t>
  </si>
  <si>
    <t>BVITTBAMQXXSCXX</t>
  </si>
  <si>
    <t xml:space="preserve">V T BARBI SRL M DI SCANSANO DOCG 750ML                      </t>
  </si>
  <si>
    <t xml:space="preserve">.B22      </t>
  </si>
  <si>
    <t>BVITTBATFXXSCXX</t>
  </si>
  <si>
    <t xml:space="preserve">V T BARBI SRL ROSSO DI MONTALCINO DOC 750ML                 </t>
  </si>
  <si>
    <t xml:space="preserve">.B21      </t>
  </si>
  <si>
    <t>BVITTBABUXXSCXX</t>
  </si>
  <si>
    <t xml:space="preserve">V T BARBI SRL BRUN DI MONTALCINO DOCG 750ML                 </t>
  </si>
  <si>
    <t xml:space="preserve">.B26      </t>
  </si>
  <si>
    <t>BVITTBAVXXXSCXX</t>
  </si>
  <si>
    <t xml:space="preserve">V T BARBI SRL BRUN DI MONT DOCG RISERVA 750ML               </t>
  </si>
  <si>
    <t>BVITTBA00003494</t>
  </si>
  <si>
    <t xml:space="preserve">V T BARBI SENZA SOLFITI IGT 750 ML                          </t>
  </si>
  <si>
    <t xml:space="preserve">.B25      </t>
  </si>
  <si>
    <t>BVITTBAVDXXSCXX</t>
  </si>
  <si>
    <t xml:space="preserve">V T BARBI SRL BRUN D MONT VIG DEL FIORE 750ML               </t>
  </si>
  <si>
    <t xml:space="preserve">X469      </t>
  </si>
  <si>
    <t>BVIBRRNZIPGSCXX</t>
  </si>
  <si>
    <t xml:space="preserve">V B RUFFINO LUMINA D VENEZIE P GRIGIO 750 ML                </t>
  </si>
  <si>
    <t xml:space="preserve">X466      </t>
  </si>
  <si>
    <t>BVITTRACCXXSCXX</t>
  </si>
  <si>
    <t xml:space="preserve">V T RUFFINO AZIANO CHIANTI CLASSICO DOCG 750 ML             </t>
  </si>
  <si>
    <t xml:space="preserve">X471      </t>
  </si>
  <si>
    <t>BVITTRCOAXXSCXX</t>
  </si>
  <si>
    <t xml:space="preserve">V T RUFFINO IL DUCALE TOSCANA IGT 750 ML                    </t>
  </si>
  <si>
    <t xml:space="preserve">X467      </t>
  </si>
  <si>
    <t>BVITTRLCCRVSCXX</t>
  </si>
  <si>
    <t xml:space="preserve">V T RUFFINO DUCALE CHIANTI CLASS RISERVA 750 ML             </t>
  </si>
  <si>
    <t xml:space="preserve">X470      </t>
  </si>
  <si>
    <t>BVITTRFCIXXTSXX</t>
  </si>
  <si>
    <t xml:space="preserve">V T RUFFINO CHIANTI DOCG 375 ML                             </t>
  </si>
  <si>
    <t>UMBRIA</t>
  </si>
  <si>
    <t>ORVIETO</t>
  </si>
  <si>
    <t xml:space="preserve">X468      </t>
  </si>
  <si>
    <t>BVIBRRRCLXXSCXX</t>
  </si>
  <si>
    <t xml:space="preserve">V B RUFFINO ORVIETO CLASSICO DOC 750 ML                     </t>
  </si>
  <si>
    <t xml:space="preserve">X370      </t>
  </si>
  <si>
    <t>BVITTRFCIXXSCXX</t>
  </si>
  <si>
    <t xml:space="preserve">V T RUFFINO CHIANTI DOCG 750 ML                             </t>
  </si>
  <si>
    <t xml:space="preserve">X465      </t>
  </si>
  <si>
    <t>BVIESRFPSEDSCXX</t>
  </si>
  <si>
    <t xml:space="preserve">V ESP RUFFINO PROSECCO EXTRA DRY 750 ML                     </t>
  </si>
  <si>
    <t>VITTORIA</t>
  </si>
  <si>
    <t xml:space="preserve">V8FE      </t>
  </si>
  <si>
    <t>BVITTPLCEXXSCXX</t>
  </si>
  <si>
    <t xml:space="preserve">V T PLANETA CERASUOLO VITTORIA 750 ML                       </t>
  </si>
  <si>
    <t xml:space="preserve">X204      </t>
  </si>
  <si>
    <t>BVITTPLOTXXSCXX</t>
  </si>
  <si>
    <t xml:space="preserve">V T PLANETA DORILLI CER DI VITTORIA CLASS 750 ML            </t>
  </si>
  <si>
    <t>NOTO</t>
  </si>
  <si>
    <t xml:space="preserve">V8UW      </t>
  </si>
  <si>
    <t>BVIBRPLPAXXQIXX</t>
  </si>
  <si>
    <t xml:space="preserve">V B PLANETA PASSITO DI NOTO DOC 500 ML                      </t>
  </si>
  <si>
    <t xml:space="preserve">08VW      </t>
  </si>
  <si>
    <t>BVITTPLTPXXSCXX</t>
  </si>
  <si>
    <t xml:space="preserve">V T PLANETA SANTA CECILIA IGT 750 ML                        </t>
  </si>
  <si>
    <t>SARDENHA</t>
  </si>
  <si>
    <t xml:space="preserve">X3        </t>
  </si>
  <si>
    <t>BVIBRSMVSXXSCXX</t>
  </si>
  <si>
    <t xml:space="preserve">V B SELLA &amp; MOSCA VERM DI SARDEGNA DOC 750 ML               </t>
  </si>
  <si>
    <t xml:space="preserve">X5        </t>
  </si>
  <si>
    <t>BVITTSMNNXXSCXX</t>
  </si>
  <si>
    <t xml:space="preserve">V T SELLA MOSCA C DI SARDEGNA DOC 750 ML                    </t>
  </si>
  <si>
    <t>GALLURA</t>
  </si>
  <si>
    <t xml:space="preserve">X4        </t>
  </si>
  <si>
    <t>BVIBRSMVZXXSCXX</t>
  </si>
  <si>
    <t xml:space="preserve">V B SELLA MOSCA MONTEORO VER DI GAL SUP 750 ML              </t>
  </si>
  <si>
    <t>ALGHERO</t>
  </si>
  <si>
    <t xml:space="preserve">X7        </t>
  </si>
  <si>
    <t>BVITTSMTHXXSCXX</t>
  </si>
  <si>
    <t xml:space="preserve">V T SELLA MOSCA TANCA FARRA DOC 750 ML                      </t>
  </si>
  <si>
    <t xml:space="preserve">X1562     </t>
  </si>
  <si>
    <t>BAPXXSP00001452</t>
  </si>
  <si>
    <t xml:space="preserve">APERITIVO SPERONE SPRITZ UP 750 ML                          </t>
  </si>
  <si>
    <t xml:space="preserve">X1561     </t>
  </si>
  <si>
    <t>BESTTSP00001451</t>
  </si>
  <si>
    <t xml:space="preserve">V T ESPUMANTE SPERONE RED 750 ML                            </t>
  </si>
  <si>
    <t xml:space="preserve">X1049   </t>
  </si>
  <si>
    <t>BVIESSPXXHWSCXX</t>
  </si>
  <si>
    <t xml:space="preserve">V ESPUMANTE SPERONE CHILL WHITE 750 ML                      </t>
  </si>
  <si>
    <t>BESBRSD00002803</t>
  </si>
  <si>
    <t xml:space="preserve">V ESPUMANTE CUVEE VALDO 750 ML                              </t>
  </si>
  <si>
    <t>BESBRSD00002802</t>
  </si>
  <si>
    <t xml:space="preserve">V BCO ESPUMANTE PROSECCO ORO VALDO 750 ML                   </t>
  </si>
  <si>
    <t>BVITTEC00002526</t>
  </si>
  <si>
    <t xml:space="preserve">V T SANGIOVESE DI TOSCANA IGT SERRISTORI 750 ML             </t>
  </si>
  <si>
    <t>BVITTEC00002527</t>
  </si>
  <si>
    <t xml:space="preserve">V T CHIANTI DOCG SERRISTORI 750 ML                          </t>
  </si>
  <si>
    <t>BVITTEC00002528</t>
  </si>
  <si>
    <t xml:space="preserve">V T CHIANTI CLASSICO DOCG SERRISTORI 750 ML                 </t>
  </si>
  <si>
    <t>DOLCETTO D'ACQUI</t>
  </si>
  <si>
    <t>BVITTEC00002520</t>
  </si>
  <si>
    <t xml:space="preserve">V T DOLCETTO D`ACQUI DOC CA´BIANCA 750 ML                   </t>
  </si>
  <si>
    <t>ASTI</t>
  </si>
  <si>
    <t>BVIBREC00002524</t>
  </si>
  <si>
    <t xml:space="preserve">V B MOSCATO D`ASTI DOCG CA`BIANCA 750 ML                    </t>
  </si>
  <si>
    <t>BVIBEEC00002525</t>
  </si>
  <si>
    <t xml:space="preserve">V B ESPUMANTE ASTI DOCG CA´BIANCA 750 ML                    </t>
  </si>
  <si>
    <t>ARNEIS</t>
  </si>
  <si>
    <t>BVIBREC00002523</t>
  </si>
  <si>
    <t xml:space="preserve">V B ROERO ARNEIS DOCG CA`BIANCA 750 ML                      </t>
  </si>
  <si>
    <t>BVITTEC00002521</t>
  </si>
  <si>
    <t xml:space="preserve">V T BARBERA D`ASTI DOCG SUP CA`BIANCA 750 ML                </t>
  </si>
  <si>
    <t>GAVI</t>
  </si>
  <si>
    <t>BVIBREC00002518</t>
  </si>
  <si>
    <t xml:space="preserve">V B GAVI DOCG CA`BIANCA 750 ML                              </t>
  </si>
  <si>
    <t>BVITTEC00002519</t>
  </si>
  <si>
    <t xml:space="preserve">V T LANGHE NEBBIOLO DOC CA`BIANCA 750 ML                    </t>
  </si>
  <si>
    <t>BVITTEC00002522</t>
  </si>
  <si>
    <t xml:space="preserve">V T BAROLO DOCG CA`BIANCA 750 ML                            </t>
  </si>
  <si>
    <t xml:space="preserve">X2065     </t>
  </si>
  <si>
    <t>BVIBREC00002313</t>
  </si>
  <si>
    <t xml:space="preserve">PRIMA ALTA DELLE VENEZIE PINOT GRIGIO 750 ML                </t>
  </si>
  <si>
    <t xml:space="preserve">X2062     </t>
  </si>
  <si>
    <t>BVITTEC00002310</t>
  </si>
  <si>
    <t xml:space="preserve">V T ALBINONI MONTEPULCIANO D ABRUZZO 750 ML                 </t>
  </si>
  <si>
    <t xml:space="preserve">X2064     </t>
  </si>
  <si>
    <t>BVITTEC00002312</t>
  </si>
  <si>
    <t xml:space="preserve">V T ALBINONI SICILIA NERO D AVOLA 750 ML                    </t>
  </si>
  <si>
    <t xml:space="preserve">X2063     </t>
  </si>
  <si>
    <t>BVITTEC00002311</t>
  </si>
  <si>
    <t xml:space="preserve">V T ALBINONI PUGLIA PRIMITIVO 750 ML                        </t>
  </si>
  <si>
    <t xml:space="preserve">X2060     </t>
  </si>
  <si>
    <t>BVITTEC00002308</t>
  </si>
  <si>
    <t xml:space="preserve">BACCA NERA SALENTO NEGROAMARO PRIMITIVO 750 ML              </t>
  </si>
  <si>
    <t>BVITTVI00003704</t>
  </si>
  <si>
    <t xml:space="preserve">V T IN BOCCA AL LUPO ROSSO 750 ML                           </t>
  </si>
  <si>
    <t>BEKAA</t>
  </si>
  <si>
    <t xml:space="preserve">X212      </t>
  </si>
  <si>
    <t>BVITTKSUVXXTSXX</t>
  </si>
  <si>
    <t xml:space="preserve">V T KSARA RESERVE DU COUVENT 375 ML                         </t>
  </si>
  <si>
    <t xml:space="preserve">X210      </t>
  </si>
  <si>
    <t>BVITTKSLUXXSCXX</t>
  </si>
  <si>
    <t xml:space="preserve">V T KSARA LE PRIEURE 750 ML                                 </t>
  </si>
  <si>
    <t xml:space="preserve">X213      </t>
  </si>
  <si>
    <t>BVITTKSVUXXSCXX</t>
  </si>
  <si>
    <t xml:space="preserve">V T KSARA CUVEE DE PRINTEMPS 750 ML                         </t>
  </si>
  <si>
    <t xml:space="preserve">X211      </t>
  </si>
  <si>
    <t>BVITTKSUVXXSCXX</t>
  </si>
  <si>
    <t xml:space="preserve">V T KSARA RESERVE DU COUVENT 750 ML                         </t>
  </si>
  <si>
    <t xml:space="preserve">X594      </t>
  </si>
  <si>
    <t>BVITTKSWAXXSCXX</t>
  </si>
  <si>
    <t xml:space="preserve">V T KSARA CHATEAU 750 ML                                    </t>
  </si>
  <si>
    <t>MINHO</t>
  </si>
  <si>
    <t xml:space="preserve">X351      </t>
  </si>
  <si>
    <t>BVIBRAVAIXXSCXX</t>
  </si>
  <si>
    <t xml:space="preserve">V B AVELEDA ALVARINHO 750 ML                                </t>
  </si>
  <si>
    <t>VINHO VERDE</t>
  </si>
  <si>
    <t>BVIBRAV00002922</t>
  </si>
  <si>
    <t xml:space="preserve">V B CASAL GARCIA LATA 250 ML                                </t>
  </si>
  <si>
    <t xml:space="preserve">08LE      </t>
  </si>
  <si>
    <t>BVIVBAVCGXXTSXX</t>
  </si>
  <si>
    <t xml:space="preserve">V B VDE AVELEDA CASAL GARCIA 375ML                          </t>
  </si>
  <si>
    <t>BVIROAV00002896</t>
  </si>
  <si>
    <t xml:space="preserve">V ROSE CASAL GARCIA 375 ML                                  </t>
  </si>
  <si>
    <t xml:space="preserve">V8DJ      </t>
  </si>
  <si>
    <t>BVIROAVCGXXSCXX</t>
  </si>
  <si>
    <t xml:space="preserve">V ROSE VDE AVELEDA CASAL GARCIA 750ML                       </t>
  </si>
  <si>
    <t xml:space="preserve">X1115     </t>
  </si>
  <si>
    <t>BVIVBAVCGEWSCXX</t>
  </si>
  <si>
    <t xml:space="preserve">V B VDE AVELEDA CASAL GARCIA SWEET 750ML                    </t>
  </si>
  <si>
    <t xml:space="preserve">08AZ      </t>
  </si>
  <si>
    <t>BVIVBAVCGXXSCXX</t>
  </si>
  <si>
    <t xml:space="preserve">V B VDE AVELEDA CASAL GARCIA 750ML                          </t>
  </si>
  <si>
    <t>LISBOA</t>
  </si>
  <si>
    <t xml:space="preserve">V8MP      </t>
  </si>
  <si>
    <t>BVIVTAVCGXXSCXX</t>
  </si>
  <si>
    <t xml:space="preserve">V T AVELEDA CASAL GARCIA 750ML                              </t>
  </si>
  <si>
    <t xml:space="preserve">X1746     </t>
  </si>
  <si>
    <t>BVITTAV00001788</t>
  </si>
  <si>
    <t xml:space="preserve">V T AVELEDA CASAL GARCIA SWEET RED 750 ML                   </t>
  </si>
  <si>
    <t xml:space="preserve">X543      </t>
  </si>
  <si>
    <t>BVIVBAVCGXXMIXX</t>
  </si>
  <si>
    <t xml:space="preserve">V VDE BCO AVELEDA CASAL GARCIA 1000ML(GRATIS 250ML)         </t>
  </si>
  <si>
    <t xml:space="preserve">X1742     </t>
  </si>
  <si>
    <t>BVIBRAV00001782</t>
  </si>
  <si>
    <t xml:space="preserve">V VDE BCO AVELEDA FONTE 750 ML                              </t>
  </si>
  <si>
    <t xml:space="preserve">X1741     </t>
  </si>
  <si>
    <t>BVIROAV00001781</t>
  </si>
  <si>
    <t xml:space="preserve">V VDE ROSE AVELEDA FONTE 750 ML                             </t>
  </si>
  <si>
    <t xml:space="preserve">08HY      </t>
  </si>
  <si>
    <t>BVIVBAVQAXXSCXX</t>
  </si>
  <si>
    <t xml:space="preserve">V VDE BCO AVELEDA LOUREIRO &amp; ALVARINHO 750ML                </t>
  </si>
  <si>
    <t xml:space="preserve">X1410     </t>
  </si>
  <si>
    <t>BVIBRAV00000944</t>
  </si>
  <si>
    <t xml:space="preserve">V B QVDM RUFO BRANCO DOURO DOC 750 ML                       </t>
  </si>
  <si>
    <t xml:space="preserve">X1338     </t>
  </si>
  <si>
    <t>BVITTAV00000795</t>
  </si>
  <si>
    <t xml:space="preserve">V T QVDM RUFO TINTO DOURO DOC 750 ML                        </t>
  </si>
  <si>
    <t xml:space="preserve">X1411     </t>
  </si>
  <si>
    <t>BVIPOAV00000946</t>
  </si>
  <si>
    <t xml:space="preserve">V PORTO QTA VALE D MARIA RESERVA 750 ML                     </t>
  </si>
  <si>
    <t>BVITTAV00002885</t>
  </si>
  <si>
    <t xml:space="preserve">V T VALE D MARIA VINHAS DO SABOR DOURO 750 ML               </t>
  </si>
  <si>
    <t xml:space="preserve">X1466     </t>
  </si>
  <si>
    <t>BVITTAV00001098</t>
  </si>
  <si>
    <t xml:space="preserve">V T QUINTA VALE D MARIA 750ML (CXA MADEIRA)                 </t>
  </si>
  <si>
    <t xml:space="preserve">X1336     </t>
  </si>
  <si>
    <t>BVITTAV00000793</t>
  </si>
  <si>
    <t xml:space="preserve">V T QTA VALE D MARIA VINHA DA FRANCISCA DOURO 750ML         </t>
  </si>
  <si>
    <t xml:space="preserve">X1405     </t>
  </si>
  <si>
    <t>BVIPOAV00000933</t>
  </si>
  <si>
    <t xml:space="preserve">V PORTO QUINTA VALE D. MARIA VINTAGE 750 ML                 </t>
  </si>
  <si>
    <t xml:space="preserve">X1412     </t>
  </si>
  <si>
    <t>BVITTAV00000945</t>
  </si>
  <si>
    <t xml:space="preserve">V T QTA VALE D MARIA VINHA DO RIO DOURO 750 ML              </t>
  </si>
  <si>
    <t>BVITTAV00002974</t>
  </si>
  <si>
    <t xml:space="preserve">V T QUINTA VALE D MARIA VINHA DO MOINHO 750 ML              </t>
  </si>
  <si>
    <t>BVIBRAV00003493</t>
  </si>
  <si>
    <t xml:space="preserve">V B MANDRIOLA DE LISBOA 750 ML                              </t>
  </si>
  <si>
    <t>BVITTAV00003492</t>
  </si>
  <si>
    <t xml:space="preserve">V T MANDRIOLA DE LISBOA 750 ML                              </t>
  </si>
  <si>
    <t xml:space="preserve">X209      </t>
  </si>
  <si>
    <t>BVIPOPCCKXXSC96</t>
  </si>
  <si>
    <t xml:space="preserve">V PORTO CALEM COLHEITA 750 ML 1996                          </t>
  </si>
  <si>
    <t xml:space="preserve">V8SQ      </t>
  </si>
  <si>
    <t>BVIPOPCCKXXSC90</t>
  </si>
  <si>
    <t xml:space="preserve">V PORTO CALEM COLHEITA 750 ML 1990                          </t>
  </si>
  <si>
    <t xml:space="preserve">V8SS      </t>
  </si>
  <si>
    <t>BVIPOPCVNXXSC99</t>
  </si>
  <si>
    <t xml:space="preserve">V PORTO CALEM VINTAGE 750 ML 1999                           </t>
  </si>
  <si>
    <t xml:space="preserve">V8SM      </t>
  </si>
  <si>
    <t>BVIPOPCTAXXSCXX</t>
  </si>
  <si>
    <t xml:space="preserve">V PORTO CALEM 30 Y 750 ML                                   </t>
  </si>
  <si>
    <t xml:space="preserve">V8VX      </t>
  </si>
  <si>
    <t>BVIPOPCTQXXSCXX</t>
  </si>
  <si>
    <t xml:space="preserve">V PORTO CALEM TAWNY 40 Y 750 ML                             </t>
  </si>
  <si>
    <t>BVIBRPC00003453</t>
  </si>
  <si>
    <t xml:space="preserve">V B CURVA DOURO 750 ML                                      </t>
  </si>
  <si>
    <t>BVITTPC00003452</t>
  </si>
  <si>
    <t xml:space="preserve">V T CURVA DOURO 750 ML                                      </t>
  </si>
  <si>
    <t xml:space="preserve">V8SA      </t>
  </si>
  <si>
    <t>BVIPOPCVRXXSCXX</t>
  </si>
  <si>
    <t xml:space="preserve">V PORTO CALEM VELHOTES RUBY 750 ML                          </t>
  </si>
  <si>
    <t xml:space="preserve">V8SC      </t>
  </si>
  <si>
    <t>BVIPOPCVTXXSCXX</t>
  </si>
  <si>
    <t xml:space="preserve">V PORTO CALEM VELHOTES TAWNY 750 ML                         </t>
  </si>
  <si>
    <t xml:space="preserve">V8VV      </t>
  </si>
  <si>
    <t>BVIPOPCVWXXSCXX</t>
  </si>
  <si>
    <t xml:space="preserve">V PORTO CALEM VELHOTES WHITE 750 ML                         </t>
  </si>
  <si>
    <t xml:space="preserve">N1        </t>
  </si>
  <si>
    <t>BVIROPCXXXXSCXX</t>
  </si>
  <si>
    <t xml:space="preserve">V ROSE PORTO CALEM 750 ML                                   </t>
  </si>
  <si>
    <t xml:space="preserve">X1002     </t>
  </si>
  <si>
    <t>BVITTPQRAXXSCXX</t>
  </si>
  <si>
    <t xml:space="preserve">V T PERIQUITA RESERVA GF 750 ML                             </t>
  </si>
  <si>
    <t xml:space="preserve">X1003     </t>
  </si>
  <si>
    <t>BVITTPQXXXXTSXX</t>
  </si>
  <si>
    <t xml:space="preserve">V T PERIQUITA GF 375 ML                                     </t>
  </si>
  <si>
    <t xml:space="preserve">X1000     </t>
  </si>
  <si>
    <t>BVIBRPQXXXXSCXX</t>
  </si>
  <si>
    <t xml:space="preserve">V B PERIQUITA GF 750 ML                                     </t>
  </si>
  <si>
    <t xml:space="preserve">X1397     </t>
  </si>
  <si>
    <t>BVIROPQ00000904</t>
  </si>
  <si>
    <t xml:space="preserve">V ROSE PERIQUITA GF 750 ML                                  </t>
  </si>
  <si>
    <t xml:space="preserve">X1001     </t>
  </si>
  <si>
    <t>BVITTPQXXXXSCXX</t>
  </si>
  <si>
    <t xml:space="preserve">V T PERIQUITA GF 750 ML                                     </t>
  </si>
  <si>
    <t xml:space="preserve">X1747     </t>
  </si>
  <si>
    <t>BVITTPQ00001789</t>
  </si>
  <si>
    <t xml:space="preserve">V T PERIQUITA RED BLEND 750 ML                              </t>
  </si>
  <si>
    <t xml:space="preserve">X1198     </t>
  </si>
  <si>
    <t>BVITTPQ00000223</t>
  </si>
  <si>
    <t xml:space="preserve">V T PERIQUITA GF 1,5L                                       </t>
  </si>
  <si>
    <t xml:space="preserve">X1199     </t>
  </si>
  <si>
    <t>BVITTPQ00000224</t>
  </si>
  <si>
    <t xml:space="preserve">V T PERIQUITA RESERVA GF 1,5L                               </t>
  </si>
  <si>
    <t>BVITTPQ00002481</t>
  </si>
  <si>
    <t xml:space="preserve">V T PERIQUITA CLASSICO GF 750 ML                            </t>
  </si>
  <si>
    <t xml:space="preserve">X2074     </t>
  </si>
  <si>
    <t>BVITTPQ00002335</t>
  </si>
  <si>
    <t xml:space="preserve">V T PERIQUITA SUPERYOR 750 ML                               </t>
  </si>
  <si>
    <t>BVIROJM00003081</t>
  </si>
  <si>
    <t xml:space="preserve">V R JOAO PIRES 750 ML                                       </t>
  </si>
  <si>
    <t xml:space="preserve">X2080     </t>
  </si>
  <si>
    <t>BVIBRJM00002341</t>
  </si>
  <si>
    <t xml:space="preserve">V B JOAO PIRES 750 ML                                       </t>
  </si>
  <si>
    <t xml:space="preserve">X2078     </t>
  </si>
  <si>
    <t>BVIBRJM00002339</t>
  </si>
  <si>
    <t xml:space="preserve">V B VINHAS DE CAMARATE 750 ML                               </t>
  </si>
  <si>
    <t xml:space="preserve">X2079     </t>
  </si>
  <si>
    <t>BVITTJM00002340</t>
  </si>
  <si>
    <t xml:space="preserve">V T VINHAS DE CAMARATE 750 ML                               </t>
  </si>
  <si>
    <t xml:space="preserve">X2077     </t>
  </si>
  <si>
    <t>BVIBRJM00002338</t>
  </si>
  <si>
    <t xml:space="preserve">V B QUINTA DE CAMARATE 750 ML                               </t>
  </si>
  <si>
    <t xml:space="preserve">X2076     </t>
  </si>
  <si>
    <t>BVIBRJM00002337</t>
  </si>
  <si>
    <t xml:space="preserve">V B QUINTA DE CAMARATE DOCE 750 ML                          </t>
  </si>
  <si>
    <t xml:space="preserve">X2075     </t>
  </si>
  <si>
    <t>BVITTJM00002336</t>
  </si>
  <si>
    <t xml:space="preserve">V T QUINTA DE CAMARATE 750 ML                               </t>
  </si>
  <si>
    <t>COASTAL REGION</t>
  </si>
  <si>
    <t xml:space="preserve">08MC      </t>
  </si>
  <si>
    <t>BVIBROKXXCBSCXX</t>
  </si>
  <si>
    <t xml:space="preserve">V B OBIKWA CHENIN BLANC 750 ML                              </t>
  </si>
  <si>
    <t xml:space="preserve">08MA      </t>
  </si>
  <si>
    <t>BVITTOKXXCSSCXX</t>
  </si>
  <si>
    <t xml:space="preserve">V T OBIKWA CAB SAUV 750 ML                                  </t>
  </si>
  <si>
    <t xml:space="preserve">08MB      </t>
  </si>
  <si>
    <t>BVITTOKXXMESCXX</t>
  </si>
  <si>
    <t xml:space="preserve">V T OBIKWA MERLOT 750 ML                                    </t>
  </si>
  <si>
    <t>STELLENBOSCH</t>
  </si>
  <si>
    <t xml:space="preserve">08LW      </t>
  </si>
  <si>
    <t>BVITTOKXXPISCXX</t>
  </si>
  <si>
    <t xml:space="preserve">V T OBIKWA PINOTAGE 750 ML                                  </t>
  </si>
  <si>
    <t xml:space="preserve">08LY      </t>
  </si>
  <si>
    <t>BVITTOKXXSHSCXX</t>
  </si>
  <si>
    <t xml:space="preserve">V T OBIKWA SYRAH 750 ML                                     </t>
  </si>
  <si>
    <t>COASTAL</t>
  </si>
  <si>
    <t>BVIBRDT00002853</t>
  </si>
  <si>
    <t xml:space="preserve">V B TWO OCEANS CHENIN BLANC 750 ML                          </t>
  </si>
  <si>
    <t>BVIBRDT00002852</t>
  </si>
  <si>
    <t xml:space="preserve">V B TWO OCEANS PINOT GRIGIO 750 ML                          </t>
  </si>
  <si>
    <t>BVITTDT00002848</t>
  </si>
  <si>
    <t xml:space="preserve">V T TWO OCEANS CAB SAUV/MERLOT 750 ML                       </t>
  </si>
  <si>
    <t>BVITTDT00002851</t>
  </si>
  <si>
    <t xml:space="preserve">V T TWO OCEANS PINOTAGE 750 ML                              </t>
  </si>
  <si>
    <t>BVITTDT00002849</t>
  </si>
  <si>
    <t xml:space="preserve">V T TWO OCEANS SHIRAZ 750 ML                                </t>
  </si>
  <si>
    <t>MENDOZA</t>
  </si>
  <si>
    <t>VALE DO UCO</t>
  </si>
  <si>
    <t xml:space="preserve">X907      </t>
  </si>
  <si>
    <t>BVIBRSEQNCHSCXX</t>
  </si>
  <si>
    <t xml:space="preserve">V B SEPTIMA OBRA CHARDONNAY 750 ML                          </t>
  </si>
  <si>
    <t>LUJÁN DE CUYO</t>
  </si>
  <si>
    <t xml:space="preserve">X906      </t>
  </si>
  <si>
    <t>BVITTSEQNCSSCXX</t>
  </si>
  <si>
    <t xml:space="preserve">V T SEPTIMA OBRA CAB SAUV 750 ML                            </t>
  </si>
  <si>
    <t xml:space="preserve">X908      </t>
  </si>
  <si>
    <t>BVITTSEQNMASCXX</t>
  </si>
  <si>
    <t xml:space="preserve">V T SEPTIMA OBRA MALBEC 750 ML                              </t>
  </si>
  <si>
    <t xml:space="preserve">X1757     </t>
  </si>
  <si>
    <t>BVITTSE00001829</t>
  </si>
  <si>
    <t xml:space="preserve">V T SEPTIMA TIERRA AGRELO 1050 MSNM 750 ML                  </t>
  </si>
  <si>
    <t xml:space="preserve">X1755     </t>
  </si>
  <si>
    <t>BVITTSE00001827</t>
  </si>
  <si>
    <t xml:space="preserve">V T SEPTIMA TIERRA CHACAYES 1200 MSNM 750 ML                </t>
  </si>
  <si>
    <t xml:space="preserve">X1756     </t>
  </si>
  <si>
    <t>BVITTSE00001828</t>
  </si>
  <si>
    <t xml:space="preserve">V T SEPTIMA TIERRA GUALTALLARY 1310 MSNM 750 ML             </t>
  </si>
  <si>
    <t>LUJÁN DE CUYO/VALE DO UCO</t>
  </si>
  <si>
    <t xml:space="preserve">V8BB      </t>
  </si>
  <si>
    <t>BVITTCRGJMASCXX</t>
  </si>
  <si>
    <t xml:space="preserve">V T SEPTIMA GRAN RESERVA BLEND 750 ML                       </t>
  </si>
  <si>
    <t>X553</t>
  </si>
  <si>
    <t>BVIBRLPXXCLSCXX</t>
  </si>
  <si>
    <t xml:space="preserve">V B LOS PASOS CHARDONNAY/SEMILLON 750 ML                    </t>
  </si>
  <si>
    <t xml:space="preserve">X1482     </t>
  </si>
  <si>
    <t>BVITTLP00001160</t>
  </si>
  <si>
    <t xml:space="preserve">V T LOS PASOS RED BLEND 750 ML                              </t>
  </si>
  <si>
    <t xml:space="preserve">X1342     </t>
  </si>
  <si>
    <t>BVIBRSE00000799</t>
  </si>
  <si>
    <t xml:space="preserve">V B SEPTIMA CHARDONNAY 750 ML                               </t>
  </si>
  <si>
    <t xml:space="preserve">08MJ      </t>
  </si>
  <si>
    <t>BVITTCRSPCSSCXX</t>
  </si>
  <si>
    <t xml:space="preserve">V T SEPTIMA CAB SAUV 750 ML                                 </t>
  </si>
  <si>
    <t xml:space="preserve">08MK      </t>
  </si>
  <si>
    <t>BVITTCRSPMASCXX</t>
  </si>
  <si>
    <t xml:space="preserve">V T SEPTIMA MALBEC 750 ML                                   </t>
  </si>
  <si>
    <t xml:space="preserve">X1215     </t>
  </si>
  <si>
    <t>BVITTSE00000278</t>
  </si>
  <si>
    <t xml:space="preserve">V T SEPTIMA LOTE ESPECIAL MALBEC 750 ML                     </t>
  </si>
  <si>
    <t xml:space="preserve">X386      </t>
  </si>
  <si>
    <t>BVITTFCETMASCXX</t>
  </si>
  <si>
    <t xml:space="preserve">V T FLC ELITE MALBEC 750 ML                                 </t>
  </si>
  <si>
    <t xml:space="preserve">V8PB      </t>
  </si>
  <si>
    <t>BVITTFCHEMASCXX</t>
  </si>
  <si>
    <t xml:space="preserve">V T FLC HERITAGE MALBEC 750 ML                              </t>
  </si>
  <si>
    <t>BVITTFC00002584</t>
  </si>
  <si>
    <t xml:space="preserve">V T COLON SELECTO MALBEC 750 ML                             </t>
  </si>
  <si>
    <t>BVITTFC00002585</t>
  </si>
  <si>
    <t xml:space="preserve">V T COLON SELECTO CAB SAUVIGNON 750 ML                      </t>
  </si>
  <si>
    <t xml:space="preserve">08EB      </t>
  </si>
  <si>
    <t>BVIBRFCAGCHSCXX</t>
  </si>
  <si>
    <t xml:space="preserve">V B FLC ANGARO CHARDONNAY 750ML                             </t>
  </si>
  <si>
    <t xml:space="preserve">X1034     </t>
  </si>
  <si>
    <t>BVITTFCAGCSSCXX</t>
  </si>
  <si>
    <t xml:space="preserve">V T FLC ANGARO CAB SAUV 750 ML                              </t>
  </si>
  <si>
    <t xml:space="preserve">08OC      </t>
  </si>
  <si>
    <t>BVITTFCAGMASCXX</t>
  </si>
  <si>
    <t xml:space="preserve">V T FLC ANGARO MALBEC 750 ML                                </t>
  </si>
  <si>
    <t xml:space="preserve">X1035     </t>
  </si>
  <si>
    <t>BVITTFCAGTESCXX</t>
  </si>
  <si>
    <t xml:space="preserve">V T FLC ANGARO TEMPRANILLO 750 ML                           </t>
  </si>
  <si>
    <t xml:space="preserve">X1200     </t>
  </si>
  <si>
    <t>BVITTFC00000241</t>
  </si>
  <si>
    <t xml:space="preserve">V T LA CELIA RESERVA CABERNET SAUVIGNON 750 ML              </t>
  </si>
  <si>
    <t xml:space="preserve">X1201     </t>
  </si>
  <si>
    <t>BVITTFC00000242</t>
  </si>
  <si>
    <t xml:space="preserve">V T LA CELIA RESERVA MALBEC 750 ML                          </t>
  </si>
  <si>
    <t xml:space="preserve">X1202     </t>
  </si>
  <si>
    <t>BVITTFC00000243</t>
  </si>
  <si>
    <t xml:space="preserve">V T LA CELIA RESERVA MALBEC/CABERNET FRANC 750 ML           </t>
  </si>
  <si>
    <t xml:space="preserve">X395      </t>
  </si>
  <si>
    <t>BVIBRFCLACHSCXX</t>
  </si>
  <si>
    <t xml:space="preserve">V B LA CELIA PIONEER RES CHARDONNAY 750 ML                  </t>
  </si>
  <si>
    <t xml:space="preserve">08PX      </t>
  </si>
  <si>
    <t>BVITTFCLACFSCXX</t>
  </si>
  <si>
    <t xml:space="preserve">V T LA CELIA PIONEER RES CAB FRANC 750 ML                   </t>
  </si>
  <si>
    <t xml:space="preserve">08HR      </t>
  </si>
  <si>
    <t>BVITTFCLACSSCXX</t>
  </si>
  <si>
    <t xml:space="preserve">V T LA CELIA PIONEER RES CAB SAUV 750 ML                    </t>
  </si>
  <si>
    <t xml:space="preserve">08HE      </t>
  </si>
  <si>
    <t>BVITTFCLAMASCXX</t>
  </si>
  <si>
    <t xml:space="preserve">V T LA CELIA PIONEER RES MALBEC 750 ML                      </t>
  </si>
  <si>
    <t xml:space="preserve">08ZZ      </t>
  </si>
  <si>
    <t>BVITTTRMECSSCXX</t>
  </si>
  <si>
    <t xml:space="preserve">V T TRAPICHE MEDALLA CAB SAUV 750 ML                        </t>
  </si>
  <si>
    <t xml:space="preserve">V8NM      </t>
  </si>
  <si>
    <t>BVITTTRSWXXSCXX</t>
  </si>
  <si>
    <t xml:space="preserve">V T TRAPICHE SV ORELLANA ESCOBAR 750 ML                     </t>
  </si>
  <si>
    <t xml:space="preserve">X1051     </t>
  </si>
  <si>
    <t>BVITTTRSYTRSCXX</t>
  </si>
  <si>
    <t xml:space="preserve">V T TRAPICHE SV MALBEC FINCA AMBROSIA 750ML                 </t>
  </si>
  <si>
    <t>MAIPÚ/VALE DO UCO</t>
  </si>
  <si>
    <t xml:space="preserve">08WF      </t>
  </si>
  <si>
    <t>BVITTTRISXXSCXX</t>
  </si>
  <si>
    <t xml:space="preserve">V T TRAPICHE ISCAY 750 ML                                   </t>
  </si>
  <si>
    <t xml:space="preserve">08ZN      </t>
  </si>
  <si>
    <t>BVITTTRVAMACOXX</t>
  </si>
  <si>
    <t xml:space="preserve">V T TRAPICHE VINEYARDS MALBEC 187 ML                        </t>
  </si>
  <si>
    <t xml:space="preserve">V8AV      </t>
  </si>
  <si>
    <t>BVITTTRVAMATSXX</t>
  </si>
  <si>
    <t xml:space="preserve">V T TRAPICHE VINEYARDS MALBEC 375 ML                        </t>
  </si>
  <si>
    <t xml:space="preserve">08WZ      </t>
  </si>
  <si>
    <t>BVIBRTRASTOSCXX</t>
  </si>
  <si>
    <t xml:space="preserve">V B TRAPICHE ASTICA TORRONTES 750 ML                        </t>
  </si>
  <si>
    <t xml:space="preserve">08WR      </t>
  </si>
  <si>
    <t>BVITTTRASCSSCXX</t>
  </si>
  <si>
    <t xml:space="preserve">V T TRAPICHE ASTICA CAB SAUV 750 ML                         </t>
  </si>
  <si>
    <t xml:space="preserve">X2066     </t>
  </si>
  <si>
    <t>BVIBRTR00002314</t>
  </si>
  <si>
    <t xml:space="preserve">V B TRAPICHE ASTICA CHARDONNAY CHENIN 750 ML                </t>
  </si>
  <si>
    <t xml:space="preserve">08WY      </t>
  </si>
  <si>
    <t>BVIROTRASCSSCXX</t>
  </si>
  <si>
    <t xml:space="preserve">V ROSE TRAPICHE ASTICA 750 ML                               </t>
  </si>
  <si>
    <t xml:space="preserve">X2067     </t>
  </si>
  <si>
    <t>BVITTTR00002315</t>
  </si>
  <si>
    <t xml:space="preserve">V T TRAPICHE ASTICA CAB SAUV / MALBEC 750ML                 </t>
  </si>
  <si>
    <t xml:space="preserve">08WT      </t>
  </si>
  <si>
    <t>BVITTTRASMASCXX</t>
  </si>
  <si>
    <t xml:space="preserve">V T TRAPICHE ASTICA MALBEC 750 ML                           </t>
  </si>
  <si>
    <t xml:space="preserve">X1929     </t>
  </si>
  <si>
    <t>BVIBREC00002230</t>
  </si>
  <si>
    <t xml:space="preserve">V B YAMANA CHARDONNAY 750 ML                                </t>
  </si>
  <si>
    <t xml:space="preserve">X1932     </t>
  </si>
  <si>
    <t>BVIBREC00002233</t>
  </si>
  <si>
    <t xml:space="preserve">V B TRAPICHE ALARIS CHARDONNAY 750 ML                       </t>
  </si>
  <si>
    <t xml:space="preserve">X1933     </t>
  </si>
  <si>
    <t>BVIROEC00002234</t>
  </si>
  <si>
    <t xml:space="preserve">V R TRAPICHE ALARIS ROSE 750 ML                             </t>
  </si>
  <si>
    <t xml:space="preserve">08WD      </t>
  </si>
  <si>
    <t>BVIBRTRVACHSCXX</t>
  </si>
  <si>
    <t xml:space="preserve">V B TRAPICHE VINEYARDS CHARDONNAY 750 ML                    </t>
  </si>
  <si>
    <t xml:space="preserve">X1451     </t>
  </si>
  <si>
    <t>BVITTTR00001041</t>
  </si>
  <si>
    <t xml:space="preserve">V T TRAPICHE VINEYARDS RED BLEND 750 ML                     </t>
  </si>
  <si>
    <t xml:space="preserve">08ZY      </t>
  </si>
  <si>
    <t>BVITTTRVACSSCXX</t>
  </si>
  <si>
    <t xml:space="preserve">V T TRAPICHE VINEYARDS CAB SAUV 750 ML                      </t>
  </si>
  <si>
    <t xml:space="preserve">08WB      </t>
  </si>
  <si>
    <t>BVITTTRVAMASCXX</t>
  </si>
  <si>
    <t xml:space="preserve">V T TRAPICHE VINEYARDS MALBEC 750 ML                        </t>
  </si>
  <si>
    <t xml:space="preserve">08EC      </t>
  </si>
  <si>
    <t>BVITTTRVAMESCXX</t>
  </si>
  <si>
    <t xml:space="preserve">V T TRAPICHE VINEYARDS MERLOT 750 ML                        </t>
  </si>
  <si>
    <t xml:space="preserve">08ZH      </t>
  </si>
  <si>
    <t>BVITTTRVASHSCXX</t>
  </si>
  <si>
    <t xml:space="preserve">V T TRAPICHE VINEYARDS SYRAH 750 ML                         </t>
  </si>
  <si>
    <t xml:space="preserve">08ZV      </t>
  </si>
  <si>
    <t>BVIBRTRROCHSCXX</t>
  </si>
  <si>
    <t xml:space="preserve">V B TRAPICHE ROBLE CHARD 750 ML                             </t>
  </si>
  <si>
    <t xml:space="preserve">X1291     </t>
  </si>
  <si>
    <t>BVITTTR00000709</t>
  </si>
  <si>
    <t xml:space="preserve">V T TRAPICHE RESERVA MALBEC 750ML                           </t>
  </si>
  <si>
    <t xml:space="preserve">08ZP      </t>
  </si>
  <si>
    <t>BVITTTRROCSSCXX</t>
  </si>
  <si>
    <t xml:space="preserve">V T TRAPICHE ROBLE CAB SAUV 750 ML                          </t>
  </si>
  <si>
    <t xml:space="preserve">08ZR      </t>
  </si>
  <si>
    <t>BVITTTRROMASCXX</t>
  </si>
  <si>
    <t xml:space="preserve">V T TRAPICHE ROBLE MALBEC 750 ML                            </t>
  </si>
  <si>
    <t xml:space="preserve">08ZT      </t>
  </si>
  <si>
    <t>BVITTTRROPNSCXX</t>
  </si>
  <si>
    <t xml:space="preserve">V T TRAPICHE ROBLE P NOIR 750 ML                            </t>
  </si>
  <si>
    <t>UCO</t>
  </si>
  <si>
    <t>BVIBRTR00002996</t>
  </si>
  <si>
    <t xml:space="preserve">V B TRAPICHE TESORO CHARDONNAY 750 ML                       </t>
  </si>
  <si>
    <t>BVITTTR00002994</t>
  </si>
  <si>
    <t xml:space="preserve">V T TRAPICHE TESORO CAB SAUVIGNON 750 ML                    </t>
  </si>
  <si>
    <t>BVITTTR00002997</t>
  </si>
  <si>
    <t xml:space="preserve">V T TRAPICHE TESORO MALBEC 750 ML                           </t>
  </si>
  <si>
    <t>CHAPADMALAL</t>
  </si>
  <si>
    <t xml:space="preserve">X1282     </t>
  </si>
  <si>
    <t>BVIBRTR00000673</t>
  </si>
  <si>
    <t xml:space="preserve">V B TRAPICHE COSTA E PAMPA SAUV BLANC 750 ML                </t>
  </si>
  <si>
    <t xml:space="preserve">X1283     </t>
  </si>
  <si>
    <t>BVIBRTR00000674</t>
  </si>
  <si>
    <t xml:space="preserve">V B TRAPICHE COSTA E PAMPA CHARDONNAY 750 ML                </t>
  </si>
  <si>
    <t xml:space="preserve">X1284     </t>
  </si>
  <si>
    <t>BVITTTR00000675</t>
  </si>
  <si>
    <t xml:space="preserve">V T TRAPICHE COSTA E PAMPA PINOT NOIR 750 ML                </t>
  </si>
  <si>
    <t>MAIPÚ</t>
  </si>
  <si>
    <t xml:space="preserve">X1285     </t>
  </si>
  <si>
    <t>BVITTTR00000676</t>
  </si>
  <si>
    <t xml:space="preserve">V T TRAPICHE MEDALLA BLEND 750 ML                           </t>
  </si>
  <si>
    <t>LUJÁN DE CUYO/MAIPÚ</t>
  </si>
  <si>
    <t xml:space="preserve">X1464     </t>
  </si>
  <si>
    <t>BVITTTR00001072</t>
  </si>
  <si>
    <t xml:space="preserve">V T TRAPICHE MEDALLA MALBEC 750ML                           </t>
  </si>
  <si>
    <t xml:space="preserve">V8KX      </t>
  </si>
  <si>
    <t>BVITTTRMOCSSCXX</t>
  </si>
  <si>
    <t xml:space="preserve">V T TRAPICHE MELODIAS CAB SAUV 750 ML                       </t>
  </si>
  <si>
    <t xml:space="preserve">V8KZ      </t>
  </si>
  <si>
    <t>BVITTTRMOMASCXX</t>
  </si>
  <si>
    <t xml:space="preserve">V T TRAPICHE MELODIAS MALBEC 750 ML                         </t>
  </si>
  <si>
    <t xml:space="preserve">X1256     </t>
  </si>
  <si>
    <t>BVITTTR00000582</t>
  </si>
  <si>
    <t xml:space="preserve">V T TRAPICHE FOND DE CAVE MALBEC 750 ML                     </t>
  </si>
  <si>
    <t xml:space="preserve">X1257     </t>
  </si>
  <si>
    <t>BVITTTR00000583</t>
  </si>
  <si>
    <t xml:space="preserve">V T TRAPICHE FOND DE CAVE CABERNET SAUVIGNON 750 ML         </t>
  </si>
  <si>
    <t xml:space="preserve">X1258     </t>
  </si>
  <si>
    <t>BVITTTR00000584</t>
  </si>
  <si>
    <t xml:space="preserve">V T TRAPICHE FOND DE CAVE PETIT VERDOT 750 ML               </t>
  </si>
  <si>
    <t xml:space="preserve">V8FA      </t>
  </si>
  <si>
    <t>BVIBRTRLPCHSCXX</t>
  </si>
  <si>
    <t xml:space="preserve">V B TRAPICHE F LAS PALMAS CHARD 750 ML                      </t>
  </si>
  <si>
    <t xml:space="preserve">X1052     </t>
  </si>
  <si>
    <t>BVITTTRLPCSSCXX</t>
  </si>
  <si>
    <t xml:space="preserve">V T TRAPICHE F LAS PALMAS CAB SAUV 750 ML                   </t>
  </si>
  <si>
    <t xml:space="preserve">V8FC      </t>
  </si>
  <si>
    <t>BVITTTRLPMASCXX</t>
  </si>
  <si>
    <t xml:space="preserve">V T TRAPICHE F LAS PALMAS MALBEC 750 ML                     </t>
  </si>
  <si>
    <t xml:space="preserve">X1928     </t>
  </si>
  <si>
    <t>BVITTEC00002229</t>
  </si>
  <si>
    <t xml:space="preserve">V T YAMANA MALBEC 750 ML                                    </t>
  </si>
  <si>
    <t xml:space="preserve">X1930     </t>
  </si>
  <si>
    <t>BVITTEC00002231</t>
  </si>
  <si>
    <t xml:space="preserve">V T YAMANA SWEET RED 750 ML                                 </t>
  </si>
  <si>
    <t xml:space="preserve">X1936     </t>
  </si>
  <si>
    <t>BVITTEC00002237</t>
  </si>
  <si>
    <t xml:space="preserve">V T TRAPICHE TEXTURA FINA MALBEC 750 ML                     </t>
  </si>
  <si>
    <t xml:space="preserve">X1937     </t>
  </si>
  <si>
    <t>BVITTEC00002238</t>
  </si>
  <si>
    <t xml:space="preserve">V T TRAPICHE GRAVA CABERNET SAUVIGNON 750 ML                </t>
  </si>
  <si>
    <t xml:space="preserve">X1934     </t>
  </si>
  <si>
    <t>BVITTEC00002235</t>
  </si>
  <si>
    <t xml:space="preserve">V T TRAPICHE CALCAREO MALBEC 750 ML                         </t>
  </si>
  <si>
    <t xml:space="preserve">X1935     </t>
  </si>
  <si>
    <t>BVIBREC00002236</t>
  </si>
  <si>
    <t xml:space="preserve">V B TRAPICHE CALCAREO CHARDONNAY 750 ML                     </t>
  </si>
  <si>
    <t>BVIBREC00002610</t>
  </si>
  <si>
    <t xml:space="preserve">V B AMANCAY CHARDONNAY 750 ML                               </t>
  </si>
  <si>
    <t>BVITTEC00002609</t>
  </si>
  <si>
    <t xml:space="preserve">V T AMANCAY MALBEC 750 ML                                   </t>
  </si>
  <si>
    <t>BVITTEC00002612</t>
  </si>
  <si>
    <t xml:space="preserve">V T AMANCAY RESERVA MALBEC/CABERNET FRANC 750 ML            </t>
  </si>
  <si>
    <t>BVITTEC00002611</t>
  </si>
  <si>
    <t xml:space="preserve">V T AMANCAY RESERVA MALBEC 750 ML                           </t>
  </si>
  <si>
    <t>BVITTEC00002613</t>
  </si>
  <si>
    <t xml:space="preserve">V T AMANCAY GRAN RESERVA MALBEC 750 ML                      </t>
  </si>
  <si>
    <t>JUANICÓ</t>
  </si>
  <si>
    <t xml:space="preserve">X991      </t>
  </si>
  <si>
    <t>BVITTURRHPNSCXX</t>
  </si>
  <si>
    <t xml:space="preserve">V T ATLANTICO SUR RESERVE PINOT NOIR 750 ML                 </t>
  </si>
  <si>
    <t xml:space="preserve">X990      </t>
  </si>
  <si>
    <t>BVITTURRHTASCXX</t>
  </si>
  <si>
    <t xml:space="preserve">V T ATLANTICO SUR RESERVE TANNAT 750 ML                     </t>
  </si>
  <si>
    <t xml:space="preserve">V8WV      </t>
  </si>
  <si>
    <t>BVIBRFDPFXXSCXX</t>
  </si>
  <si>
    <t xml:space="preserve">V B F DEICAS PRELUDIO 750 ML                                </t>
  </si>
  <si>
    <t xml:space="preserve">V8TI      </t>
  </si>
  <si>
    <t>BVITTFDPFXXSCXX</t>
  </si>
  <si>
    <t xml:space="preserve">V T F DEICAS PRELUDIO 750 ML                                </t>
  </si>
  <si>
    <t xml:space="preserve">V8XI      </t>
  </si>
  <si>
    <t>BVIXXFDLQTAQIXX</t>
  </si>
  <si>
    <t xml:space="preserve">V F DEICAS LICOR TANNAT 500 ML                              </t>
  </si>
  <si>
    <t>MAHOMA/PROGRESO/GARZÓN</t>
  </si>
  <si>
    <t>BVITTFD00002785</t>
  </si>
  <si>
    <t xml:space="preserve">V T F DEICAS MASSIMO TANNAT 750 ML                          </t>
  </si>
  <si>
    <t xml:space="preserve">V8VD      </t>
  </si>
  <si>
    <t>BVITTDPRECSSCXX</t>
  </si>
  <si>
    <t xml:space="preserve">V T D PASCUAL RESERVADO CAB SAUV 750 ML                     </t>
  </si>
  <si>
    <t xml:space="preserve">V8SW      </t>
  </si>
  <si>
    <t>BVITTDPRETASCXX</t>
  </si>
  <si>
    <t xml:space="preserve">V T D PASCUAL RESERVADO TANNAT 750 ML                       </t>
  </si>
  <si>
    <t xml:space="preserve">V8TA      </t>
  </si>
  <si>
    <t>BVITTDPXXTASCXX</t>
  </si>
  <si>
    <t xml:space="preserve">V T D PASCUAL VARIETAL TANNAT 750 ML                        </t>
  </si>
  <si>
    <t xml:space="preserve">V8TE      </t>
  </si>
  <si>
    <t>BVIBRDPRHVISCXX</t>
  </si>
  <si>
    <t xml:space="preserve">V B D PASCUAL RESERVE VIOGNIER 750 ML                       </t>
  </si>
  <si>
    <t xml:space="preserve">V8TC      </t>
  </si>
  <si>
    <t>BVITTDPRHPNSCXX</t>
  </si>
  <si>
    <t xml:space="preserve">V T D PASCUAL RESERVE P NOIR 750 ML                         </t>
  </si>
  <si>
    <t>MALDONADO/CANELONES</t>
  </si>
  <si>
    <t xml:space="preserve">X1597     </t>
  </si>
  <si>
    <t>BVIBRDP00001538</t>
  </si>
  <si>
    <t xml:space="preserve">V B D PASCUAL COASTAL WHITE 750 ML                          </t>
  </si>
  <si>
    <t>MALDONADO</t>
  </si>
  <si>
    <t xml:space="preserve">X1595     </t>
  </si>
  <si>
    <t>BVIRODP00001536</t>
  </si>
  <si>
    <t xml:space="preserve">V ROSE DON PASCUAL ROSE FRANC 750 ML                        </t>
  </si>
  <si>
    <t xml:space="preserve">X1598     </t>
  </si>
  <si>
    <t>BVITTDP00001539</t>
  </si>
  <si>
    <t xml:space="preserve">V T D PASCUAL RED BLEND 750 ML                              </t>
  </si>
  <si>
    <t>GARZÓN/JUANICÓ</t>
  </si>
  <si>
    <t>BVIBRUR00003464</t>
  </si>
  <si>
    <t xml:space="preserve">V B ATLANTICO SUR RESERVE ALBARINO 750 ML                   </t>
  </si>
  <si>
    <t>SAN JOSE/MALDONADO/CANELONES</t>
  </si>
  <si>
    <t xml:space="preserve">X1596     </t>
  </si>
  <si>
    <t>BVITTDP00001537</t>
  </si>
  <si>
    <t xml:space="preserve">V T D PASCUAL COASTAL TANNAT 750 ML                         </t>
  </si>
  <si>
    <t>CANELONES</t>
  </si>
  <si>
    <t>BVIBRFD00003059</t>
  </si>
  <si>
    <t xml:space="preserve">V B BIZARRA NARANJA 750 ML                                  </t>
  </si>
  <si>
    <t xml:space="preserve">V8TG      </t>
  </si>
  <si>
    <t>BVITTDPROTASCXX</t>
  </si>
  <si>
    <t xml:space="preserve">V T D PASCUAL CRIANZA EN ROBLE TANNAT 750 ML                </t>
  </si>
  <si>
    <t>PROGRESO/CANELONES</t>
  </si>
  <si>
    <t>BVITTFD00003058</t>
  </si>
  <si>
    <t xml:space="preserve">V T BIZARRA TANNAT AMPHORA 750 ML                           </t>
  </si>
  <si>
    <t>BVITTFD00003056</t>
  </si>
  <si>
    <t xml:space="preserve">V T BIZARRA TANNARONE 750 ML                                </t>
  </si>
  <si>
    <t>PROGRESO</t>
  </si>
  <si>
    <t>BVITTFD00003057</t>
  </si>
  <si>
    <t xml:space="preserve">V T EXTREME VINEYARD SUELO INVERT 750 ML                    </t>
  </si>
  <si>
    <t>LODI</t>
  </si>
  <si>
    <t xml:space="preserve">X1213     </t>
  </si>
  <si>
    <t>BVIBRRV00000275</t>
  </si>
  <si>
    <t xml:space="preserve">V B TWIN OAKS R. MONDAVI CHARDONNAY 750 ML                  </t>
  </si>
  <si>
    <t xml:space="preserve">X1212     </t>
  </si>
  <si>
    <t>BVITTRV00000274</t>
  </si>
  <si>
    <t xml:space="preserve">V T TWIN OAKS R. MONDAVI CABERNET SAUVIGNON 750 ML          </t>
  </si>
  <si>
    <t>NAPA VALLEY</t>
  </si>
  <si>
    <t>STAG'S LEAP/OAKVILLE</t>
  </si>
  <si>
    <t xml:space="preserve">X329      </t>
  </si>
  <si>
    <t>BVIBRRVWFSBSCXX</t>
  </si>
  <si>
    <t xml:space="preserve">V B R.MONDAVI NAPA VALLEY FUME S BLANC 750 ML               </t>
  </si>
  <si>
    <t xml:space="preserve">X330      </t>
  </si>
  <si>
    <t>BVITTRVWVPNSCXX</t>
  </si>
  <si>
    <t xml:space="preserve">V T R.MONDAVI NAPA VALLEY PINOT NOIR 750 ML                 </t>
  </si>
  <si>
    <t xml:space="preserve">X568      </t>
  </si>
  <si>
    <t>BVIBRRVWOFBSCXX</t>
  </si>
  <si>
    <t xml:space="preserve">V B R MONDAVI OAKVILLE FUME BLANC 750 ML                    </t>
  </si>
  <si>
    <t xml:space="preserve">X328      </t>
  </si>
  <si>
    <t>BVITTRVWVCSSCXX</t>
  </si>
  <si>
    <t xml:space="preserve">V T R.MONDAVI NAPA VALLEY CAB SAUV 750 ML                   </t>
  </si>
  <si>
    <t>OAKVILLE</t>
  </si>
  <si>
    <t xml:space="preserve">X331      </t>
  </si>
  <si>
    <t>BVITTRVWOCSSCXX</t>
  </si>
  <si>
    <t xml:space="preserve">V T R.MONDAVI OAKVILLE CAB SAUV 750 ML                      </t>
  </si>
  <si>
    <t xml:space="preserve">X332      </t>
  </si>
  <si>
    <t>BVITTRVNVCSSCXX</t>
  </si>
  <si>
    <t xml:space="preserve">V T R.MONDAVI NAPA VALLEY CAB SAUV RESERVE 750 ML           </t>
  </si>
  <si>
    <t>CENTRAL COAST</t>
  </si>
  <si>
    <t xml:space="preserve">X327      </t>
  </si>
  <si>
    <t>BVIBRRVQLCHSCXX</t>
  </si>
  <si>
    <t xml:space="preserve">V B R.MONDAVI PRIVATE SEL CHARDONNAY 750 ML                 </t>
  </si>
  <si>
    <t xml:space="preserve">X1376     </t>
  </si>
  <si>
    <t>BVITTRV00000867</t>
  </si>
  <si>
    <t xml:space="preserve">V T R.MONDAVI PRIVATE SEL RED BLEND 750 ML                  </t>
  </si>
  <si>
    <t xml:space="preserve">X324      </t>
  </si>
  <si>
    <t>BVITTRVQLCSSCXX</t>
  </si>
  <si>
    <t xml:space="preserve">V T R.MONDAVI PRIVATE SEL CAB SAUV 750 ML                   </t>
  </si>
  <si>
    <t xml:space="preserve">X326      </t>
  </si>
  <si>
    <t>BVITTRVQLPNSCXX</t>
  </si>
  <si>
    <t xml:space="preserve">V T R.MONDAVI PRIVATE SEL PINOT NOIR 750 ML                 </t>
  </si>
  <si>
    <t xml:space="preserve">MONTEREY </t>
  </si>
  <si>
    <t xml:space="preserve">X1608     </t>
  </si>
  <si>
    <t>BVIBRRV00001557</t>
  </si>
  <si>
    <t xml:space="preserve">V B R.MONDAVI PRIVATE SEL BARRELS CHARDONNAY 750 ML         </t>
  </si>
  <si>
    <t xml:space="preserve">X1610     </t>
  </si>
  <si>
    <t>BVITTRV00001559</t>
  </si>
  <si>
    <t xml:space="preserve">V T R.MONDAVI PRIVATE SEL BARRELS MERLOT 750ML              </t>
  </si>
  <si>
    <t xml:space="preserve">X1609     </t>
  </si>
  <si>
    <t>BVITTRV00001558</t>
  </si>
  <si>
    <t xml:space="preserve">V T R.MONDAVI PRIVATE SEL BARRELS CAB SAUV 750ML            </t>
  </si>
  <si>
    <t>CALIFORNIA</t>
  </si>
  <si>
    <t>BVITTRV00003043</t>
  </si>
  <si>
    <t xml:space="preserve">V T R.MONDAVI PRIVATE SEL BARRELS RYE 750ML                 </t>
  </si>
  <si>
    <t>BVITTRV00003044</t>
  </si>
  <si>
    <t xml:space="preserve">V T R.MONDAVI PRIVATE SEL 100% CAB SAUV 750ML               </t>
  </si>
  <si>
    <t xml:space="preserve">X323      </t>
  </si>
  <si>
    <t>BVIBWRVEWXXSCXX</t>
  </si>
  <si>
    <t xml:space="preserve">V B WOODBRIDGE R.MONDAVI MOSCATO 750 ML                     </t>
  </si>
  <si>
    <t xml:space="preserve">X316      </t>
  </si>
  <si>
    <t>BVIBWRVXXCHSCXX</t>
  </si>
  <si>
    <t xml:space="preserve">V B WOODBRIDGE R.MONDAVI CHARDONNAY 750 ML                  </t>
  </si>
  <si>
    <t xml:space="preserve">X320      </t>
  </si>
  <si>
    <t>BVIRWRVXXWZSCXX</t>
  </si>
  <si>
    <t xml:space="preserve">V R WOOD R.MONDAVI WHITE ZINFANDEL 750 ML                   </t>
  </si>
  <si>
    <t xml:space="preserve">X1377     </t>
  </si>
  <si>
    <t>BVITWRV00000866</t>
  </si>
  <si>
    <t xml:space="preserve">V TTO WOODBRIDGE R.MONDAVI RED BLEND 750 ML                 </t>
  </si>
  <si>
    <t xml:space="preserve">X1378     </t>
  </si>
  <si>
    <t>BVITWRV00000868</t>
  </si>
  <si>
    <t xml:space="preserve">V TTO WOODBRIDGE R.MONDAVI ZINFANDEL 750 ML                 </t>
  </si>
  <si>
    <t xml:space="preserve">X315      </t>
  </si>
  <si>
    <t>BVITWRVXXCSSCXX</t>
  </si>
  <si>
    <t xml:space="preserve">V T WOODBRIDGE R.MONDAVI CAB SAUV 750 ML                    </t>
  </si>
  <si>
    <t xml:space="preserve">X317      </t>
  </si>
  <si>
    <t>BVITWRVXXPNSCXX</t>
  </si>
  <si>
    <t xml:space="preserve">V T WOODBRIDGE R.MONDAVI PINOT NOIR 750 ML                  </t>
  </si>
  <si>
    <t xml:space="preserve">X318      </t>
  </si>
  <si>
    <t>BVITWRVXXZISCXX</t>
  </si>
  <si>
    <t xml:space="preserve">V T WOODBRIDGE R.MONDAVI ZINFANDEL 750 ML                   </t>
  </si>
  <si>
    <t xml:space="preserve">X1940     </t>
  </si>
  <si>
    <t>BVITTEC00002241</t>
  </si>
  <si>
    <t xml:space="preserve">V T OTHELLO NAPA VALLEY RED WINE 750 ML                     </t>
  </si>
  <si>
    <t xml:space="preserve">X1939     </t>
  </si>
  <si>
    <t>BVITTEC00002240</t>
  </si>
  <si>
    <t xml:space="preserve">V T NAPANOOK NAPA VALLEY RED WINE 750 ML                    </t>
  </si>
  <si>
    <t xml:space="preserve">X1941     </t>
  </si>
  <si>
    <t>BVITTEC00002242</t>
  </si>
  <si>
    <t xml:space="preserve">V T ULYSSES NAPA VALLEY RED WINE 750 ML                     </t>
  </si>
  <si>
    <t xml:space="preserve">X1938     </t>
  </si>
  <si>
    <t>BVITTEC00002239</t>
  </si>
  <si>
    <t xml:space="preserve">V T DOMINUS NAPA VALLEY RED WINE 750 ML                     </t>
  </si>
  <si>
    <t>VALE CENTRAL</t>
  </si>
  <si>
    <t xml:space="preserve">08AI      </t>
  </si>
  <si>
    <t>BVIBRSHRESBTSXX</t>
  </si>
  <si>
    <t xml:space="preserve">V B S HELENA RESERVADO SAUV BLANC 375 ML                    </t>
  </si>
  <si>
    <t xml:space="preserve">08MQ      </t>
  </si>
  <si>
    <t>BVITTSHRECATSXX</t>
  </si>
  <si>
    <t xml:space="preserve">V T S HELENA RESERVADO CARMENERE 375 ML                     </t>
  </si>
  <si>
    <t xml:space="preserve">08AH      </t>
  </si>
  <si>
    <t>BVITTSHRECSTSXX</t>
  </si>
  <si>
    <t xml:space="preserve">V T S HELENA RESERVADO CAB SAUV 375 ML                      </t>
  </si>
  <si>
    <t xml:space="preserve">08BS      </t>
  </si>
  <si>
    <t>BVIBRSHRECHSCXX</t>
  </si>
  <si>
    <t xml:space="preserve">V B S HELENA RESERVADO CHARDONNAY 750 ML                    </t>
  </si>
  <si>
    <t xml:space="preserve">08AG      </t>
  </si>
  <si>
    <t>BVIBRSHRESBSCXX</t>
  </si>
  <si>
    <t xml:space="preserve">V B S HELENA RESERVADO SAUV BLANC 750 ML                    </t>
  </si>
  <si>
    <t xml:space="preserve">08XL      </t>
  </si>
  <si>
    <t>BVIROSHRECSSCXX</t>
  </si>
  <si>
    <t xml:space="preserve">V R SANTA HELENA RESERVADO ROSE 750 ML                      </t>
  </si>
  <si>
    <t xml:space="preserve">X1499     </t>
  </si>
  <si>
    <t>BVITTSH00001242</t>
  </si>
  <si>
    <t xml:space="preserve">V T S HELENA RESERVADO RED BLEND 750 ML                     </t>
  </si>
  <si>
    <t xml:space="preserve">08HT      </t>
  </si>
  <si>
    <t>BVITTSHRECASCXX</t>
  </si>
  <si>
    <t xml:space="preserve">V T S HELENA RESERVADO CARMENERE 750 ML                     </t>
  </si>
  <si>
    <t xml:space="preserve">08II      </t>
  </si>
  <si>
    <t>BVITTSHRECMSCXX</t>
  </si>
  <si>
    <t xml:space="preserve">V T S HELENA RESERVADO CAB/MERLOT 750 ML                    </t>
  </si>
  <si>
    <t xml:space="preserve">08AF      </t>
  </si>
  <si>
    <t>BVITTSHRECSSCXX</t>
  </si>
  <si>
    <t xml:space="preserve">V T S HELENA RESERVADO CAB SAUV 750 ML                      </t>
  </si>
  <si>
    <t xml:space="preserve">08YB      </t>
  </si>
  <si>
    <t>BVITTSHREMASCXX</t>
  </si>
  <si>
    <t xml:space="preserve">V T S HELENA RESERVADO MALBEC 750 ML                        </t>
  </si>
  <si>
    <t xml:space="preserve">08BR      </t>
  </si>
  <si>
    <t>BVITTSHREMESCXX</t>
  </si>
  <si>
    <t xml:space="preserve">V T S HELENA RESERVADO MERLOT 750 ML                        </t>
  </si>
  <si>
    <t xml:space="preserve">08AL      </t>
  </si>
  <si>
    <t>BVIBRSHSOCHSCXX</t>
  </si>
  <si>
    <t xml:space="preserve">V B S HELENA SIGLO CHARDONNAY 750 ML                        </t>
  </si>
  <si>
    <t xml:space="preserve">08BQ      </t>
  </si>
  <si>
    <t>BVIBRSHSOSBSCXX</t>
  </si>
  <si>
    <t xml:space="preserve">V B S HELENA SIGLO S BLANC 750 ML                           </t>
  </si>
  <si>
    <t xml:space="preserve">08IE      </t>
  </si>
  <si>
    <t>BVITTSHSOCASCXX</t>
  </si>
  <si>
    <t xml:space="preserve">V T S HELENA RESERVA (SIGLO) CARMENERE 750 ML               </t>
  </si>
  <si>
    <t xml:space="preserve">08AJ      </t>
  </si>
  <si>
    <t>BVITTSHSOCSSCXX</t>
  </si>
  <si>
    <t xml:space="preserve">V T S HELENA RESERVA (SIGLO) CAB SAUV 750 ML                </t>
  </si>
  <si>
    <t xml:space="preserve">08AK      </t>
  </si>
  <si>
    <t>BVITTSHSOMESCXX</t>
  </si>
  <si>
    <t xml:space="preserve">V T S HELENA RESERVA (SIGLO) MERLOT 750 ML                  </t>
  </si>
  <si>
    <t>CASABLANCA</t>
  </si>
  <si>
    <t xml:space="preserve">08AN      </t>
  </si>
  <si>
    <t>BVIBRSHSCCHSCXX</t>
  </si>
  <si>
    <t xml:space="preserve">V B S HELENA GRAN RESERVA CHARDONNAY 750 ML                 </t>
  </si>
  <si>
    <t>VALE DO RAPEL</t>
  </si>
  <si>
    <t xml:space="preserve">08ID      </t>
  </si>
  <si>
    <t>BVITTSHSCCASCXX</t>
  </si>
  <si>
    <t xml:space="preserve">V T S HELENA GRAN RESERVA CARMENERE 750 ML                  </t>
  </si>
  <si>
    <t xml:space="preserve">08AM      </t>
  </si>
  <si>
    <t>BVITTSHSCCSSCXX</t>
  </si>
  <si>
    <t xml:space="preserve">V T S HELENA GRAN RESERVA CAB SAUV 750 ML                   </t>
  </si>
  <si>
    <t xml:space="preserve">08BN      </t>
  </si>
  <si>
    <t>BVITTSHSCMESCXX</t>
  </si>
  <si>
    <t xml:space="preserve">V T S HELENA SEL DEL DIR MERLOT 750 ML                      </t>
  </si>
  <si>
    <t xml:space="preserve">08AO      </t>
  </si>
  <si>
    <t>BVITTSHSCPNSCXX</t>
  </si>
  <si>
    <t xml:space="preserve">V T S HELENA SEL DEL DIR PINOT NOIR 750 ML                  </t>
  </si>
  <si>
    <t xml:space="preserve">V8VP      </t>
  </si>
  <si>
    <t>BVITTSHSCCSTSXX</t>
  </si>
  <si>
    <t xml:space="preserve">V T S HELENA SEL DEL DIR CAB SAUV 375 ML                    </t>
  </si>
  <si>
    <t xml:space="preserve">X587      </t>
  </si>
  <si>
    <t>BVIBRSHRASBSCXX</t>
  </si>
  <si>
    <t xml:space="preserve">V B S HELENA RESERVA S BLANC 750 ML                         </t>
  </si>
  <si>
    <t xml:space="preserve">X524      </t>
  </si>
  <si>
    <t>BVITTGGXXCSTSXX</t>
  </si>
  <si>
    <t xml:space="preserve">V T GATO NEGRO CAB SAUV 375 ML                              </t>
  </si>
  <si>
    <t xml:space="preserve">X531      </t>
  </si>
  <si>
    <t>BVITTGGXXMASCXX</t>
  </si>
  <si>
    <t xml:space="preserve">V T GATO NEGRO MALBEC 750 ML                                </t>
  </si>
  <si>
    <t xml:space="preserve">X433      </t>
  </si>
  <si>
    <t>BVIBRGGXXCHSCXX</t>
  </si>
  <si>
    <t xml:space="preserve">V B GATO NEGRO CHARDONNAY 750 ML                            </t>
  </si>
  <si>
    <t xml:space="preserve">X432      </t>
  </si>
  <si>
    <t>BVIBRGGXXSBSCXX</t>
  </si>
  <si>
    <t xml:space="preserve">V B GATO NEGRO SAUV BLANC 750 ML                            </t>
  </si>
  <si>
    <t>BVIROGG00002303</t>
  </si>
  <si>
    <t xml:space="preserve">V ROSE GATO NEGRO 750 ML                                    </t>
  </si>
  <si>
    <t xml:space="preserve">X434      </t>
  </si>
  <si>
    <t>BVITTGGXXCASCXX</t>
  </si>
  <si>
    <t xml:space="preserve">V T GATO NEGRO CARMENERE 750 ML                             </t>
  </si>
  <si>
    <t xml:space="preserve">X431      </t>
  </si>
  <si>
    <t>BVITTGGXXCSSCXX</t>
  </si>
  <si>
    <t xml:space="preserve">V T GATO NEGRO CAB SAUV 750 ML                              </t>
  </si>
  <si>
    <t xml:space="preserve">X435      </t>
  </si>
  <si>
    <t>BVITTGGXXMESCXX</t>
  </si>
  <si>
    <t xml:space="preserve">V T GATO NEGRO MERLOT 750 ML                                </t>
  </si>
  <si>
    <t xml:space="preserve">X656      </t>
  </si>
  <si>
    <t>BVITTGGXXPNSCXX</t>
  </si>
  <si>
    <t xml:space="preserve">V T GATO NEGRO PINOT NOIR 750 ML                            </t>
  </si>
  <si>
    <t>BVIBRGG00003047</t>
  </si>
  <si>
    <t xml:space="preserve">V B GATO NEGRO 9 LIVES CHARDONNAY 750ML                     </t>
  </si>
  <si>
    <t>BVIBRGG00003048</t>
  </si>
  <si>
    <t xml:space="preserve">V B GATO NEGRO 9 LIVES RESERVE SAUVIGNON BLANC 750ML        </t>
  </si>
  <si>
    <t xml:space="preserve">X1470     </t>
  </si>
  <si>
    <t>BVITTGG00001111</t>
  </si>
  <si>
    <t xml:space="preserve">V T GATO NEGRO 9 LIVES RESERVA CAB SAUV 750ML               </t>
  </si>
  <si>
    <t xml:space="preserve">X1471     </t>
  </si>
  <si>
    <t>BVITTGG00001114</t>
  </si>
  <si>
    <t xml:space="preserve">V T GATO NEGRO 9 LIVES RESERVA CARMENERE 750ML              </t>
  </si>
  <si>
    <t>RAPEL</t>
  </si>
  <si>
    <t xml:space="preserve">X526      </t>
  </si>
  <si>
    <t>BVITTINRACSTSXX</t>
  </si>
  <si>
    <t xml:space="preserve">V T CASTILLO DE MOLINA RESERVA CAB SAUV 375 ML              </t>
  </si>
  <si>
    <t>ELQUI</t>
  </si>
  <si>
    <t xml:space="preserve">X443      </t>
  </si>
  <si>
    <t>BVIBRINRASBSCXX</t>
  </si>
  <si>
    <t xml:space="preserve">V B CASTILLO DE MOLINA RESERVA S BLANC 750 ML               </t>
  </si>
  <si>
    <t>MAULE</t>
  </si>
  <si>
    <t xml:space="preserve">X446      </t>
  </si>
  <si>
    <t>BVITTINRACASCXX</t>
  </si>
  <si>
    <t xml:space="preserve">V T CASTILLO DE MOLINA RESERVA CARMENERE 750 ML             </t>
  </si>
  <si>
    <t xml:space="preserve">X447      </t>
  </si>
  <si>
    <t>BVITTINRACSSCXX</t>
  </si>
  <si>
    <t xml:space="preserve">V T CASTILLO DE MOLINA RESERVA CAB SAUV 750 ML              </t>
  </si>
  <si>
    <t xml:space="preserve">X987      </t>
  </si>
  <si>
    <t>BVIBRMTSYCHSCXX</t>
  </si>
  <si>
    <t xml:space="preserve">V B 1865 SELECTED VINEYARDS CHARDONNAY 750 ML               </t>
  </si>
  <si>
    <t>LEYDA</t>
  </si>
  <si>
    <t xml:space="preserve">X452      </t>
  </si>
  <si>
    <t>BVIBRMTSYSBSCXX</t>
  </si>
  <si>
    <t xml:space="preserve">V B 1865 SELECTED VINEYARDS SAUV BLANC 750 ML               </t>
  </si>
  <si>
    <t xml:space="preserve">X449      </t>
  </si>
  <si>
    <t>BVITTMTSYCASCXX</t>
  </si>
  <si>
    <t xml:space="preserve">V T 1865 SELECTED VINEYARDS CARMENERE 750 ML                </t>
  </si>
  <si>
    <t>MAIPO</t>
  </si>
  <si>
    <t xml:space="preserve">X450      </t>
  </si>
  <si>
    <t>BVITTMTSYCSSCXX</t>
  </si>
  <si>
    <t xml:space="preserve">V T 1865 SELECTED VINEYARDS CAB SAUV 750 ML                 </t>
  </si>
  <si>
    <t xml:space="preserve">X451      </t>
  </si>
  <si>
    <t>BVITTMTSYMASCXX</t>
  </si>
  <si>
    <t xml:space="preserve">V T 1865 SELECTED VINEYARDS MALBEC 750 ML                   </t>
  </si>
  <si>
    <t xml:space="preserve">X988      </t>
  </si>
  <si>
    <t>BVITTMTSYPNSCXX</t>
  </si>
  <si>
    <t xml:space="preserve">V T 1865 SELECTED VINEYARDS PINOT NOIR 750 ML               </t>
  </si>
  <si>
    <t>CACHAPOAL</t>
  </si>
  <si>
    <t xml:space="preserve">X448      </t>
  </si>
  <si>
    <t>BVITTMTSYSHSCXX</t>
  </si>
  <si>
    <t xml:space="preserve">V T 1865 SELECTED VINEYARDS SYRAH 750 ML                    </t>
  </si>
  <si>
    <t xml:space="preserve">X1037     </t>
  </si>
  <si>
    <t>BVITTBHXXCSSCXX</t>
  </si>
  <si>
    <t xml:space="preserve">V T CABO DE HORNOS CAB SAUV 750 ML                          </t>
  </si>
  <si>
    <t>BVITTSH00002961</t>
  </si>
  <si>
    <t xml:space="preserve">V T LA HUERTA 750 ML                                        </t>
  </si>
  <si>
    <t>BVIBRSH00003757</t>
  </si>
  <si>
    <t xml:space="preserve">V B LA HUERTA 750 ML                                        </t>
  </si>
  <si>
    <t>BÍO-BÍO</t>
  </si>
  <si>
    <t>BVIBRZB00002925</t>
  </si>
  <si>
    <t xml:space="preserve">V B B-LIV ORGANICO SAUV BLANC 750 ML                        </t>
  </si>
  <si>
    <t>BVIROZB00002924</t>
  </si>
  <si>
    <t xml:space="preserve">V R B-LIV ORGANICO ROSE 750 ML                              </t>
  </si>
  <si>
    <t>BVITTZB00002922</t>
  </si>
  <si>
    <t xml:space="preserve">V T B-LIV ORGANICO CAB SAUVIGNON 750 ML                     </t>
  </si>
  <si>
    <t>BVITTZB00002923</t>
  </si>
  <si>
    <t xml:space="preserve">V T B-LIV ORGANICO RED BLEND 750 ML                         </t>
  </si>
  <si>
    <t>BVIBREC00002638</t>
  </si>
  <si>
    <t xml:space="preserve">V B CORPUS ASTRAL SAUVIGNON BLANC 750 ML                    </t>
  </si>
  <si>
    <t>BVITTEC00002636</t>
  </si>
  <si>
    <t xml:space="preserve">V T CORPUS ASTRAL CARMENERE 750 ML                          </t>
  </si>
  <si>
    <t>BVITTEC00002635</t>
  </si>
  <si>
    <t xml:space="preserve">V T CORPUS ASTRAL CABERNET SAUVIGNON 750 ML                 </t>
  </si>
  <si>
    <t>BVITTEC00002637</t>
  </si>
  <si>
    <t xml:space="preserve">V T CORPUS ASTRAL MERLOT 750 ML                             </t>
  </si>
  <si>
    <t>BVIBREC00002634</t>
  </si>
  <si>
    <t xml:space="preserve">V B ALPACA CHARDONNAY SEMILLON 750 ML                       </t>
  </si>
  <si>
    <t>BVIBREC00002630</t>
  </si>
  <si>
    <t xml:space="preserve">V B ALPACA SAUVIGNON BLANC 750 ML                           </t>
  </si>
  <si>
    <t>BVIROEC00002633</t>
  </si>
  <si>
    <t xml:space="preserve">V ROSE ALPACA 750 ML                                        </t>
  </si>
  <si>
    <t>BVITTEC00002632</t>
  </si>
  <si>
    <t xml:space="preserve">V T ALPACA CAB SAUV/MERLOT 750 ML                           </t>
  </si>
  <si>
    <t>BVITTEC00002631</t>
  </si>
  <si>
    <t xml:space="preserve">V T ALPACA MERLOT 750 ML                                    </t>
  </si>
  <si>
    <t>BVITTEC00002639</t>
  </si>
  <si>
    <t xml:space="preserve">V T CORPUS ASTRAL RESERVA CABERNET SAUVIGNON 750 ML         </t>
  </si>
  <si>
    <t>BVITTEC00002640</t>
  </si>
  <si>
    <t xml:space="preserve">V T CORPUS ASTRAL GRAN RVA CABERNET SAUVIGNON 750 ML        </t>
  </si>
  <si>
    <t>BVIBREC00002642</t>
  </si>
  <si>
    <t xml:space="preserve">V B EPICA RESERVA SAUV BLANC 750 ML                         </t>
  </si>
  <si>
    <t>BVITTEC00002641</t>
  </si>
  <si>
    <t xml:space="preserve">V T EPICA RESERVA CAB SAUV 750 ML                           </t>
  </si>
  <si>
    <t>BVITTEC00002643</t>
  </si>
  <si>
    <t xml:space="preserve">V T EPICA RESERVA PINOT NOIR 750 ML                         </t>
  </si>
  <si>
    <t>SERRA GAUCHA</t>
  </si>
  <si>
    <t>BVIBRLM00002978</t>
  </si>
  <si>
    <t xml:space="preserve">V B SUAVE LUMNI 750ML                                       </t>
  </si>
  <si>
    <t>BVITTLM00002977</t>
  </si>
  <si>
    <t xml:space="preserve">V T SUAVE LUMNI 750ML                                       </t>
  </si>
  <si>
    <t>VALE DE SÃO FRANCISCO</t>
  </si>
  <si>
    <t>BVIBRUN00002979</t>
  </si>
  <si>
    <t xml:space="preserve">V B AURA NOVA CHARDONNAY/CHENIN BLANC 750ML                 </t>
  </si>
  <si>
    <t>BVIBRUN00002980</t>
  </si>
  <si>
    <t xml:space="preserve">V B AURA NOVA SWEET WHITE MOSCATO 750ML                     </t>
  </si>
  <si>
    <t>BVITTUN00002981</t>
  </si>
  <si>
    <t xml:space="preserve">V T AURA NOVA CABERNET SAUVIGNON 750ML                      </t>
  </si>
  <si>
    <t>BVITTUN00002982</t>
  </si>
  <si>
    <t xml:space="preserve">V T AURA NOVA SHIRAZ 750ML                                  </t>
  </si>
  <si>
    <t>TABELA DE PREÇOS :: 2023::  MARÇO</t>
  </si>
  <si>
    <t>VALOR FINAL</t>
  </si>
  <si>
    <t>FAMÍLIA</t>
  </si>
  <si>
    <t>MARCA</t>
  </si>
  <si>
    <t>CATEGORIA</t>
  </si>
  <si>
    <t>EVIAN/BADOIT</t>
  </si>
  <si>
    <t>FRANÇA</t>
  </si>
  <si>
    <t>AGUA MINERAL</t>
  </si>
  <si>
    <t xml:space="preserve">X1326     </t>
  </si>
  <si>
    <t>BAGANEV00000818</t>
  </si>
  <si>
    <t xml:space="preserve">AGUA MINERAL EVIAN PET 330ML SEM GAS                        </t>
  </si>
  <si>
    <t xml:space="preserve">X1327     </t>
  </si>
  <si>
    <t>BAGANEV00000819</t>
  </si>
  <si>
    <t xml:space="preserve">AGUA MINERAL EVIAN PET 500ML SEM GAS                        </t>
  </si>
  <si>
    <t xml:space="preserve">X1331     </t>
  </si>
  <si>
    <t>BAGANEV00000823</t>
  </si>
  <si>
    <t xml:space="preserve">AGUA MINERAL EVIAN VD 330ML SEM GAS                         </t>
  </si>
  <si>
    <t xml:space="preserve">X1506     </t>
  </si>
  <si>
    <t>BAGXXEV00001264</t>
  </si>
  <si>
    <t xml:space="preserve">AGUA MINERAL EVIAN PET 750ML SEM GAS                        </t>
  </si>
  <si>
    <t xml:space="preserve">X1328     </t>
  </si>
  <si>
    <t>BAGANEV00000820</t>
  </si>
  <si>
    <t xml:space="preserve">AGUA MINERAL EVIAN PET 1000ML SEM GAS                       </t>
  </si>
  <si>
    <t xml:space="preserve">X1330     </t>
  </si>
  <si>
    <t>BAGANEV00000822</t>
  </si>
  <si>
    <t xml:space="preserve">AGUA MINERAL EVIAN VD 750ML SEM GAS                         </t>
  </si>
  <si>
    <t xml:space="preserve">X1332     </t>
  </si>
  <si>
    <t>BAGANEV00000824</t>
  </si>
  <si>
    <t xml:space="preserve">AGUA MINERAL EVIAN ED LIMITADA VD 750ML SEM GAS             </t>
  </si>
  <si>
    <t>TORO LOCO</t>
  </si>
  <si>
    <t>ESPANHA</t>
  </si>
  <si>
    <t>AZEITE</t>
  </si>
  <si>
    <t>NT</t>
  </si>
  <si>
    <t>AAZEVTL00002473</t>
  </si>
  <si>
    <t xml:space="preserve">AZ EXTRA VIRGEM TORO LOCO 500 ML                            </t>
  </si>
  <si>
    <t xml:space="preserve">GIFFARD </t>
  </si>
  <si>
    <t>BXPXXGI00002957</t>
  </si>
  <si>
    <t xml:space="preserve">XAROPE GIFFARD GRENADINE GF 1000 ML                         </t>
  </si>
  <si>
    <t>BXPXXGI00002955</t>
  </si>
  <si>
    <t xml:space="preserve">XAROPE GIFFARD FRAISE GF 1000 ML                            </t>
  </si>
  <si>
    <t>BXPXXGI00002954</t>
  </si>
  <si>
    <t xml:space="preserve">XAROPE GIFFARD PECHE GF 1000 ML                             </t>
  </si>
  <si>
    <t>BXPXXGI00002958</t>
  </si>
  <si>
    <t xml:space="preserve">XAROPE GIFFARD CRANBERRY GF 1000 ML                         </t>
  </si>
  <si>
    <t>BXPXXGI00002959</t>
  </si>
  <si>
    <t xml:space="preserve">XAROPE GIFFARD CURACAO BLEU GF 1000 ML                      </t>
  </si>
  <si>
    <t>BXPXXGI00002960</t>
  </si>
  <si>
    <t xml:space="preserve">XAROPE GIFFARD VANILLE GF 1000 ML                           </t>
  </si>
  <si>
    <t>BXPXXGI00002956</t>
  </si>
  <si>
    <t xml:space="preserve">XAROPE GIFFARD LITCHI GF 1000 ML                            </t>
  </si>
  <si>
    <t xml:space="preserve">VALOR PRODUTO </t>
  </si>
  <si>
    <t xml:space="preserve">VALOR FINAL </t>
  </si>
  <si>
    <t>BUSCA VIDA</t>
  </si>
  <si>
    <t>BRASIL</t>
  </si>
  <si>
    <t>CACHAÇA</t>
  </si>
  <si>
    <t>BAPXXBV00002153</t>
  </si>
  <si>
    <t xml:space="preserve">APERITIVO BUSCA VIDA 670ML                                  </t>
  </si>
  <si>
    <t xml:space="preserve">X1490     </t>
  </si>
  <si>
    <t>BCAXXIR00001212</t>
  </si>
  <si>
    <t xml:space="preserve">CACHACA TICO ROSA 750ML                                     </t>
  </si>
  <si>
    <t>SUPERNOVA</t>
  </si>
  <si>
    <t>NÃO ALCOOLICO</t>
  </si>
  <si>
    <t xml:space="preserve">X1750     </t>
  </si>
  <si>
    <t>BXXXXKB00001802</t>
  </si>
  <si>
    <t xml:space="preserve">SUPERNOVA KOMBUCHA HIBISCO C/MARACUJA PET 300ML             </t>
  </si>
  <si>
    <t xml:space="preserve">X1752     </t>
  </si>
  <si>
    <t>BXXXXKB00001804</t>
  </si>
  <si>
    <t xml:space="preserve">SUPERNOVA KOMBUCHA MATE C/LIMAO E GENGIBRE PET 300ML        </t>
  </si>
  <si>
    <t>BXXXXKB00002992</t>
  </si>
  <si>
    <t xml:space="preserve">SUPERNOVA KOMBUCHA SWEET PINK LEMONADE PET 300ML            </t>
  </si>
  <si>
    <t>+QCHA</t>
  </si>
  <si>
    <t xml:space="preserve">+QCHA </t>
  </si>
  <si>
    <t>BXXQCTQ00002644</t>
  </si>
  <si>
    <t xml:space="preserve">+QCHA TEAMAGRECE (PACK C/30 SACHES 1,5GRS)                  </t>
  </si>
  <si>
    <t xml:space="preserve">S/ESTOQUE </t>
  </si>
  <si>
    <t>SOUL FRESH, SOUL CLEAN</t>
  </si>
  <si>
    <t>BXXCQSF00002843</t>
  </si>
  <si>
    <t xml:space="preserve">COQUETEL HARD SELTZER SFSC PINK LEMONADE LT 269ML           </t>
  </si>
  <si>
    <t>VALOR PRODUTO</t>
  </si>
  <si>
    <t>REGIÃO</t>
  </si>
  <si>
    <t>ESCOLA</t>
  </si>
  <si>
    <t>ESTILO</t>
  </si>
  <si>
    <t>AT/DT</t>
  </si>
  <si>
    <t>DEMAIS CLIENTES</t>
  </si>
  <si>
    <t>BREWDOG</t>
  </si>
  <si>
    <t>ESCÓCIA</t>
  </si>
  <si>
    <t>AMERICANA</t>
  </si>
  <si>
    <t>AMERICAN IPA</t>
  </si>
  <si>
    <t xml:space="preserve">X1876     </t>
  </si>
  <si>
    <t>BCEXXBR00002061</t>
  </si>
  <si>
    <t xml:space="preserve">CERVEJA BREWDOG PUNK IPA 5,4% LATA 330ML                    </t>
  </si>
  <si>
    <t>SESSION IPA</t>
  </si>
  <si>
    <t xml:space="preserve">X1528     </t>
  </si>
  <si>
    <t>BCEXXBR00001387</t>
  </si>
  <si>
    <t xml:space="preserve">CERVEJA BREWDOG DEAD PONY LT 330ML                          </t>
  </si>
  <si>
    <t xml:space="preserve">X2043     </t>
  </si>
  <si>
    <t>BCEXXBR00002271</t>
  </si>
  <si>
    <t>CERVEJA BREWDOG BASIC SHAKE  MILKSHAKE IPA 330 ML</t>
  </si>
  <si>
    <t>JUICY/HAZY IPA</t>
  </si>
  <si>
    <t xml:space="preserve">X1875     </t>
  </si>
  <si>
    <t>BCEXXBR00002060</t>
  </si>
  <si>
    <t xml:space="preserve">CERVEJA BREWDOG HAZY JANE 5% LATA 330ML                     </t>
  </si>
  <si>
    <t xml:space="preserve">X1525     </t>
  </si>
  <si>
    <t>BCEXXBR00001384</t>
  </si>
  <si>
    <t xml:space="preserve">CERVEJA BREWDOG ELVIS JUICE LT 330 ML                       </t>
  </si>
  <si>
    <t>BCEXXBR00002909</t>
  </si>
  <si>
    <t xml:space="preserve">CERVEJA BREWDOG PLANET PALE LT 330ML                        </t>
  </si>
  <si>
    <t xml:space="preserve">X1878     </t>
  </si>
  <si>
    <t>BCEXXBR00002063</t>
  </si>
  <si>
    <t xml:space="preserve">CERVEJA BREWDOG PUNK IPA 5,4% LATA 500ML                    </t>
  </si>
  <si>
    <t>DUVEL MOORTGAT</t>
  </si>
  <si>
    <t>BÉLGICA</t>
  </si>
  <si>
    <t>BELGA</t>
  </si>
  <si>
    <t>WITBIER</t>
  </si>
  <si>
    <t>X177</t>
  </si>
  <si>
    <t>BCEXXVDWHXXGTXX</t>
  </si>
  <si>
    <t xml:space="preserve">CERVEJA VEDETT EXTRA WHITE GF 330ML                         </t>
  </si>
  <si>
    <t>BELGIAN PALE PALE</t>
  </si>
  <si>
    <t>X176</t>
  </si>
  <si>
    <t>BCEXXKCXXXXGTXX</t>
  </si>
  <si>
    <t xml:space="preserve">CERVEJA DE KONINCK GF 330ML                                 </t>
  </si>
  <si>
    <t>BELGIAN BLONDE ALE</t>
  </si>
  <si>
    <t>X180</t>
  </si>
  <si>
    <t>BCEXXMD6BXXGTXX</t>
  </si>
  <si>
    <t xml:space="preserve">CERVEJA MAREDSOUS 6 BLOND GF 330ML                          </t>
  </si>
  <si>
    <t xml:space="preserve">X993      </t>
  </si>
  <si>
    <t>BCEXXVDIPXXGTXX</t>
  </si>
  <si>
    <t xml:space="preserve">CERVEJA VEDETT IPA 330ML                                    </t>
  </si>
  <si>
    <t>STRONG GOLDEN ALE</t>
  </si>
  <si>
    <t>X178</t>
  </si>
  <si>
    <t>BCEXXDVXXXXGTXX</t>
  </si>
  <si>
    <t xml:space="preserve">CERVEJA DUVEL GF 330ML                                      </t>
  </si>
  <si>
    <t>BELGIAN SPECIALTY SAISON</t>
  </si>
  <si>
    <t>BCEXXHF00002804</t>
  </si>
  <si>
    <t xml:space="preserve">CERVEJA CHOUFFE SOLEIL GF 330ML                             </t>
  </si>
  <si>
    <t>BCEXXDV00002474</t>
  </si>
  <si>
    <t xml:space="preserve">CERVEJA DUVEL 6.66 GF 330ML                                 </t>
  </si>
  <si>
    <t>BELGIAN SPECIALTY ALE</t>
  </si>
  <si>
    <t>X170</t>
  </si>
  <si>
    <t>BCEXXCFNLXXGTXX</t>
  </si>
  <si>
    <t xml:space="preserve">CERVEJA LA CHOUFFE GF 330ML                                 </t>
  </si>
  <si>
    <t>BELGIAN TRIPEL</t>
  </si>
  <si>
    <t>X168</t>
  </si>
  <si>
    <t>BCEXXMD1TXXGTXX</t>
  </si>
  <si>
    <t xml:space="preserve">CERVEJA MAREDSOUS 10º TRIPEL GF 330ML                       </t>
  </si>
  <si>
    <t>OUD BRUIN</t>
  </si>
  <si>
    <t xml:space="preserve">X1396     </t>
  </si>
  <si>
    <t>BCEXXLF00000901</t>
  </si>
  <si>
    <t xml:space="preserve">CERVEJA LIEFMANS GOUDENBAND GF 330 ML                       </t>
  </si>
  <si>
    <t>BELGIAN IPA</t>
  </si>
  <si>
    <t>X175</t>
  </si>
  <si>
    <t>BCEXXHCXXXXGTXX</t>
  </si>
  <si>
    <t xml:space="preserve">CERVEJA HOUBLON CHOUFFE GF 330ML                            </t>
  </si>
  <si>
    <t>X377</t>
  </si>
  <si>
    <t>BCEXXDVIHXXGTXX</t>
  </si>
  <si>
    <t xml:space="preserve">CERVEJA DUVEL TRIPEL HOP CITRA GF 330ML                     </t>
  </si>
  <si>
    <t xml:space="preserve">X1883     </t>
  </si>
  <si>
    <t>BCEXXDV00002108</t>
  </si>
  <si>
    <t xml:space="preserve">CERVEJA DUVEL TRIPEL HOP CASHMERE GF 330ML                  </t>
  </si>
  <si>
    <t xml:space="preserve">X992      </t>
  </si>
  <si>
    <t>BCEXXLFXJXXGTXX</t>
  </si>
  <si>
    <t xml:space="preserve">CERVEJA LIEFMANS KRIEK BRUT GF 330ML                        </t>
  </si>
  <si>
    <t xml:space="preserve">X1491     </t>
  </si>
  <si>
    <t>BCEXXLF00001226</t>
  </si>
  <si>
    <t xml:space="preserve">CERVEJA LIEFMANS GOUDENBAND GF 750 ML                       </t>
  </si>
  <si>
    <t xml:space="preserve">X1521     </t>
  </si>
  <si>
    <t>BCEXXLF00001380</t>
  </si>
  <si>
    <t xml:space="preserve">CERVEJA LIEFMANS KRIEK BRUT 750 ML                          </t>
  </si>
  <si>
    <t>DINAMARCA</t>
  </si>
  <si>
    <t>BCEXXFX00003810</t>
  </si>
  <si>
    <t xml:space="preserve">CERVEJA FAXE PREMIUM LT 330 ML                              </t>
  </si>
  <si>
    <t>FAXE</t>
  </si>
  <si>
    <t xml:space="preserve">X1208     </t>
  </si>
  <si>
    <t>BCEXXFX00000255</t>
  </si>
  <si>
    <t xml:space="preserve">CERVEJA FAXE ROYAL LT 500 ML                                </t>
  </si>
  <si>
    <t>AMERICAN LAGER</t>
  </si>
  <si>
    <t xml:space="preserve">X1084     </t>
  </si>
  <si>
    <t>BCEXXFXXXUMLQXX</t>
  </si>
  <si>
    <t xml:space="preserve">CERVEJA FAXE PREMIUM LT 500 ML                              </t>
  </si>
  <si>
    <t>MALT LIQUOR</t>
  </si>
  <si>
    <t xml:space="preserve">X1085     </t>
  </si>
  <si>
    <t>BCEXXFXXXYPLQXX</t>
  </si>
  <si>
    <t xml:space="preserve">CERVEJA FAXE 10% LT 500 ML                                  </t>
  </si>
  <si>
    <t xml:space="preserve">X1209     </t>
  </si>
  <si>
    <t>BCEXXFX00000256</t>
  </si>
  <si>
    <t xml:space="preserve">CERVEJA FAXE IPA LT 500 ML                                  </t>
  </si>
  <si>
    <t xml:space="preserve">X1086     </t>
  </si>
  <si>
    <t>BCEXXFXXXWTLQXX</t>
  </si>
  <si>
    <t xml:space="preserve">CERVEJA FAXE WITBIER LT 500 ML                              </t>
  </si>
  <si>
    <t xml:space="preserve">X1082     </t>
  </si>
  <si>
    <t>BCEXXFXYXXXLMXX</t>
  </si>
  <si>
    <t xml:space="preserve">CERVEJA FAXE ROYAL LT 1000 ML                               </t>
  </si>
  <si>
    <t xml:space="preserve">X1081     </t>
  </si>
  <si>
    <t>BCEXXFXXXUMLMXX</t>
  </si>
  <si>
    <t xml:space="preserve">CERVEJA FAXE PREMIUM LT 1000 ML                             </t>
  </si>
  <si>
    <t xml:space="preserve">X1080     </t>
  </si>
  <si>
    <t>BCEXXFXXXYPLMXX</t>
  </si>
  <si>
    <t xml:space="preserve">CERVEJA FAXE 10% LT 1000 ML                                 </t>
  </si>
  <si>
    <t xml:space="preserve">X1083     </t>
  </si>
  <si>
    <t>BCEXXFXXXWTLMXX</t>
  </si>
  <si>
    <t xml:space="preserve">CERVEJA FAXE WITBIER LT 1000 ML                             </t>
  </si>
  <si>
    <t>MARSTONS - WELLS &amp; YOUNGS</t>
  </si>
  <si>
    <t>MARSTONS - HOBGOBLIN</t>
  </si>
  <si>
    <t>HOBGOBLIN</t>
  </si>
  <si>
    <t>INGLATERRA</t>
  </si>
  <si>
    <t>INGLESA</t>
  </si>
  <si>
    <t xml:space="preserve">X1567     </t>
  </si>
  <si>
    <t>BCEXXWE00001472</t>
  </si>
  <si>
    <t xml:space="preserve">CERVEJA HOBGOBLIN LEGENDARY RUBY BEER LT 500 ML             </t>
  </si>
  <si>
    <t>SPECIAL BITTER</t>
  </si>
  <si>
    <t xml:space="preserve">X1569     </t>
  </si>
  <si>
    <t>BCEXXWE00001474</t>
  </si>
  <si>
    <t xml:space="preserve">CERVEJA MARSTONS PEDIGREE AMBER ALE LT 500 ML               </t>
  </si>
  <si>
    <t>EXTRA SPECIAL BITTER</t>
  </si>
  <si>
    <t xml:space="preserve">X1563     </t>
  </si>
  <si>
    <t>BCEXXWE00001468</t>
  </si>
  <si>
    <t xml:space="preserve">CERVEJA EAGLE BOMBARDIER LT 500 ML                          </t>
  </si>
  <si>
    <t xml:space="preserve">X1627     </t>
  </si>
  <si>
    <t>BCEXXWE00001585</t>
  </si>
  <si>
    <t xml:space="preserve">CERVEJA HOBGOBLIN IPA LT 440 ML                             </t>
  </si>
  <si>
    <t>BCEXXWE00002512</t>
  </si>
  <si>
    <t xml:space="preserve">CERVEJA LANCASTER BOMBER ALE GF 500 ML                      </t>
  </si>
  <si>
    <t>SIERRA NEVADA</t>
  </si>
  <si>
    <t>ESTADOS UNIDOS</t>
  </si>
  <si>
    <t xml:space="preserve">AMERICANA </t>
  </si>
  <si>
    <t>AMERICAN PALE ALE</t>
  </si>
  <si>
    <t xml:space="preserve">X1888     </t>
  </si>
  <si>
    <t>BCEXXSN00002120</t>
  </si>
  <si>
    <t xml:space="preserve">CERVEJA SIERRA NEVADA PALE ALE LATA 355 ML                  </t>
  </si>
  <si>
    <t xml:space="preserve">X1891     </t>
  </si>
  <si>
    <t>BCEXXSN00002123</t>
  </si>
  <si>
    <t xml:space="preserve">CERVEJA SIERRA NEVADA TORPEDO IPA LATA 355 ML               </t>
  </si>
  <si>
    <t>AMERICAN IMPERIAL IPA</t>
  </si>
  <si>
    <t xml:space="preserve">X1441     </t>
  </si>
  <si>
    <t>BCEXXSN00000984</t>
  </si>
  <si>
    <t xml:space="preserve">CERVEJA SIERRA NEVADA HAZY LITTLE THING IPA LT 355 ML       </t>
  </si>
  <si>
    <t>BCEXXSN00003323</t>
  </si>
  <si>
    <t xml:space="preserve">CERVEJA SIERRA NEVADA BIG LITTLE THING IPA LT 355 ML        </t>
  </si>
  <si>
    <t>BCEXXSN00003327</t>
  </si>
  <si>
    <t xml:space="preserve">CERVEJA SIERRA NEVADA DANKFUL IPA LT 355 ML                 </t>
  </si>
  <si>
    <t>BCEXXSN00003324</t>
  </si>
  <si>
    <t xml:space="preserve">CERVEJA SIERRA NEVADA SUNNY LITTLE THING LT 355 ML          </t>
  </si>
  <si>
    <t xml:space="preserve">X1620     </t>
  </si>
  <si>
    <t>BCEXXSN00001577</t>
  </si>
  <si>
    <t xml:space="preserve">CERVEJA SIERRA NEVADA HOP BULLET DOUBLE IPA LT 355 ML       </t>
  </si>
  <si>
    <t>WEIHENSTEPHANER</t>
  </si>
  <si>
    <t>ALEMANHA</t>
  </si>
  <si>
    <t>ALEMÃ</t>
  </si>
  <si>
    <t>TRIGO/HEFEWEIZEN</t>
  </si>
  <si>
    <t xml:space="preserve">X1897     </t>
  </si>
  <si>
    <t>BCEXXWP00002198</t>
  </si>
  <si>
    <t xml:space="preserve">CERVEJA WEIHENSTEPHANER HEFEWEISSBIER GF 330ML              </t>
  </si>
  <si>
    <t>GERMAN PILSENER</t>
  </si>
  <si>
    <t xml:space="preserve">X1900     </t>
  </si>
  <si>
    <t>BCEXXWP00002201</t>
  </si>
  <si>
    <t xml:space="preserve">CERVEJA WEIHENSTEPHANER PILS GF 330 ML                      </t>
  </si>
  <si>
    <t>TRIGO/DUNKEL WEIZEN</t>
  </si>
  <si>
    <t>X1733</t>
  </si>
  <si>
    <t>BCEXXWP00001768</t>
  </si>
  <si>
    <t xml:space="preserve">CERVEJA WEIHENSTEPHANER DUNKEL 500ML                        </t>
  </si>
  <si>
    <t xml:space="preserve">X1735     </t>
  </si>
  <si>
    <t>BCEXXWP00001770</t>
  </si>
  <si>
    <t xml:space="preserve">CERVEJA WEIHENSTEPHANER HEFEWEISSBIER 500ML                 </t>
  </si>
  <si>
    <t>MUNICH HELLES</t>
  </si>
  <si>
    <t>X1732</t>
  </si>
  <si>
    <t>BCEXXWP00001767</t>
  </si>
  <si>
    <t xml:space="preserve">CERVEJA WEIHENSTEPHANER ORIGINAL HELLES  500 ML             </t>
  </si>
  <si>
    <t>TRIGO/WEIZENBOCK</t>
  </si>
  <si>
    <t>X1731</t>
  </si>
  <si>
    <t>BCEXXWP00001766</t>
  </si>
  <si>
    <t xml:space="preserve">CERVEJA WEIHENSTEPHANER VITUS 500ML                         </t>
  </si>
  <si>
    <t>DOPPELBOCK</t>
  </si>
  <si>
    <t xml:space="preserve">X1901     </t>
  </si>
  <si>
    <t>BCEXXWP00002202</t>
  </si>
  <si>
    <t xml:space="preserve">CERVEJA WEIHENSTEPHANER KORBINIAN DOPPELBOCK GF 500 ML      </t>
  </si>
  <si>
    <t>ASAHI</t>
  </si>
  <si>
    <t>JAPÃO</t>
  </si>
  <si>
    <t>BCEXXHI00002920</t>
  </si>
  <si>
    <t xml:space="preserve">CERVEJA ASAHI LT 330ML                                      </t>
  </si>
  <si>
    <t>PARADISO BREWERY</t>
  </si>
  <si>
    <t>PARADISO</t>
  </si>
  <si>
    <t>BCEXXPE00002930</t>
  </si>
  <si>
    <t xml:space="preserve">CERVEJA PARADISO WITBIER LT 473ML                           </t>
  </si>
  <si>
    <t>BCEXXPE00002931</t>
  </si>
  <si>
    <t xml:space="preserve">CERVEJA PARADISO HOPPY LAGER LT 473ML                       </t>
  </si>
  <si>
    <t xml:space="preserve">XINGU </t>
  </si>
  <si>
    <t>DARK LAGER</t>
  </si>
  <si>
    <t>BCEXXXG00003724</t>
  </si>
  <si>
    <t xml:space="preserve">CERVEJA XINGU BLACK BEER GF 355ML                           </t>
  </si>
  <si>
    <t>AMERICAN PILSENER</t>
  </si>
  <si>
    <t>BCEXXXG00003725</t>
  </si>
  <si>
    <t xml:space="preserve">CERVEJA XINGU GOLD BEER GF 355ML                            </t>
  </si>
  <si>
    <t>BCEXXXG00003756</t>
  </si>
  <si>
    <t xml:space="preserve">CERVEJA XINGU BLACK BEER LATA 473ML                         </t>
  </si>
  <si>
    <t>AMARULA</t>
  </si>
  <si>
    <t>AFRICA DO SUL</t>
  </si>
  <si>
    <t>LICOR</t>
  </si>
  <si>
    <t xml:space="preserve">X2059     </t>
  </si>
  <si>
    <t>BLIXXAM00002304</t>
  </si>
  <si>
    <t xml:space="preserve">LICOR AMARULA 50ML                                          </t>
  </si>
  <si>
    <t>BLIXXAM00002480</t>
  </si>
  <si>
    <t xml:space="preserve">LICOR AMARULA ETHIOPIAN COFFEE 50 ML                        </t>
  </si>
  <si>
    <t xml:space="preserve">X1248     </t>
  </si>
  <si>
    <t>BLIXXAM00000500</t>
  </si>
  <si>
    <t xml:space="preserve">LICOR AMARULA CREAM 375 ML                                  </t>
  </si>
  <si>
    <t xml:space="preserve">X1247     </t>
  </si>
  <si>
    <t>BLIXXAM00000499</t>
  </si>
  <si>
    <t xml:space="preserve">LICOR AMARULA CREAM 750 ML                                  </t>
  </si>
  <si>
    <t xml:space="preserve">X1469     </t>
  </si>
  <si>
    <t>BLIXXAM00001109</t>
  </si>
  <si>
    <t xml:space="preserve">LICOR AMARULA VANILLA SPICE 750ML                           </t>
  </si>
  <si>
    <t xml:space="preserve">X2071     </t>
  </si>
  <si>
    <t>BLIXXAM00002322</t>
  </si>
  <si>
    <t xml:space="preserve">LICOR AMARULA ETHIOPIAN COFFEE 750ML                        </t>
  </si>
  <si>
    <t>BLIXXAM00002973</t>
  </si>
  <si>
    <t xml:space="preserve">LICOR AMARULA RASPBERRY 750 ML                              </t>
  </si>
  <si>
    <t>BLIXXAM00002952</t>
  </si>
  <si>
    <t xml:space="preserve">LICOR AMARULA VEGAN 750 ML                                  </t>
  </si>
  <si>
    <t>ANGOSTURA</t>
  </si>
  <si>
    <t>TRINIDADE E TOBAGO</t>
  </si>
  <si>
    <t>BITTER</t>
  </si>
  <si>
    <t xml:space="preserve">X569      </t>
  </si>
  <si>
    <t>BBIXXGTWPXXCEXX</t>
  </si>
  <si>
    <t xml:space="preserve">BITTER ANGOSTURA AROMATIC 100 ML                            </t>
  </si>
  <si>
    <t>RUM</t>
  </si>
  <si>
    <t xml:space="preserve">X1179     </t>
  </si>
  <si>
    <t>BRUXXGT00000152</t>
  </si>
  <si>
    <t xml:space="preserve">RUM ANGOSTURA WHITE OAK 1000ML                              </t>
  </si>
  <si>
    <t xml:space="preserve">X1899     </t>
  </si>
  <si>
    <t>BBIXXGT00002200</t>
  </si>
  <si>
    <t xml:space="preserve">BITTER ANGOSTURA COCOA 100 ML                               </t>
  </si>
  <si>
    <t xml:space="preserve">X570      </t>
  </si>
  <si>
    <t>BBIXXGTFHXXCEXX</t>
  </si>
  <si>
    <t xml:space="preserve">BITTER ANGOSTURA ORANGE 100 ML                              </t>
  </si>
  <si>
    <t xml:space="preserve">X646      </t>
  </si>
  <si>
    <t>BRUXXGTJGXXSCXX</t>
  </si>
  <si>
    <t xml:space="preserve">RUM ANGOSTURA ANEJO GOLD 750 ML                             </t>
  </si>
  <si>
    <t>S/ESTOQUE</t>
  </si>
  <si>
    <t xml:space="preserve">X1488     </t>
  </si>
  <si>
    <t>BBIXXGT00001195</t>
  </si>
  <si>
    <t xml:space="preserve">BITTER ANGOSTURA AROMATIC 200 ML                            </t>
  </si>
  <si>
    <t xml:space="preserve">X1178     </t>
  </si>
  <si>
    <t>BLIXXGT00000151</t>
  </si>
  <si>
    <t xml:space="preserve">LICOR AMARO DI ANGOSTURA 750 ML                             </t>
  </si>
  <si>
    <t xml:space="preserve">X647      </t>
  </si>
  <si>
    <t>BRUXXGTPZXXSCXX</t>
  </si>
  <si>
    <t xml:space="preserve">RUM ANGOSTURA 1919 750 ML                                   </t>
  </si>
  <si>
    <t>AVELEDA</t>
  </si>
  <si>
    <t>PORTUGAL</t>
  </si>
  <si>
    <t>AGUARDENTE</t>
  </si>
  <si>
    <t xml:space="preserve">X1211     </t>
  </si>
  <si>
    <t>BDUVNAV00000258</t>
  </si>
  <si>
    <t xml:space="preserve">D UVA AVELEDA ADEGA VELHA 6 ANOS 500 ML                     </t>
  </si>
  <si>
    <t xml:space="preserve">X1210     </t>
  </si>
  <si>
    <t>BDUVNAV00000257</t>
  </si>
  <si>
    <t xml:space="preserve">D UVA AVELEDA ADEGA VELHA 12 ANOS 500 ML                    </t>
  </si>
  <si>
    <t>DOLIN</t>
  </si>
  <si>
    <t>VERMOUTH</t>
  </si>
  <si>
    <t xml:space="preserve">X1267     </t>
  </si>
  <si>
    <t>BBVVRDN00000608</t>
  </si>
  <si>
    <t xml:space="preserve">VERMOUTH DOLIN BLANC GF 750 ML                              </t>
  </si>
  <si>
    <t xml:space="preserve">X1268     </t>
  </si>
  <si>
    <t>BBVVRDN00000609</t>
  </si>
  <si>
    <t xml:space="preserve">VERMOUTH DOLIN DRY GF 750 ML                                </t>
  </si>
  <si>
    <t xml:space="preserve">X1269     </t>
  </si>
  <si>
    <t>BBVVRDN00000610</t>
  </si>
  <si>
    <t xml:space="preserve">VERMOUTH DOLIN ROUGE GF 750 ML                              </t>
  </si>
  <si>
    <t>DUCA DI SALAPARUTA</t>
  </si>
  <si>
    <t>ITALIA</t>
  </si>
  <si>
    <t xml:space="preserve">X1738     </t>
  </si>
  <si>
    <t>BLIXXTI00001778</t>
  </si>
  <si>
    <t xml:space="preserve">LICOR TIA MARIA 700 ML                                      </t>
  </si>
  <si>
    <t xml:space="preserve">X1737     </t>
  </si>
  <si>
    <t>BLIXXDS00001777</t>
  </si>
  <si>
    <t xml:space="preserve">LICOR DISARONNO ORIGINALE 700 ML                            </t>
  </si>
  <si>
    <t>JAGERMEISTER</t>
  </si>
  <si>
    <t>BLIXXJG00003072</t>
  </si>
  <si>
    <t xml:space="preserve">LICOR JAGERMEISTER 20 ML                                    </t>
  </si>
  <si>
    <t>BLIXXJG00003071</t>
  </si>
  <si>
    <t xml:space="preserve">LICOR JAGERMEISTER 350 ML                                   </t>
  </si>
  <si>
    <t xml:space="preserve">X1251     </t>
  </si>
  <si>
    <t>BLIXXJG00000504</t>
  </si>
  <si>
    <t xml:space="preserve">LICOR JAGERMEISTER 700 ML                                   </t>
  </si>
  <si>
    <t xml:space="preserve">X1180          </t>
  </si>
  <si>
    <t>BXXPAJG00000162</t>
  </si>
  <si>
    <t xml:space="preserve">PACK JAGERMEISTER (1GF 700ML+2 COPOS SHOT)                  </t>
  </si>
  <si>
    <t xml:space="preserve">               </t>
  </si>
  <si>
    <t>BLIPAJG00002055</t>
  </si>
  <si>
    <t xml:space="preserve">PACK LICOR JAGERMEISTER (01GF 700ML+02 COPOS LONG 400ML)    </t>
  </si>
  <si>
    <t>BLIXXJG00003070</t>
  </si>
  <si>
    <t xml:space="preserve">LICOR JAGERMEISTER 1000 ML                                  </t>
  </si>
  <si>
    <t>LICOR BOLS</t>
  </si>
  <si>
    <t>HOLANDA</t>
  </si>
  <si>
    <t xml:space="preserve">29L       </t>
  </si>
  <si>
    <t>BLIXXBLCYXXSEXX</t>
  </si>
  <si>
    <t xml:space="preserve">LICOR BOLS CREME CACAU 700 ML                               </t>
  </si>
  <si>
    <t>lICOR</t>
  </si>
  <si>
    <t xml:space="preserve">29B       </t>
  </si>
  <si>
    <t>BLIXXBLBQXXSEXX</t>
  </si>
  <si>
    <t xml:space="preserve">LICOR BOLS BLUE CURACAO 700ML                               </t>
  </si>
  <si>
    <t xml:space="preserve">29P       </t>
  </si>
  <si>
    <t>BLIXXBLCZXXSEXX</t>
  </si>
  <si>
    <t xml:space="preserve">LICOR BOLS CREME MENTA 700ML                                </t>
  </si>
  <si>
    <t xml:space="preserve">29W       </t>
  </si>
  <si>
    <t>BLIXXBLTSXXSEXX</t>
  </si>
  <si>
    <t xml:space="preserve">LICOR BOLS TRIPLE SEC 700 ML                                </t>
  </si>
  <si>
    <t xml:space="preserve">29N       </t>
  </si>
  <si>
    <t>BLIXXBLBWXXSEXX</t>
  </si>
  <si>
    <t xml:space="preserve">LICOR BOLS CREME DE CASSIS 700 ML                           </t>
  </si>
  <si>
    <t>LICOR HPNOTIQ</t>
  </si>
  <si>
    <t xml:space="preserve">29BT      </t>
  </si>
  <si>
    <t>BLIXXHNXXXXSCXX</t>
  </si>
  <si>
    <t xml:space="preserve">LICOR HPNOTIQ 750 ML                                        </t>
  </si>
  <si>
    <t>MACIEIRA</t>
  </si>
  <si>
    <t>BRANDY</t>
  </si>
  <si>
    <t xml:space="preserve">X727      </t>
  </si>
  <si>
    <t>BBRXXMAXXXXSEXX</t>
  </si>
  <si>
    <t xml:space="preserve">MACIEIRA 5 ESTRELAS 700 ML                                  </t>
  </si>
  <si>
    <t>MONARQ</t>
  </si>
  <si>
    <t>GOSLINGS</t>
  </si>
  <si>
    <t>BERMUDAS</t>
  </si>
  <si>
    <t xml:space="preserve">X1289     </t>
  </si>
  <si>
    <t>BRUXXGO00000686</t>
  </si>
  <si>
    <t xml:space="preserve">RUM GOSLINGS BLACK SEAL 750 ML                              </t>
  </si>
  <si>
    <t xml:space="preserve">GREENALLS </t>
  </si>
  <si>
    <t>GIN</t>
  </si>
  <si>
    <t xml:space="preserve">X1503     </t>
  </si>
  <si>
    <t>BGIXXNL00001246</t>
  </si>
  <si>
    <t xml:space="preserve">GIN GREENALLS THE ORIGINAL LONDON DRY 700 ML                </t>
  </si>
  <si>
    <t>GREENALL'S</t>
  </si>
  <si>
    <t xml:space="preserve">X1660     </t>
  </si>
  <si>
    <t>BGIXXNL00001656</t>
  </si>
  <si>
    <t xml:space="preserve">GIN GREENALLS WILD BERRY GF 700 ML                          </t>
  </si>
  <si>
    <t>LUXARDO</t>
  </si>
  <si>
    <t xml:space="preserve">X1550     </t>
  </si>
  <si>
    <t>BLIXXMO00001421</t>
  </si>
  <si>
    <t xml:space="preserve">LICOR LUXARDO BITTER BIANCO GF 750 ML                       </t>
  </si>
  <si>
    <t xml:space="preserve">X1203     </t>
  </si>
  <si>
    <t>BLIXXMO00000247</t>
  </si>
  <si>
    <t xml:space="preserve">LICOR LUXARDO MARASCHINO GF 750ML                           </t>
  </si>
  <si>
    <t>MOLINARI</t>
  </si>
  <si>
    <t xml:space="preserve">29BL      </t>
  </si>
  <si>
    <t>BLIXXMOSXXXSCXX</t>
  </si>
  <si>
    <t xml:space="preserve">LICOR MOLINARI SAMBUCA ANIS 750 ML                          </t>
  </si>
  <si>
    <t xml:space="preserve">29BP      </t>
  </si>
  <si>
    <t>BLIXXMOLCXXSEXX</t>
  </si>
  <si>
    <t xml:space="preserve">LICOR MOLINARI LIMONCELLO D CAPRI 700 ML                    </t>
  </si>
  <si>
    <t xml:space="preserve">29BN      </t>
  </si>
  <si>
    <t>BLIXXMOTGXXSEXX</t>
  </si>
  <si>
    <t xml:space="preserve">LICOR MOLINARI SAMBUCA CAFFE 700 ML                         </t>
  </si>
  <si>
    <t>MONTENEGRO</t>
  </si>
  <si>
    <t xml:space="preserve">X1903     </t>
  </si>
  <si>
    <t>BLIXXOE00002203</t>
  </si>
  <si>
    <t xml:space="preserve">LICOR AMARO MONTENEGRO 750 ML                               </t>
  </si>
  <si>
    <t>COCCHI</t>
  </si>
  <si>
    <t xml:space="preserve">X1905     </t>
  </si>
  <si>
    <t>BBRXXOE00002205</t>
  </si>
  <si>
    <t xml:space="preserve">BRANDY VECCHIA ROMANA 700 ML                                </t>
  </si>
  <si>
    <t xml:space="preserve">X1904     </t>
  </si>
  <si>
    <t>BVRTTOE00002204</t>
  </si>
  <si>
    <t xml:space="preserve">VERMOUTH ROSSO ANTICO 750 ML                                </t>
  </si>
  <si>
    <t xml:space="preserve">X1907     </t>
  </si>
  <si>
    <t>BVRXXOC00002207</t>
  </si>
  <si>
    <t xml:space="preserve">VERMOUTH COCCHI STORICO DI TORINO 750 ML                    </t>
  </si>
  <si>
    <t xml:space="preserve">X1906     </t>
  </si>
  <si>
    <t>BAPXXOC00002206</t>
  </si>
  <si>
    <t xml:space="preserve">APERITIVO COCCHI AMERICANO BRANCO 750 ML                    </t>
  </si>
  <si>
    <t xml:space="preserve">X1908     </t>
  </si>
  <si>
    <t>BAPXXOC00002208</t>
  </si>
  <si>
    <t xml:space="preserve">APERITIVO COCCHI ROSA 750 ML                                </t>
  </si>
  <si>
    <t>REMY</t>
  </si>
  <si>
    <t>BRUICHLADDICH REMY</t>
  </si>
  <si>
    <t>ESCOCIA</t>
  </si>
  <si>
    <t>WHISKY/SINGLE MALT</t>
  </si>
  <si>
    <t xml:space="preserve">X979      </t>
  </si>
  <si>
    <t>BWHSMRHXXASSEXX</t>
  </si>
  <si>
    <t xml:space="preserve">WHISKY S MALT BRUICHLADDICH LADDIE CLASSIC GF 700 ML        </t>
  </si>
  <si>
    <t>BWHSMRM00002405</t>
  </si>
  <si>
    <t xml:space="preserve">WHISKY S MALT BRUICHLADDICH PORT CHARLOTTE 10 YO 700ML      </t>
  </si>
  <si>
    <t>COINTREAU REMY</t>
  </si>
  <si>
    <t xml:space="preserve">X951      </t>
  </si>
  <si>
    <t>BXXLIIUXXXXSEXX</t>
  </si>
  <si>
    <t xml:space="preserve">LICOR COINTREAU GF 700ML                                    </t>
  </si>
  <si>
    <t>X1696</t>
  </si>
  <si>
    <t>BKTXXRM00001733</t>
  </si>
  <si>
    <t xml:space="preserve">LICOR COINTREAU 700ML (C/GIFT BOX)                          </t>
  </si>
  <si>
    <t xml:space="preserve">X986      </t>
  </si>
  <si>
    <t>BLICGIUXXIRSEXX</t>
  </si>
  <si>
    <t xml:space="preserve">LICOR C/COGNAC COINTREAU NOIR 700 ML                        </t>
  </si>
  <si>
    <t xml:space="preserve">X1462     </t>
  </si>
  <si>
    <t>BLIXXIU00001068</t>
  </si>
  <si>
    <t xml:space="preserve">LICOR COINTREAU ORANGE LUXURY ED LIMITADA 1000ML            </t>
  </si>
  <si>
    <t>GRECIA</t>
  </si>
  <si>
    <t xml:space="preserve">X1574     </t>
  </si>
  <si>
    <t>BLIXXIU00001494</t>
  </si>
  <si>
    <t xml:space="preserve">BRANDY METAXA 12 STARS GF 700 ML                            </t>
  </si>
  <si>
    <t xml:space="preserve">X984      </t>
  </si>
  <si>
    <t>BLIDYTX7SXXSNXX</t>
  </si>
  <si>
    <t xml:space="preserve">LICOR DE BRANDY METAXA 5 STARS GF 700ML                     </t>
  </si>
  <si>
    <t>MARTIN REMY</t>
  </si>
  <si>
    <t>COGNAC</t>
  </si>
  <si>
    <t xml:space="preserve">X977      </t>
  </si>
  <si>
    <t>BCOXXRMXXLUSEXX</t>
  </si>
  <si>
    <t xml:space="preserve">COGNAC REMY MARTIN LOUIS XIII GF 700 ML                     </t>
  </si>
  <si>
    <t xml:space="preserve">X975      </t>
  </si>
  <si>
    <t>BCOXXRMOPXXSEXX</t>
  </si>
  <si>
    <t xml:space="preserve">COGNAC REMY MARTIN VSOP GF 700 ML                           </t>
  </si>
  <si>
    <t xml:space="preserve">X976      </t>
  </si>
  <si>
    <t>BCOXXRMXOXXSEXX</t>
  </si>
  <si>
    <t xml:space="preserve">COGNAC REMY MARTIN XO GF 700 ML                             </t>
  </si>
  <si>
    <t>MOUNT GAY REMY</t>
  </si>
  <si>
    <t>BARBADOS</t>
  </si>
  <si>
    <t xml:space="preserve">X981      </t>
  </si>
  <si>
    <t>BRUGOUGZFXXSNXX</t>
  </si>
  <si>
    <t xml:space="preserve">RUM MOUNT GAY BLACK BARREL GOLD GF 700ML                    </t>
  </si>
  <si>
    <t xml:space="preserve">X982      </t>
  </si>
  <si>
    <t>BRUGOUGXOXXSNXX</t>
  </si>
  <si>
    <t xml:space="preserve">RUM MOUNT GAY XO GOLD GF 700ML                              </t>
  </si>
  <si>
    <t xml:space="preserve">THE BOTANIST REMY </t>
  </si>
  <si>
    <t xml:space="preserve">X978      </t>
  </si>
  <si>
    <t>BGIXXEBXXSYSEXX</t>
  </si>
  <si>
    <t xml:space="preserve">GIN THE BOTANIST SCOTCH DRY GF 700 ML                       </t>
  </si>
  <si>
    <t>X1698</t>
  </si>
  <si>
    <t>BKTXXRM00001735</t>
  </si>
  <si>
    <t xml:space="preserve">KIT GIN THE BOTANIST 700ML (C/VASO)                         </t>
  </si>
  <si>
    <t>TAKARA SAKE</t>
  </si>
  <si>
    <t>SAKE</t>
  </si>
  <si>
    <t xml:space="preserve">X142      </t>
  </si>
  <si>
    <t>BSKXXTKNSXXTSXX</t>
  </si>
  <si>
    <t xml:space="preserve">SAKE NIGORI SILKY MILD SHO CHIKU BAI 375 ML                 </t>
  </si>
  <si>
    <t xml:space="preserve">X139      </t>
  </si>
  <si>
    <t>BSKXXTKHKXXSCXX</t>
  </si>
  <si>
    <t xml:space="preserve">SAKE JUNMAI SHO CHIKU BAI 750 ML                            </t>
  </si>
  <si>
    <t xml:space="preserve">X146      </t>
  </si>
  <si>
    <t>BSKXXTKKPXXSCXX</t>
  </si>
  <si>
    <t xml:space="preserve">KOSHU PLUM 750 ML                                           </t>
  </si>
  <si>
    <t>VODKA IMPERIA</t>
  </si>
  <si>
    <t>RUSSIA</t>
  </si>
  <si>
    <t>VODKA</t>
  </si>
  <si>
    <t xml:space="preserve">19CI      </t>
  </si>
  <si>
    <t>BVKXXRUIMXXSCXX</t>
  </si>
  <si>
    <t xml:space="preserve">VODKA RUSSIAN IMPERIA 750 ML                                </t>
  </si>
  <si>
    <t>VODKA RUSSIAN</t>
  </si>
  <si>
    <t xml:space="preserve">19CG      </t>
  </si>
  <si>
    <t>BVKXXRUSTXXMIXX</t>
  </si>
  <si>
    <t xml:space="preserve">VODKA RUSSIAN STANDARD 1000 ML                              </t>
  </si>
  <si>
    <t>BELUGA</t>
  </si>
  <si>
    <t>BVKXXBN00002444</t>
  </si>
  <si>
    <t xml:space="preserve">VODKA BELUGA NOBLE 700 ML                                   </t>
  </si>
  <si>
    <t>BVKXXBN00002939</t>
  </si>
  <si>
    <t xml:space="preserve">VODKA BELUGA GOLD LINE 700 ML                               </t>
  </si>
  <si>
    <t>BVKXXBR00003077</t>
  </si>
  <si>
    <t xml:space="preserve">VODKA BREWDOG SEVEN DAY ORIGINAL GF 700 ML                  </t>
  </si>
  <si>
    <t>BGIXXBR00003076</t>
  </si>
  <si>
    <t xml:space="preserve">GIN BREWDOG LONEWOLF ORIGINAL GF 700 ML                     </t>
  </si>
  <si>
    <t xml:space="preserve">WILD SIDE </t>
  </si>
  <si>
    <t xml:space="preserve">WHISKEY </t>
  </si>
  <si>
    <t>BWHXXZE00003722</t>
  </si>
  <si>
    <t xml:space="preserve">WILD SIDE AMERICAN WHISKEY 700ML                            </t>
  </si>
  <si>
    <t>TITO’S</t>
  </si>
  <si>
    <t xml:space="preserve">X974      </t>
  </si>
  <si>
    <t>BVKXXTTXXXXSNXX</t>
  </si>
  <si>
    <t xml:space="preserve">VODKA TITO'S GF 750ML                                       </t>
  </si>
  <si>
    <t xml:space="preserve">TOBERMORY GIN </t>
  </si>
  <si>
    <t>BGIXXDT00002971</t>
  </si>
  <si>
    <t xml:space="preserve">GIN TOBERMORY 750 ML                                        </t>
  </si>
  <si>
    <t>FOUR LOKO</t>
  </si>
  <si>
    <t>MÉXICO</t>
  </si>
  <si>
    <t>BBMGSFO00003065</t>
  </si>
  <si>
    <t xml:space="preserve">BEBIDA MISTA FOUR LOKO BLUE LT 473ML                        </t>
  </si>
  <si>
    <t>BBMGSFO00003066</t>
  </si>
  <si>
    <t xml:space="preserve">BEBIDA MISTA FOUR LOKO GOLD LT 473ML                        </t>
  </si>
  <si>
    <t>BBMGSFO00003063</t>
  </si>
  <si>
    <t xml:space="preserve">BEBIDA MISTA FOUR LOKO MELANCIA LT 473ML                    </t>
  </si>
  <si>
    <t>BBMGSFO00003064</t>
  </si>
  <si>
    <t xml:space="preserve">BEBIDA MISTA FOUR LOKO PONCHE DE FRUTAS LT 473ML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</si>
</sst>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$&quot;\ * #,##0.00_-;\-&quot;R$&quot;\ * #,##0.00_-;_-&quot;R$&quot;\ * &quot;-&quot;??_-;_-@"/>
    <numFmt numFmtId="165" formatCode="_-* #,##0_-;\-* #,##0_-;_-* &quot;-&quot;??_-;_-@"/>
    <numFmt numFmtId="166" formatCode="0.0%"/>
    <numFmt numFmtId="167" formatCode="_-* #,##0.00_-;\-* #,##0.00_-;_-* &quot;-&quot;??_-;_-@"/>
    <numFmt numFmtId="168" formatCode="0.000%"/>
  </numFmts>
  <fonts count="21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b/>
      <sz val="9.0"/>
      <color rgb="FF0000CC"/>
      <name val="Calibri"/>
    </font>
    <font>
      <b/>
      <sz val="9.0"/>
      <color theme="0"/>
      <name val="Calibri"/>
    </font>
    <font>
      <sz val="9.0"/>
      <color rgb="FFFF0000"/>
      <name val="Calibri"/>
    </font>
    <font>
      <sz val="9.0"/>
      <color theme="0"/>
      <name val="Calibri"/>
    </font>
    <font>
      <sz val="9.0"/>
      <color rgb="FF0000CC"/>
      <name val="Calibri"/>
    </font>
    <font>
      <sz val="11.0"/>
      <color rgb="FF0000FF"/>
      <name val="Calibri"/>
    </font>
    <font>
      <i/>
      <sz val="9.0"/>
      <color theme="1"/>
      <name val="Calibri"/>
    </font>
    <font>
      <sz val="8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8.0"/>
      <color theme="0"/>
      <name val="Calibri"/>
    </font>
    <font/>
    <font>
      <color theme="1"/>
      <name val="Calibri"/>
      <scheme val="minor"/>
    </font>
    <font>
      <b/>
      <sz val="12.0"/>
      <color theme="1"/>
      <name val="Calibri"/>
    </font>
    <font>
      <sz val="8.0"/>
      <color rgb="FF0000FF"/>
      <name val="Calibri"/>
    </font>
    <font>
      <i/>
      <sz val="8.0"/>
      <color rgb="FF0000FF"/>
      <name val="Calibri"/>
    </font>
    <font>
      <i/>
      <sz val="8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9FDD3"/>
        <bgColor rgb="FFF9FDD3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D8D8D8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 readingOrder="0"/>
    </xf>
    <xf borderId="3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/>
    </xf>
    <xf borderId="3" fillId="2" fontId="1" numFmtId="9" xfId="0" applyAlignment="1" applyBorder="1" applyFont="1" applyNumberFormat="1">
      <alignment horizontal="center"/>
    </xf>
    <xf borderId="0" fillId="0" fontId="1" numFmtId="165" xfId="0" applyFont="1" applyNumberFormat="1"/>
    <xf borderId="4" fillId="0" fontId="5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top" wrapText="1"/>
    </xf>
    <xf borderId="6" fillId="4" fontId="1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7" fillId="5" fontId="5" numFmtId="0" xfId="0" applyAlignment="1" applyBorder="1" applyFill="1" applyFont="1">
      <alignment horizontal="left"/>
    </xf>
    <xf borderId="7" fillId="5" fontId="6" numFmtId="0" xfId="0" applyAlignment="1" applyBorder="1" applyFont="1">
      <alignment horizontal="left"/>
    </xf>
    <xf borderId="8" fillId="5" fontId="6" numFmtId="0" xfId="0" applyAlignment="1" applyBorder="1" applyFont="1">
      <alignment horizontal="left"/>
    </xf>
    <xf borderId="0" fillId="0" fontId="7" numFmtId="165" xfId="0" applyFont="1" applyNumberFormat="1"/>
    <xf borderId="3" fillId="5" fontId="6" numFmtId="164" xfId="0" applyAlignment="1" applyBorder="1" applyFont="1" applyNumberFormat="1">
      <alignment horizontal="left"/>
    </xf>
    <xf borderId="9" fillId="6" fontId="7" numFmtId="0" xfId="0" applyAlignment="1" applyBorder="1" applyFill="1" applyFont="1">
      <alignment horizontal="left"/>
    </xf>
    <xf borderId="9" fillId="6" fontId="6" numFmtId="0" xfId="0" applyAlignment="1" applyBorder="1" applyFont="1">
      <alignment horizontal="left"/>
    </xf>
    <xf borderId="10" fillId="6" fontId="6" numFmtId="0" xfId="0" applyAlignment="1" applyBorder="1" applyFont="1">
      <alignment horizontal="left"/>
    </xf>
    <xf borderId="11" fillId="6" fontId="6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7" fontId="2" numFmtId="166" xfId="0" applyAlignment="1" applyBorder="1" applyFill="1" applyFont="1" applyNumberFormat="1">
      <alignment horizontal="center"/>
    </xf>
    <xf borderId="6" fillId="0" fontId="3" numFmtId="164" xfId="0" applyBorder="1" applyFont="1" applyNumberFormat="1"/>
    <xf borderId="7" fillId="6" fontId="2" numFmtId="0" xfId="0" applyAlignment="1" applyBorder="1" applyFont="1">
      <alignment horizontal="left"/>
    </xf>
    <xf borderId="1" fillId="8" fontId="8" numFmtId="0" xfId="0" applyAlignment="1" applyBorder="1" applyFill="1" applyFont="1">
      <alignment horizontal="left"/>
    </xf>
    <xf borderId="1" fillId="8" fontId="8" numFmtId="0" xfId="0" applyBorder="1" applyFont="1"/>
    <xf borderId="1" fillId="8" fontId="8" numFmtId="0" xfId="0" applyAlignment="1" applyBorder="1" applyFont="1">
      <alignment horizontal="center"/>
    </xf>
    <xf borderId="6" fillId="0" fontId="9" numFmtId="164" xfId="0" applyBorder="1" applyFont="1" applyNumberFormat="1"/>
    <xf borderId="1" fillId="3" fontId="8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3" fillId="7" fontId="2" numFmtId="166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3" fillId="6" fontId="2" numFmtId="0" xfId="0" applyAlignment="1" applyBorder="1" applyFont="1">
      <alignment horizontal="left"/>
    </xf>
    <xf borderId="10" fillId="8" fontId="8" numFmtId="0" xfId="0" applyAlignment="1" applyBorder="1" applyFont="1">
      <alignment horizontal="left"/>
    </xf>
    <xf borderId="12" fillId="0" fontId="2" numFmtId="0" xfId="0" applyAlignment="1" applyBorder="1" applyFont="1">
      <alignment horizontal="left"/>
    </xf>
    <xf borderId="13" fillId="0" fontId="2" numFmtId="166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7" fontId="2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1" fillId="7" fontId="2" numFmtId="167" xfId="0" applyAlignment="1" applyBorder="1" applyFont="1" applyNumberFormat="1">
      <alignment horizontal="center"/>
    </xf>
    <xf borderId="1" fillId="7" fontId="2" numFmtId="10" xfId="0" applyAlignment="1" applyBorder="1" applyFont="1" applyNumberFormat="1">
      <alignment horizontal="center"/>
    </xf>
    <xf borderId="7" fillId="5" fontId="2" numFmtId="0" xfId="0" applyAlignment="1" applyBorder="1" applyFont="1">
      <alignment horizontal="left"/>
    </xf>
    <xf borderId="9" fillId="6" fontId="2" numFmtId="0" xfId="0" applyAlignment="1" applyBorder="1" applyFont="1">
      <alignment horizontal="left"/>
    </xf>
    <xf borderId="12" fillId="0" fontId="2" numFmtId="0" xfId="0" applyBorder="1" applyFont="1"/>
    <xf borderId="14" fillId="0" fontId="2" numFmtId="0" xfId="0" applyBorder="1" applyFont="1"/>
    <xf borderId="15" fillId="0" fontId="2" numFmtId="0" xfId="0" applyAlignment="1" applyBorder="1" applyFont="1">
      <alignment horizontal="center"/>
    </xf>
    <xf borderId="3" fillId="7" fontId="2" numFmtId="0" xfId="0" applyBorder="1" applyFont="1"/>
    <xf borderId="16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17" fillId="0" fontId="2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9" fontId="2" numFmtId="166" xfId="0" applyAlignment="1" applyBorder="1" applyFill="1" applyFont="1" applyNumberFormat="1">
      <alignment horizontal="center"/>
    </xf>
    <xf borderId="7" fillId="5" fontId="1" numFmtId="0" xfId="0" applyAlignment="1" applyBorder="1" applyFont="1">
      <alignment horizontal="left"/>
    </xf>
    <xf borderId="1" fillId="5" fontId="2" numFmtId="0" xfId="0" applyAlignment="1" applyBorder="1" applyFont="1">
      <alignment horizontal="left"/>
    </xf>
    <xf borderId="9" fillId="6" fontId="1" numFmtId="0" xfId="0" applyAlignment="1" applyBorder="1" applyFont="1">
      <alignment horizontal="left"/>
    </xf>
    <xf borderId="1" fillId="6" fontId="2" numFmtId="0" xfId="0" applyAlignment="1" applyBorder="1" applyFont="1">
      <alignment horizontal="left"/>
    </xf>
    <xf borderId="13" fillId="0" fontId="2" numFmtId="0" xfId="0" applyAlignment="1" applyBorder="1" applyFont="1">
      <alignment horizontal="center"/>
    </xf>
    <xf borderId="1" fillId="9" fontId="2" numFmtId="167" xfId="0" applyAlignment="1" applyBorder="1" applyFont="1" applyNumberFormat="1">
      <alignment horizontal="center"/>
    </xf>
    <xf borderId="0" fillId="0" fontId="2" numFmtId="164" xfId="0" applyFont="1" applyNumberFormat="1"/>
    <xf borderId="2" fillId="4" fontId="1" numFmtId="0" xfId="0" applyAlignment="1" applyBorder="1" applyFont="1">
      <alignment horizontal="center"/>
    </xf>
    <xf borderId="3" fillId="2" fontId="2" numFmtId="0" xfId="0" applyBorder="1" applyFont="1"/>
    <xf borderId="3" fillId="2" fontId="1" numFmtId="165" xfId="0" applyBorder="1" applyFont="1" applyNumberFormat="1"/>
    <xf borderId="18" fillId="0" fontId="5" numFmtId="0" xfId="0" applyAlignment="1" applyBorder="1" applyFont="1">
      <alignment horizontal="center" shrinkToFit="0" vertical="center" wrapText="1"/>
    </xf>
    <xf borderId="3" fillId="2" fontId="2" numFmtId="165" xfId="0" applyBorder="1" applyFont="1" applyNumberFormat="1"/>
    <xf borderId="11" fillId="4" fontId="1" numFmtId="167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left"/>
    </xf>
    <xf borderId="1" fillId="9" fontId="2" numFmtId="9" xfId="0" applyAlignment="1" applyBorder="1" applyFont="1" applyNumberFormat="1">
      <alignment horizontal="center"/>
    </xf>
    <xf borderId="1" fillId="0" fontId="2" numFmtId="164" xfId="0" applyBorder="1" applyFont="1" applyNumberFormat="1"/>
    <xf borderId="19" fillId="0" fontId="2" numFmtId="164" xfId="0" applyBorder="1" applyFont="1" applyNumberFormat="1"/>
    <xf borderId="0" fillId="0" fontId="2" numFmtId="164" xfId="0" applyAlignment="1" applyFont="1" applyNumberFormat="1">
      <alignment horizontal="center"/>
    </xf>
    <xf borderId="13" fillId="0" fontId="5" numFmtId="164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top" wrapText="1"/>
    </xf>
    <xf borderId="21" fillId="4" fontId="1" numFmtId="167" xfId="0" applyAlignment="1" applyBorder="1" applyFont="1" applyNumberFormat="1">
      <alignment horizontal="center" shrinkToFit="0" vertical="center" wrapText="1"/>
    </xf>
    <xf borderId="1" fillId="4" fontId="1" numFmtId="167" xfId="0" applyAlignment="1" applyBorder="1" applyFont="1" applyNumberFormat="1">
      <alignment horizontal="center" shrinkToFit="0" vertical="center" wrapText="1"/>
    </xf>
    <xf borderId="13" fillId="0" fontId="2" numFmtId="164" xfId="0" applyBorder="1" applyFont="1" applyNumberFormat="1"/>
    <xf quotePrefix="1" borderId="1" fillId="2" fontId="10" numFmtId="0" xfId="0" applyBorder="1" applyFont="1"/>
    <xf borderId="22" fillId="0" fontId="2" numFmtId="164" xfId="0" applyBorder="1" applyFont="1" applyNumberFormat="1"/>
    <xf borderId="0" fillId="0" fontId="11" numFmtId="0" xfId="0" applyFont="1"/>
    <xf borderId="0" fillId="0" fontId="11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19" fillId="0" fontId="14" numFmtId="0" xfId="0" applyAlignment="1" applyBorder="1" applyFont="1">
      <alignment horizontal="center" shrinkToFit="0" vertical="top" wrapText="1"/>
    </xf>
    <xf borderId="23" fillId="0" fontId="15" numFmtId="0" xfId="0" applyBorder="1" applyFont="1"/>
    <xf borderId="18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top" wrapText="1"/>
    </xf>
    <xf borderId="5" fillId="0" fontId="14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1" fillId="4" fontId="13" numFmtId="167" xfId="0" applyAlignment="1" applyBorder="1" applyFont="1" applyNumberFormat="1">
      <alignment horizontal="center" shrinkToFit="0" vertical="center" wrapText="1"/>
    </xf>
    <xf borderId="1" fillId="0" fontId="11" numFmtId="0" xfId="0" applyBorder="1" applyFont="1"/>
    <xf borderId="1" fillId="0" fontId="11" numFmtId="0" xfId="0" applyAlignment="1" applyBorder="1" applyFont="1">
      <alignment horizontal="left"/>
    </xf>
    <xf borderId="1" fillId="0" fontId="11" numFmtId="0" xfId="0" applyAlignment="1" applyBorder="1" applyFont="1">
      <alignment horizontal="center"/>
    </xf>
    <xf borderId="1" fillId="9" fontId="11" numFmtId="10" xfId="0" applyAlignment="1" applyBorder="1" applyFont="1" applyNumberFormat="1">
      <alignment horizontal="center"/>
    </xf>
    <xf borderId="0" fillId="0" fontId="11" numFmtId="10" xfId="0" applyAlignment="1" applyFont="1" applyNumberFormat="1">
      <alignment horizontal="center"/>
    </xf>
    <xf borderId="1" fillId="0" fontId="11" numFmtId="164" xfId="0" applyBorder="1" applyFont="1" applyNumberFormat="1"/>
    <xf borderId="19" fillId="0" fontId="11" numFmtId="0" xfId="0" applyAlignment="1" applyBorder="1" applyFont="1">
      <alignment horizontal="left"/>
    </xf>
    <xf borderId="0" fillId="0" fontId="11" numFmtId="164" xfId="0" applyFont="1" applyNumberFormat="1"/>
    <xf borderId="1" fillId="0" fontId="11" numFmtId="10" xfId="0" applyAlignment="1" applyBorder="1" applyFont="1" applyNumberFormat="1">
      <alignment horizontal="left"/>
    </xf>
    <xf borderId="19" fillId="0" fontId="11" numFmtId="0" xfId="0" applyBorder="1" applyFont="1"/>
    <xf borderId="0" fillId="0" fontId="11" numFmtId="10" xfId="0" applyAlignment="1" applyFont="1" applyNumberFormat="1">
      <alignment horizontal="left"/>
    </xf>
    <xf borderId="0" fillId="0" fontId="11" numFmtId="0" xfId="0" applyAlignment="1" applyFont="1">
      <alignment horizontal="center"/>
    </xf>
    <xf borderId="3" fillId="9" fontId="11" numFmtId="10" xfId="0" applyAlignment="1" applyBorder="1" applyFont="1" applyNumberFormat="1">
      <alignment horizontal="center"/>
    </xf>
    <xf borderId="13" fillId="0" fontId="11" numFmtId="0" xfId="0" applyAlignment="1" applyBorder="1" applyFont="1">
      <alignment horizontal="left"/>
    </xf>
    <xf borderId="6" fillId="0" fontId="11" numFmtId="0" xfId="0" applyBorder="1" applyFont="1"/>
    <xf borderId="10" fillId="2" fontId="11" numFmtId="0" xfId="0" applyAlignment="1" applyBorder="1" applyFont="1">
      <alignment horizontal="left"/>
    </xf>
    <xf borderId="1" fillId="2" fontId="11" numFmtId="0" xfId="0" applyBorder="1" applyFont="1"/>
    <xf borderId="1" fillId="2" fontId="11" numFmtId="0" xfId="0" applyAlignment="1" applyBorder="1" applyFont="1">
      <alignment horizontal="center"/>
    </xf>
    <xf borderId="24" fillId="9" fontId="11" numFmtId="10" xfId="0" applyAlignment="1" applyBorder="1" applyFont="1" applyNumberFormat="1">
      <alignment horizontal="center"/>
    </xf>
    <xf borderId="6" fillId="9" fontId="11" numFmtId="168" xfId="0" applyAlignment="1" applyBorder="1" applyFont="1" applyNumberFormat="1">
      <alignment horizontal="center"/>
    </xf>
    <xf borderId="6" fillId="0" fontId="11" numFmtId="164" xfId="0" applyBorder="1" applyFont="1" applyNumberFormat="1"/>
    <xf borderId="1" fillId="9" fontId="11" numFmtId="168" xfId="0" applyAlignment="1" applyBorder="1" applyFont="1" applyNumberFormat="1">
      <alignment horizontal="center"/>
    </xf>
    <xf borderId="15" fillId="0" fontId="11" numFmtId="0" xfId="0" applyAlignment="1" applyBorder="1" applyFont="1">
      <alignment horizontal="center"/>
    </xf>
    <xf borderId="1" fillId="9" fontId="11" numFmtId="9" xfId="0" applyAlignment="1" applyBorder="1" applyFont="1" applyNumberFormat="1">
      <alignment horizontal="center"/>
    </xf>
    <xf borderId="1" fillId="0" fontId="11" numFmtId="0" xfId="0" applyAlignment="1" applyBorder="1" applyFont="1">
      <alignment vertical="center"/>
    </xf>
    <xf borderId="12" fillId="0" fontId="11" numFmtId="0" xfId="0" applyAlignment="1" applyBorder="1" applyFont="1">
      <alignment horizontal="left"/>
    </xf>
    <xf borderId="0" fillId="0" fontId="16" numFmtId="0" xfId="0" applyFont="1"/>
    <xf borderId="3" fillId="2" fontId="11" numFmtId="0" xfId="0" applyBorder="1" applyFont="1"/>
    <xf borderId="3" fillId="2" fontId="17" numFmtId="0" xfId="0" applyAlignment="1" applyBorder="1" applyFont="1">
      <alignment vertical="center"/>
    </xf>
    <xf borderId="3" fillId="2" fontId="13" numFmtId="0" xfId="0" applyAlignment="1" applyBorder="1" applyFont="1">
      <alignment horizontal="center"/>
    </xf>
    <xf borderId="3" fillId="2" fontId="13" numFmtId="9" xfId="0" applyAlignment="1" applyBorder="1" applyFont="1" applyNumberFormat="1">
      <alignment horizontal="center"/>
    </xf>
    <xf borderId="1" fillId="2" fontId="11" numFmtId="0" xfId="0" applyAlignment="1" applyBorder="1" applyFont="1">
      <alignment horizontal="left"/>
    </xf>
    <xf borderId="1" fillId="7" fontId="11" numFmtId="166" xfId="0" applyAlignment="1" applyBorder="1" applyFont="1" applyNumberFormat="1">
      <alignment horizontal="center"/>
    </xf>
    <xf borderId="1" fillId="7" fontId="11" numFmtId="10" xfId="0" applyAlignment="1" applyBorder="1" applyFont="1" applyNumberFormat="1">
      <alignment horizontal="center"/>
    </xf>
    <xf borderId="1" fillId="3" fontId="18" numFmtId="0" xfId="0" applyBorder="1" applyFont="1"/>
    <xf borderId="1" fillId="3" fontId="18" numFmtId="0" xfId="0" applyAlignment="1" applyBorder="1" applyFont="1">
      <alignment horizontal="left"/>
    </xf>
    <xf borderId="1" fillId="3" fontId="18" numFmtId="0" xfId="0" applyAlignment="1" applyBorder="1" applyFont="1">
      <alignment horizontal="center"/>
    </xf>
    <xf borderId="1" fillId="0" fontId="18" numFmtId="164" xfId="0" applyBorder="1" applyFont="1" applyNumberFormat="1"/>
    <xf borderId="24" fillId="2" fontId="11" numFmtId="0" xfId="0" applyBorder="1" applyFont="1"/>
    <xf borderId="0" fillId="0" fontId="11" numFmtId="9" xfId="0" applyAlignment="1" applyFont="1" applyNumberFormat="1">
      <alignment horizontal="center"/>
    </xf>
    <xf borderId="1" fillId="7" fontId="11" numFmtId="9" xfId="0" applyAlignment="1" applyBorder="1" applyFont="1" applyNumberFormat="1">
      <alignment horizontal="center"/>
    </xf>
    <xf borderId="0" fillId="0" fontId="11" numFmtId="9" xfId="0" applyFont="1" applyNumberFormat="1"/>
    <xf borderId="1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center"/>
    </xf>
    <xf borderId="1" fillId="7" fontId="11" numFmtId="166" xfId="0" applyAlignment="1" applyBorder="1" applyFont="1" applyNumberFormat="1">
      <alignment horizontal="center" vertical="center"/>
    </xf>
    <xf borderId="6" fillId="3" fontId="19" numFmtId="0" xfId="0" applyBorder="1" applyFont="1"/>
    <xf borderId="6" fillId="3" fontId="18" numFmtId="0" xfId="0" applyAlignment="1" applyBorder="1" applyFont="1">
      <alignment horizontal="left"/>
    </xf>
    <xf borderId="6" fillId="3" fontId="18" numFmtId="0" xfId="0" applyBorder="1" applyFont="1"/>
    <xf borderId="6" fillId="3" fontId="18" numFmtId="0" xfId="0" applyAlignment="1" applyBorder="1" applyFont="1">
      <alignment horizontal="center"/>
    </xf>
    <xf borderId="6" fillId="9" fontId="11" numFmtId="166" xfId="0" applyAlignment="1" applyBorder="1" applyFont="1" applyNumberFormat="1">
      <alignment horizontal="center"/>
    </xf>
    <xf borderId="6" fillId="0" fontId="18" numFmtId="164" xfId="0" applyBorder="1" applyFont="1" applyNumberFormat="1"/>
    <xf borderId="6" fillId="2" fontId="20" numFmtId="0" xfId="0" applyBorder="1" applyFont="1"/>
    <xf borderId="6" fillId="2" fontId="11" numFmtId="0" xfId="0" applyAlignment="1" applyBorder="1" applyFont="1">
      <alignment horizontal="left"/>
    </xf>
    <xf borderId="1" fillId="2" fontId="11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43"/>
    <col customWidth="1" min="2" max="2" width="26.57"/>
    <col customWidth="1" min="3" max="3" width="14.43"/>
    <col customWidth="1" min="4" max="4" width="18.0"/>
    <col customWidth="1" min="5" max="5" width="55.14"/>
    <col customWidth="1" min="6" max="6" width="10.14"/>
    <col customWidth="1" min="7" max="7" width="11.57"/>
    <col customWidth="1" hidden="1" min="8" max="8" width="6.86"/>
    <col customWidth="1" hidden="1" min="9" max="9" width="17.14"/>
    <col customWidth="1" min="10" max="10" width="15.43"/>
    <col customWidth="1" min="11" max="11" width="12.14"/>
    <col customWidth="1" min="12" max="26" width="8.71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4"/>
    </row>
    <row r="2" ht="14.25" customHeight="1">
      <c r="A2" s="5"/>
      <c r="B2" s="6" t="s">
        <v>1</v>
      </c>
      <c r="C2" s="3"/>
      <c r="D2" s="3"/>
      <c r="E2" s="7" t="s">
        <v>2</v>
      </c>
      <c r="F2" s="3"/>
      <c r="G2" s="3"/>
      <c r="H2" s="3"/>
      <c r="I2" s="4"/>
    </row>
    <row r="3" ht="14.25" customHeight="1">
      <c r="A3" s="8"/>
      <c r="B3" s="8"/>
      <c r="C3" s="8"/>
      <c r="D3" s="8"/>
      <c r="E3" s="8"/>
      <c r="F3" s="9"/>
      <c r="G3" s="10"/>
      <c r="H3" s="11"/>
      <c r="I3" s="12" t="s">
        <v>3</v>
      </c>
    </row>
    <row r="4" ht="14.25" customHeight="1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3"/>
      <c r="I4" s="14" t="s">
        <v>11</v>
      </c>
      <c r="J4" s="15" t="s">
        <v>12</v>
      </c>
      <c r="K4" s="15" t="s">
        <v>13</v>
      </c>
    </row>
    <row r="5" ht="14.25" customHeight="1">
      <c r="A5" s="16"/>
      <c r="B5" s="16"/>
      <c r="C5" s="17"/>
      <c r="D5" s="17"/>
      <c r="E5" s="17"/>
      <c r="F5" s="17"/>
      <c r="G5" s="18"/>
      <c r="H5" s="19"/>
      <c r="I5" s="20"/>
      <c r="J5" s="20"/>
      <c r="K5" s="20"/>
    </row>
    <row r="6" ht="14.25" customHeight="1">
      <c r="A6" s="21"/>
      <c r="B6" s="21"/>
      <c r="C6" s="22"/>
      <c r="D6" s="22"/>
      <c r="E6" s="22"/>
      <c r="F6" s="22"/>
      <c r="G6" s="23"/>
      <c r="H6" s="19"/>
      <c r="I6" s="24"/>
      <c r="J6" s="24"/>
      <c r="K6" s="24"/>
    </row>
    <row r="7" ht="14.25" customHeight="1">
      <c r="A7" s="25" t="s">
        <v>14</v>
      </c>
      <c r="B7" s="25" t="s">
        <v>15</v>
      </c>
      <c r="C7" s="25" t="s">
        <v>16</v>
      </c>
      <c r="D7" s="26" t="s">
        <v>17</v>
      </c>
      <c r="E7" s="26" t="s">
        <v>18</v>
      </c>
      <c r="F7" s="27">
        <v>12.0</v>
      </c>
      <c r="G7" s="28">
        <v>0.065</v>
      </c>
      <c r="H7" s="3"/>
      <c r="I7" s="29">
        <v>41.925792102946225</v>
      </c>
      <c r="J7" s="29">
        <f t="shared" ref="J7:J8" si="1">IF(I7&lt;&gt;"",I7-(I7*0.07),"")</f>
        <v>38.99098666</v>
      </c>
      <c r="K7" s="29">
        <f t="shared" ref="K7:K288" si="2">IF(I7&lt;&gt;"",J7*(1+G7),"")</f>
        <v>41.52540079</v>
      </c>
    </row>
    <row r="8" ht="14.25" customHeight="1">
      <c r="A8" s="30"/>
      <c r="B8" s="30"/>
      <c r="C8" s="30"/>
      <c r="D8" s="30"/>
      <c r="E8" s="30"/>
      <c r="F8" s="30"/>
      <c r="G8" s="30"/>
      <c r="H8" s="3"/>
      <c r="I8" s="4"/>
      <c r="J8" s="4" t="str">
        <f t="shared" si="1"/>
        <v/>
      </c>
      <c r="K8" s="4" t="str">
        <f t="shared" si="2"/>
        <v/>
      </c>
    </row>
    <row r="9" ht="14.25" customHeight="1">
      <c r="A9" s="31" t="s">
        <v>19</v>
      </c>
      <c r="B9" s="31" t="s">
        <v>20</v>
      </c>
      <c r="C9" s="31" t="s">
        <v>21</v>
      </c>
      <c r="D9" s="32" t="s">
        <v>22</v>
      </c>
      <c r="E9" s="32" t="s">
        <v>23</v>
      </c>
      <c r="F9" s="33">
        <v>6.0</v>
      </c>
      <c r="G9" s="28">
        <v>0.065</v>
      </c>
      <c r="H9" s="3"/>
      <c r="I9" s="34">
        <v>71.44337055060382</v>
      </c>
      <c r="J9" s="34">
        <f t="shared" ref="J9:J12" si="3">IF(I9&lt;&gt;"",I9-(I9*0.05),"")</f>
        <v>67.87120202</v>
      </c>
      <c r="K9" s="34">
        <f t="shared" si="2"/>
        <v>72.28283015</v>
      </c>
    </row>
    <row r="10" ht="14.25" customHeight="1">
      <c r="A10" s="31" t="s">
        <v>24</v>
      </c>
      <c r="B10" s="31" t="s">
        <v>24</v>
      </c>
      <c r="C10" s="31" t="s">
        <v>25</v>
      </c>
      <c r="D10" s="32" t="s">
        <v>26</v>
      </c>
      <c r="E10" s="32" t="s">
        <v>27</v>
      </c>
      <c r="F10" s="33">
        <v>6.0</v>
      </c>
      <c r="G10" s="28">
        <v>0.065</v>
      </c>
      <c r="H10" s="3"/>
      <c r="I10" s="34">
        <v>77.13624932070567</v>
      </c>
      <c r="J10" s="34">
        <f t="shared" si="3"/>
        <v>73.27943685</v>
      </c>
      <c r="K10" s="34">
        <f t="shared" si="2"/>
        <v>78.04260025</v>
      </c>
    </row>
    <row r="11" ht="14.25" customHeight="1">
      <c r="A11" s="35" t="s">
        <v>28</v>
      </c>
      <c r="B11" s="31"/>
      <c r="C11" s="31" t="s">
        <v>29</v>
      </c>
      <c r="D11" s="32" t="s">
        <v>30</v>
      </c>
      <c r="E11" s="32" t="s">
        <v>31</v>
      </c>
      <c r="F11" s="33">
        <v>6.0</v>
      </c>
      <c r="G11" s="28">
        <v>0.065</v>
      </c>
      <c r="H11" s="3"/>
      <c r="I11" s="34">
        <v>210.0581079233434</v>
      </c>
      <c r="J11" s="34">
        <f t="shared" si="3"/>
        <v>199.5552025</v>
      </c>
      <c r="K11" s="34">
        <f t="shared" si="2"/>
        <v>212.5262907</v>
      </c>
    </row>
    <row r="12" ht="14.25" customHeight="1">
      <c r="A12" s="31" t="s">
        <v>32</v>
      </c>
      <c r="B12" s="31"/>
      <c r="C12" s="31" t="s">
        <v>33</v>
      </c>
      <c r="D12" s="32" t="s">
        <v>34</v>
      </c>
      <c r="E12" s="32" t="s">
        <v>35</v>
      </c>
      <c r="F12" s="33">
        <v>6.0</v>
      </c>
      <c r="G12" s="28">
        <v>0.065</v>
      </c>
      <c r="H12" s="3"/>
      <c r="I12" s="34">
        <v>226.25897452153603</v>
      </c>
      <c r="J12" s="34">
        <f t="shared" si="3"/>
        <v>214.9460258</v>
      </c>
      <c r="K12" s="34">
        <f t="shared" si="2"/>
        <v>228.9175175</v>
      </c>
    </row>
    <row r="13" ht="14.25" customHeight="1">
      <c r="A13" s="25" t="s">
        <v>19</v>
      </c>
      <c r="B13" s="25" t="s">
        <v>20</v>
      </c>
      <c r="C13" s="25" t="s">
        <v>36</v>
      </c>
      <c r="D13" s="26" t="s">
        <v>37</v>
      </c>
      <c r="E13" s="26" t="s">
        <v>38</v>
      </c>
      <c r="F13" s="27">
        <v>24.0</v>
      </c>
      <c r="G13" s="28">
        <v>0.065</v>
      </c>
      <c r="H13" s="3"/>
      <c r="I13" s="29">
        <v>24.711155609820963</v>
      </c>
      <c r="J13" s="29">
        <f t="shared" ref="J13:J24" si="4">IF(I13&lt;&gt;"",I13-(I13*0.07),"")</f>
        <v>22.98137472</v>
      </c>
      <c r="K13" s="29">
        <f t="shared" si="2"/>
        <v>24.47516407</v>
      </c>
    </row>
    <row r="14" ht="14.25" customHeight="1">
      <c r="A14" s="25" t="s">
        <v>39</v>
      </c>
      <c r="B14" s="25"/>
      <c r="C14" s="25" t="s">
        <v>40</v>
      </c>
      <c r="D14" s="26" t="s">
        <v>41</v>
      </c>
      <c r="E14" s="26" t="s">
        <v>42</v>
      </c>
      <c r="F14" s="27">
        <v>6.0</v>
      </c>
      <c r="G14" s="28">
        <v>0.065</v>
      </c>
      <c r="H14" s="3"/>
      <c r="I14" s="29">
        <v>42.1241260142709</v>
      </c>
      <c r="J14" s="29">
        <f t="shared" si="4"/>
        <v>39.17543719</v>
      </c>
      <c r="K14" s="29">
        <f t="shared" si="2"/>
        <v>41.72184061</v>
      </c>
    </row>
    <row r="15" ht="14.25" customHeight="1">
      <c r="A15" s="25" t="s">
        <v>43</v>
      </c>
      <c r="B15" s="25"/>
      <c r="C15" s="25" t="s">
        <v>44</v>
      </c>
      <c r="D15" s="26" t="s">
        <v>45</v>
      </c>
      <c r="E15" s="26" t="s">
        <v>46</v>
      </c>
      <c r="F15" s="27">
        <v>6.0</v>
      </c>
      <c r="G15" s="28">
        <v>0.065</v>
      </c>
      <c r="H15" s="3"/>
      <c r="I15" s="29">
        <v>42.1241260142709</v>
      </c>
      <c r="J15" s="29">
        <f t="shared" si="4"/>
        <v>39.17543719</v>
      </c>
      <c r="K15" s="29">
        <f t="shared" si="2"/>
        <v>41.72184061</v>
      </c>
    </row>
    <row r="16" ht="14.25" customHeight="1">
      <c r="A16" s="25" t="s">
        <v>19</v>
      </c>
      <c r="B16" s="25" t="s">
        <v>20</v>
      </c>
      <c r="C16" s="25" t="s">
        <v>47</v>
      </c>
      <c r="D16" s="26" t="s">
        <v>48</v>
      </c>
      <c r="E16" s="26" t="s">
        <v>49</v>
      </c>
      <c r="F16" s="27">
        <v>6.0</v>
      </c>
      <c r="G16" s="28">
        <v>0.065</v>
      </c>
      <c r="H16" s="3"/>
      <c r="I16" s="29">
        <v>47.091331914504416</v>
      </c>
      <c r="J16" s="29">
        <f t="shared" si="4"/>
        <v>43.79493868</v>
      </c>
      <c r="K16" s="29">
        <f t="shared" si="2"/>
        <v>46.64160969</v>
      </c>
    </row>
    <row r="17" ht="14.25" customHeight="1">
      <c r="A17" s="25" t="s">
        <v>19</v>
      </c>
      <c r="B17" s="25" t="s">
        <v>20</v>
      </c>
      <c r="C17" s="25" t="s">
        <v>50</v>
      </c>
      <c r="D17" s="26" t="s">
        <v>51</v>
      </c>
      <c r="E17" s="26" t="s">
        <v>52</v>
      </c>
      <c r="F17" s="27">
        <v>6.0</v>
      </c>
      <c r="G17" s="28">
        <v>0.065</v>
      </c>
      <c r="H17" s="3"/>
      <c r="I17" s="29">
        <v>47.091331914504416</v>
      </c>
      <c r="J17" s="29">
        <f t="shared" si="4"/>
        <v>43.79493868</v>
      </c>
      <c r="K17" s="29">
        <f t="shared" si="2"/>
        <v>46.64160969</v>
      </c>
    </row>
    <row r="18" ht="14.25" customHeight="1">
      <c r="A18" s="25" t="s">
        <v>19</v>
      </c>
      <c r="B18" s="25" t="s">
        <v>20</v>
      </c>
      <c r="C18" s="25" t="s">
        <v>53</v>
      </c>
      <c r="D18" s="26" t="s">
        <v>54</v>
      </c>
      <c r="E18" s="26" t="s">
        <v>55</v>
      </c>
      <c r="F18" s="27">
        <v>6.0</v>
      </c>
      <c r="G18" s="28">
        <v>0.065</v>
      </c>
      <c r="H18" s="3"/>
      <c r="I18" s="29">
        <v>47.091331914504416</v>
      </c>
      <c r="J18" s="29">
        <f t="shared" si="4"/>
        <v>43.79493868</v>
      </c>
      <c r="K18" s="29">
        <f t="shared" si="2"/>
        <v>46.64160969</v>
      </c>
    </row>
    <row r="19" ht="14.25" customHeight="1">
      <c r="A19" s="25" t="s">
        <v>19</v>
      </c>
      <c r="B19" s="25" t="s">
        <v>20</v>
      </c>
      <c r="C19" s="25" t="s">
        <v>56</v>
      </c>
      <c r="D19" s="26" t="s">
        <v>57</v>
      </c>
      <c r="E19" s="26" t="s">
        <v>58</v>
      </c>
      <c r="F19" s="27">
        <v>6.0</v>
      </c>
      <c r="G19" s="28">
        <v>0.065</v>
      </c>
      <c r="H19" s="3"/>
      <c r="I19" s="29">
        <v>48.756317132459785</v>
      </c>
      <c r="J19" s="29">
        <f t="shared" si="4"/>
        <v>45.34337493</v>
      </c>
      <c r="K19" s="29">
        <f t="shared" si="2"/>
        <v>48.2906943</v>
      </c>
    </row>
    <row r="20" ht="14.25" customHeight="1">
      <c r="A20" s="25" t="s">
        <v>19</v>
      </c>
      <c r="B20" s="25" t="s">
        <v>20</v>
      </c>
      <c r="C20" s="25" t="s">
        <v>59</v>
      </c>
      <c r="D20" s="26" t="s">
        <v>60</v>
      </c>
      <c r="E20" s="26" t="s">
        <v>61</v>
      </c>
      <c r="F20" s="27">
        <v>6.0</v>
      </c>
      <c r="G20" s="28">
        <v>0.065</v>
      </c>
      <c r="H20" s="3"/>
      <c r="I20" s="29">
        <v>76.99507383522115</v>
      </c>
      <c r="J20" s="29">
        <f t="shared" si="4"/>
        <v>71.60541867</v>
      </c>
      <c r="K20" s="29">
        <f t="shared" si="2"/>
        <v>76.25977088</v>
      </c>
    </row>
    <row r="21" ht="14.25" customHeight="1">
      <c r="A21" s="25" t="s">
        <v>19</v>
      </c>
      <c r="B21" s="25" t="s">
        <v>20</v>
      </c>
      <c r="C21" s="25" t="s">
        <v>62</v>
      </c>
      <c r="D21" s="26" t="s">
        <v>63</v>
      </c>
      <c r="E21" s="26" t="s">
        <v>64</v>
      </c>
      <c r="F21" s="27">
        <v>6.0</v>
      </c>
      <c r="G21" s="28">
        <v>0.065</v>
      </c>
      <c r="H21" s="3"/>
      <c r="I21" s="29">
        <v>76.99507383522115</v>
      </c>
      <c r="J21" s="29">
        <f t="shared" si="4"/>
        <v>71.60541867</v>
      </c>
      <c r="K21" s="29">
        <f t="shared" si="2"/>
        <v>76.25977088</v>
      </c>
    </row>
    <row r="22" ht="14.25" customHeight="1">
      <c r="A22" s="25" t="s">
        <v>19</v>
      </c>
      <c r="B22" s="25" t="s">
        <v>20</v>
      </c>
      <c r="C22" s="25" t="s">
        <v>65</v>
      </c>
      <c r="D22" s="26" t="s">
        <v>66</v>
      </c>
      <c r="E22" s="26" t="s">
        <v>67</v>
      </c>
      <c r="F22" s="27">
        <v>6.0</v>
      </c>
      <c r="G22" s="28">
        <v>0.065</v>
      </c>
      <c r="H22" s="3"/>
      <c r="I22" s="29">
        <v>112.56687561059938</v>
      </c>
      <c r="J22" s="29">
        <f t="shared" si="4"/>
        <v>104.6871943</v>
      </c>
      <c r="K22" s="29">
        <f t="shared" si="2"/>
        <v>111.4918619</v>
      </c>
    </row>
    <row r="23" ht="14.25" customHeight="1">
      <c r="A23" s="25" t="s">
        <v>19</v>
      </c>
      <c r="B23" s="25" t="s">
        <v>20</v>
      </c>
      <c r="C23" s="25" t="s">
        <v>68</v>
      </c>
      <c r="D23" s="26" t="s">
        <v>69</v>
      </c>
      <c r="E23" s="26" t="s">
        <v>70</v>
      </c>
      <c r="F23" s="27">
        <v>6.0</v>
      </c>
      <c r="G23" s="28">
        <v>0.065</v>
      </c>
      <c r="H23" s="3"/>
      <c r="I23" s="29">
        <v>112.56687561059938</v>
      </c>
      <c r="J23" s="29">
        <f t="shared" si="4"/>
        <v>104.6871943</v>
      </c>
      <c r="K23" s="29">
        <f t="shared" si="2"/>
        <v>111.4918619</v>
      </c>
    </row>
    <row r="24" ht="14.25" customHeight="1">
      <c r="A24" s="25" t="s">
        <v>19</v>
      </c>
      <c r="B24" s="25" t="s">
        <v>20</v>
      </c>
      <c r="C24" s="25" t="s">
        <v>71</v>
      </c>
      <c r="D24" s="26" t="s">
        <v>72</v>
      </c>
      <c r="E24" s="26" t="s">
        <v>73</v>
      </c>
      <c r="F24" s="27">
        <v>6.0</v>
      </c>
      <c r="G24" s="28">
        <v>0.065</v>
      </c>
      <c r="H24" s="3"/>
      <c r="I24" s="29">
        <v>112.56687561059938</v>
      </c>
      <c r="J24" s="29">
        <f t="shared" si="4"/>
        <v>104.6871943</v>
      </c>
      <c r="K24" s="29">
        <f t="shared" si="2"/>
        <v>111.4918619</v>
      </c>
    </row>
    <row r="25" ht="14.25" customHeight="1">
      <c r="A25" s="31" t="s">
        <v>74</v>
      </c>
      <c r="B25" s="31"/>
      <c r="C25" s="31" t="s">
        <v>75</v>
      </c>
      <c r="D25" s="32" t="s">
        <v>76</v>
      </c>
      <c r="E25" s="32" t="s">
        <v>77</v>
      </c>
      <c r="F25" s="33">
        <v>6.0</v>
      </c>
      <c r="G25" s="28">
        <v>0.06500000000000002</v>
      </c>
      <c r="H25" s="3"/>
      <c r="I25" s="34">
        <v>119.83522796232486</v>
      </c>
      <c r="J25" s="34">
        <f t="shared" ref="J25:J26" si="5">IF(I25&lt;&gt;"",I25-(I25*0.05),"")</f>
        <v>113.8434666</v>
      </c>
      <c r="K25" s="34">
        <f t="shared" si="2"/>
        <v>121.2432919</v>
      </c>
    </row>
    <row r="26" ht="14.25" customHeight="1">
      <c r="A26" s="31" t="s">
        <v>74</v>
      </c>
      <c r="B26" s="31"/>
      <c r="C26" s="31" t="s">
        <v>75</v>
      </c>
      <c r="D26" s="32" t="s">
        <v>78</v>
      </c>
      <c r="E26" s="32" t="s">
        <v>79</v>
      </c>
      <c r="F26" s="33">
        <v>6.0</v>
      </c>
      <c r="G26" s="28">
        <v>0.06500000000000002</v>
      </c>
      <c r="H26" s="3"/>
      <c r="I26" s="34">
        <v>119.83522796232486</v>
      </c>
      <c r="J26" s="34">
        <f t="shared" si="5"/>
        <v>113.8434666</v>
      </c>
      <c r="K26" s="34">
        <f t="shared" si="2"/>
        <v>121.2432919</v>
      </c>
    </row>
    <row r="27" ht="14.25" customHeight="1">
      <c r="A27" s="25"/>
      <c r="B27" s="25"/>
      <c r="C27" s="25" t="s">
        <v>80</v>
      </c>
      <c r="D27" s="26" t="s">
        <v>81</v>
      </c>
      <c r="E27" s="26" t="s">
        <v>82</v>
      </c>
      <c r="F27" s="27">
        <v>6.0</v>
      </c>
      <c r="G27" s="28">
        <v>0.065</v>
      </c>
      <c r="H27" s="3"/>
      <c r="I27" s="29">
        <v>29.114660745</v>
      </c>
      <c r="J27" s="29">
        <f t="shared" ref="J27:J58" si="6">IF(I27&lt;&gt;"",I27-(I27*0.07),"")</f>
        <v>27.07663449</v>
      </c>
      <c r="K27" s="29">
        <f t="shared" si="2"/>
        <v>28.83661573</v>
      </c>
    </row>
    <row r="28" ht="14.25" customHeight="1">
      <c r="A28" s="36"/>
      <c r="B28" s="36"/>
      <c r="C28" s="36"/>
      <c r="D28" s="3"/>
      <c r="E28" s="3"/>
      <c r="F28" s="37"/>
      <c r="G28" s="38"/>
      <c r="H28" s="3"/>
      <c r="I28" s="4"/>
      <c r="J28" s="4" t="str">
        <f t="shared" si="6"/>
        <v/>
      </c>
      <c r="K28" s="4" t="str">
        <f t="shared" si="2"/>
        <v/>
      </c>
    </row>
    <row r="29" ht="14.25" customHeight="1">
      <c r="A29" s="25" t="s">
        <v>83</v>
      </c>
      <c r="B29" s="25"/>
      <c r="C29" s="25" t="s">
        <v>84</v>
      </c>
      <c r="D29" s="26" t="s">
        <v>85</v>
      </c>
      <c r="E29" s="26" t="s">
        <v>86</v>
      </c>
      <c r="F29" s="27">
        <v>12.0</v>
      </c>
      <c r="G29" s="28">
        <v>0.065</v>
      </c>
      <c r="H29" s="3"/>
      <c r="I29" s="29">
        <v>38.4752001138225</v>
      </c>
      <c r="J29" s="29">
        <f t="shared" si="6"/>
        <v>35.78193611</v>
      </c>
      <c r="K29" s="29">
        <f t="shared" si="2"/>
        <v>38.10776195</v>
      </c>
    </row>
    <row r="30" ht="14.25" customHeight="1">
      <c r="A30" s="25" t="s">
        <v>83</v>
      </c>
      <c r="B30" s="25"/>
      <c r="C30" s="25" t="s">
        <v>87</v>
      </c>
      <c r="D30" s="26" t="s">
        <v>88</v>
      </c>
      <c r="E30" s="26" t="s">
        <v>89</v>
      </c>
      <c r="F30" s="27">
        <v>12.0</v>
      </c>
      <c r="G30" s="28">
        <v>0.065</v>
      </c>
      <c r="H30" s="3"/>
      <c r="I30" s="29">
        <v>38.4752001138225</v>
      </c>
      <c r="J30" s="29">
        <f t="shared" si="6"/>
        <v>35.78193611</v>
      </c>
      <c r="K30" s="29">
        <f t="shared" si="2"/>
        <v>38.10776195</v>
      </c>
    </row>
    <row r="31" ht="14.25" customHeight="1">
      <c r="A31" s="36"/>
      <c r="B31" s="36"/>
      <c r="C31" s="3"/>
      <c r="D31" s="3"/>
      <c r="E31" s="3"/>
      <c r="F31" s="3"/>
      <c r="G31" s="3"/>
      <c r="H31" s="3"/>
      <c r="I31" s="4"/>
      <c r="J31" s="4" t="str">
        <f t="shared" si="6"/>
        <v/>
      </c>
      <c r="K31" s="4" t="str">
        <f t="shared" si="2"/>
        <v/>
      </c>
    </row>
    <row r="32" ht="14.25" customHeight="1">
      <c r="A32" s="25" t="s">
        <v>90</v>
      </c>
      <c r="B32" s="25"/>
      <c r="C32" s="25" t="s">
        <v>91</v>
      </c>
      <c r="D32" s="26" t="s">
        <v>92</v>
      </c>
      <c r="E32" s="26" t="s">
        <v>93</v>
      </c>
      <c r="F32" s="27">
        <v>12.0</v>
      </c>
      <c r="G32" s="28">
        <v>0.065</v>
      </c>
      <c r="H32" s="3"/>
      <c r="I32" s="29">
        <v>38.4752001138225</v>
      </c>
      <c r="J32" s="29">
        <f t="shared" si="6"/>
        <v>35.78193611</v>
      </c>
      <c r="K32" s="29">
        <f t="shared" si="2"/>
        <v>38.10776195</v>
      </c>
    </row>
    <row r="33" ht="14.25" customHeight="1">
      <c r="A33" s="25" t="s">
        <v>90</v>
      </c>
      <c r="B33" s="25"/>
      <c r="C33" s="25" t="s">
        <v>94</v>
      </c>
      <c r="D33" s="26" t="s">
        <v>95</v>
      </c>
      <c r="E33" s="26" t="s">
        <v>96</v>
      </c>
      <c r="F33" s="27">
        <v>12.0</v>
      </c>
      <c r="G33" s="28">
        <v>0.065</v>
      </c>
      <c r="H33" s="3"/>
      <c r="I33" s="29">
        <v>38.4752001138225</v>
      </c>
      <c r="J33" s="29">
        <f t="shared" si="6"/>
        <v>35.78193611</v>
      </c>
      <c r="K33" s="29">
        <f t="shared" si="2"/>
        <v>38.10776195</v>
      </c>
    </row>
    <row r="34" ht="14.25" customHeight="1">
      <c r="A34" s="36"/>
      <c r="B34" s="36"/>
      <c r="C34" s="3"/>
      <c r="D34" s="3"/>
      <c r="E34" s="3"/>
      <c r="F34" s="3"/>
      <c r="G34" s="3"/>
      <c r="H34" s="3"/>
      <c r="I34" s="4"/>
      <c r="J34" s="4" t="str">
        <f t="shared" si="6"/>
        <v/>
      </c>
      <c r="K34" s="4" t="str">
        <f t="shared" si="2"/>
        <v/>
      </c>
    </row>
    <row r="35" ht="14.25" customHeight="1">
      <c r="A35" s="25" t="s">
        <v>97</v>
      </c>
      <c r="B35" s="25"/>
      <c r="C35" s="25" t="s">
        <v>98</v>
      </c>
      <c r="D35" s="26" t="s">
        <v>99</v>
      </c>
      <c r="E35" s="26" t="s">
        <v>100</v>
      </c>
      <c r="F35" s="27">
        <v>12.0</v>
      </c>
      <c r="G35" s="28">
        <v>0.065</v>
      </c>
      <c r="H35" s="3"/>
      <c r="I35" s="29">
        <v>41.985559157745</v>
      </c>
      <c r="J35" s="29">
        <f t="shared" si="6"/>
        <v>39.04657002</v>
      </c>
      <c r="K35" s="29">
        <f t="shared" si="2"/>
        <v>41.58459707</v>
      </c>
    </row>
    <row r="36" ht="14.25" customHeight="1">
      <c r="A36" s="25" t="s">
        <v>97</v>
      </c>
      <c r="B36" s="25"/>
      <c r="C36" s="25" t="s">
        <v>101</v>
      </c>
      <c r="D36" s="26" t="s">
        <v>102</v>
      </c>
      <c r="E36" s="26" t="s">
        <v>103</v>
      </c>
      <c r="F36" s="27">
        <v>12.0</v>
      </c>
      <c r="G36" s="28">
        <v>0.065</v>
      </c>
      <c r="H36" s="3"/>
      <c r="I36" s="29">
        <v>45.482043264735</v>
      </c>
      <c r="J36" s="29">
        <f t="shared" si="6"/>
        <v>42.29830024</v>
      </c>
      <c r="K36" s="29">
        <f t="shared" si="2"/>
        <v>45.04768975</v>
      </c>
    </row>
    <row r="37" ht="14.25" customHeight="1">
      <c r="A37" s="25" t="s">
        <v>104</v>
      </c>
      <c r="B37" s="25"/>
      <c r="C37" s="25" t="s">
        <v>105</v>
      </c>
      <c r="D37" s="26" t="s">
        <v>106</v>
      </c>
      <c r="E37" s="26" t="s">
        <v>107</v>
      </c>
      <c r="F37" s="27">
        <v>12.0</v>
      </c>
      <c r="G37" s="28">
        <v>0.065</v>
      </c>
      <c r="H37" s="3"/>
      <c r="I37" s="29">
        <v>77.03364984924</v>
      </c>
      <c r="J37" s="29">
        <f t="shared" si="6"/>
        <v>71.64129436</v>
      </c>
      <c r="K37" s="29">
        <f t="shared" si="2"/>
        <v>76.29797849</v>
      </c>
    </row>
    <row r="38" ht="14.25" customHeight="1">
      <c r="A38" s="36"/>
      <c r="B38" s="36"/>
      <c r="C38" s="3"/>
      <c r="D38" s="3"/>
      <c r="E38" s="3"/>
      <c r="F38" s="3"/>
      <c r="G38" s="3"/>
      <c r="H38" s="3"/>
      <c r="I38" s="4"/>
      <c r="J38" s="4" t="str">
        <f t="shared" si="6"/>
        <v/>
      </c>
      <c r="K38" s="4" t="str">
        <f t="shared" si="2"/>
        <v/>
      </c>
    </row>
    <row r="39" ht="14.25" customHeight="1">
      <c r="A39" s="25" t="s">
        <v>28</v>
      </c>
      <c r="B39" s="25"/>
      <c r="C39" s="25" t="s">
        <v>75</v>
      </c>
      <c r="D39" s="26" t="s">
        <v>108</v>
      </c>
      <c r="E39" s="26" t="s">
        <v>109</v>
      </c>
      <c r="F39" s="27">
        <v>6.0</v>
      </c>
      <c r="G39" s="28">
        <v>0.065</v>
      </c>
      <c r="H39" s="3"/>
      <c r="I39" s="29">
        <v>53.46301749015358</v>
      </c>
      <c r="J39" s="29">
        <f t="shared" si="6"/>
        <v>49.72060627</v>
      </c>
      <c r="K39" s="29">
        <f t="shared" si="2"/>
        <v>52.95244567</v>
      </c>
    </row>
    <row r="40" ht="14.25" customHeight="1">
      <c r="A40" s="25" t="s">
        <v>110</v>
      </c>
      <c r="B40" s="25"/>
      <c r="C40" s="25" t="s">
        <v>75</v>
      </c>
      <c r="D40" s="26" t="s">
        <v>111</v>
      </c>
      <c r="E40" s="26" t="s">
        <v>112</v>
      </c>
      <c r="F40" s="27">
        <v>6.0</v>
      </c>
      <c r="G40" s="28">
        <v>0.065</v>
      </c>
      <c r="H40" s="3"/>
      <c r="I40" s="29">
        <v>58.9546070261925</v>
      </c>
      <c r="J40" s="29">
        <f t="shared" si="6"/>
        <v>54.82778453</v>
      </c>
      <c r="K40" s="29">
        <f t="shared" si="2"/>
        <v>58.39159053</v>
      </c>
    </row>
    <row r="41" ht="14.25" customHeight="1">
      <c r="A41" s="36"/>
      <c r="B41" s="36"/>
      <c r="C41" s="3"/>
      <c r="D41" s="3"/>
      <c r="E41" s="3"/>
      <c r="F41" s="3"/>
      <c r="G41" s="3"/>
      <c r="H41" s="3"/>
      <c r="I41" s="4"/>
      <c r="J41" s="4" t="str">
        <f t="shared" si="6"/>
        <v/>
      </c>
      <c r="K41" s="4" t="str">
        <f t="shared" si="2"/>
        <v/>
      </c>
    </row>
    <row r="42" ht="14.25" customHeight="1">
      <c r="A42" s="25" t="s">
        <v>113</v>
      </c>
      <c r="B42" s="25"/>
      <c r="C42" s="25" t="s">
        <v>75</v>
      </c>
      <c r="D42" s="26" t="s">
        <v>114</v>
      </c>
      <c r="E42" s="26" t="s">
        <v>115</v>
      </c>
      <c r="F42" s="27">
        <v>6.0</v>
      </c>
      <c r="G42" s="28">
        <v>0.065</v>
      </c>
      <c r="H42" s="3"/>
      <c r="I42" s="29">
        <v>48.99240230865751</v>
      </c>
      <c r="J42" s="29">
        <f t="shared" si="6"/>
        <v>45.56293415</v>
      </c>
      <c r="K42" s="29">
        <f t="shared" si="2"/>
        <v>48.52452487</v>
      </c>
    </row>
    <row r="43" ht="14.25" customHeight="1">
      <c r="A43" s="25" t="s">
        <v>113</v>
      </c>
      <c r="B43" s="25"/>
      <c r="C43" s="25" t="s">
        <v>75</v>
      </c>
      <c r="D43" s="26" t="s">
        <v>116</v>
      </c>
      <c r="E43" s="26" t="s">
        <v>117</v>
      </c>
      <c r="F43" s="27">
        <v>6.0</v>
      </c>
      <c r="G43" s="28">
        <v>0.065</v>
      </c>
      <c r="H43" s="3"/>
      <c r="I43" s="29">
        <v>51.00426816387</v>
      </c>
      <c r="J43" s="29">
        <f t="shared" si="6"/>
        <v>47.43396939</v>
      </c>
      <c r="K43" s="29">
        <f t="shared" si="2"/>
        <v>50.5171774</v>
      </c>
    </row>
    <row r="44" ht="14.25" customHeight="1">
      <c r="A44" s="25" t="s">
        <v>118</v>
      </c>
      <c r="B44" s="25"/>
      <c r="C44" s="25" t="s">
        <v>75</v>
      </c>
      <c r="D44" s="26" t="s">
        <v>119</v>
      </c>
      <c r="E44" s="26" t="s">
        <v>120</v>
      </c>
      <c r="F44" s="27">
        <v>6.0</v>
      </c>
      <c r="G44" s="28">
        <v>0.065</v>
      </c>
      <c r="H44" s="3"/>
      <c r="I44" s="29">
        <v>62.631465313305</v>
      </c>
      <c r="J44" s="29">
        <f t="shared" si="6"/>
        <v>58.24726274</v>
      </c>
      <c r="K44" s="29">
        <f t="shared" si="2"/>
        <v>62.03333482</v>
      </c>
    </row>
    <row r="45" ht="14.25" customHeight="1">
      <c r="A45" s="25" t="s">
        <v>118</v>
      </c>
      <c r="B45" s="25"/>
      <c r="C45" s="25" t="s">
        <v>75</v>
      </c>
      <c r="D45" s="26" t="s">
        <v>121</v>
      </c>
      <c r="E45" s="26" t="s">
        <v>122</v>
      </c>
      <c r="F45" s="27">
        <v>6.0</v>
      </c>
      <c r="G45" s="28">
        <v>0.065</v>
      </c>
      <c r="H45" s="3"/>
      <c r="I45" s="29">
        <v>62.631465313305</v>
      </c>
      <c r="J45" s="29">
        <f t="shared" si="6"/>
        <v>58.24726274</v>
      </c>
      <c r="K45" s="29">
        <f t="shared" si="2"/>
        <v>62.03333482</v>
      </c>
    </row>
    <row r="46" ht="14.25" customHeight="1">
      <c r="A46" s="25" t="s">
        <v>118</v>
      </c>
      <c r="B46" s="25"/>
      <c r="C46" s="25" t="s">
        <v>75</v>
      </c>
      <c r="D46" s="26" t="s">
        <v>123</v>
      </c>
      <c r="E46" s="26" t="s">
        <v>124</v>
      </c>
      <c r="F46" s="27">
        <v>6.0</v>
      </c>
      <c r="G46" s="28">
        <v>0.065</v>
      </c>
      <c r="H46" s="3"/>
      <c r="I46" s="29">
        <v>84.775864657575</v>
      </c>
      <c r="J46" s="29">
        <f t="shared" si="6"/>
        <v>78.84155413</v>
      </c>
      <c r="K46" s="29">
        <f t="shared" si="2"/>
        <v>83.96625515</v>
      </c>
    </row>
    <row r="47" ht="14.25" customHeight="1">
      <c r="A47" s="25" t="s">
        <v>118</v>
      </c>
      <c r="B47" s="25"/>
      <c r="C47" s="25" t="s">
        <v>75</v>
      </c>
      <c r="D47" s="26" t="s">
        <v>125</v>
      </c>
      <c r="E47" s="26" t="s">
        <v>126</v>
      </c>
      <c r="F47" s="27">
        <v>6.0</v>
      </c>
      <c r="G47" s="28">
        <v>0.065</v>
      </c>
      <c r="H47" s="3"/>
      <c r="I47" s="29">
        <v>86.718355828125</v>
      </c>
      <c r="J47" s="29">
        <f t="shared" si="6"/>
        <v>80.64807092</v>
      </c>
      <c r="K47" s="29">
        <f t="shared" si="2"/>
        <v>85.89019553</v>
      </c>
    </row>
    <row r="48" ht="14.25" customHeight="1">
      <c r="A48" s="36"/>
      <c r="B48" s="36"/>
      <c r="C48" s="3"/>
      <c r="D48" s="3"/>
      <c r="E48" s="3"/>
      <c r="F48" s="3"/>
      <c r="G48" s="3"/>
      <c r="H48" s="3"/>
      <c r="I48" s="4"/>
      <c r="J48" s="4" t="str">
        <f t="shared" si="6"/>
        <v/>
      </c>
      <c r="K48" s="4" t="str">
        <f t="shared" si="2"/>
        <v/>
      </c>
    </row>
    <row r="49" ht="14.25" customHeight="1">
      <c r="A49" s="25" t="s">
        <v>127</v>
      </c>
      <c r="B49" s="25"/>
      <c r="C49" s="25" t="s">
        <v>128</v>
      </c>
      <c r="D49" s="26" t="s">
        <v>129</v>
      </c>
      <c r="E49" s="26" t="s">
        <v>130</v>
      </c>
      <c r="F49" s="27">
        <v>6.0</v>
      </c>
      <c r="G49" s="28">
        <v>0.065</v>
      </c>
      <c r="H49" s="3"/>
      <c r="I49" s="29">
        <v>31.824486650677606</v>
      </c>
      <c r="J49" s="29">
        <f t="shared" si="6"/>
        <v>29.59677259</v>
      </c>
      <c r="K49" s="29">
        <f t="shared" si="2"/>
        <v>31.5205628</v>
      </c>
    </row>
    <row r="50" ht="14.25" customHeight="1">
      <c r="A50" s="25" t="s">
        <v>127</v>
      </c>
      <c r="B50" s="25"/>
      <c r="C50" s="25" t="s">
        <v>75</v>
      </c>
      <c r="D50" s="26" t="s">
        <v>131</v>
      </c>
      <c r="E50" s="26" t="s">
        <v>132</v>
      </c>
      <c r="F50" s="27">
        <v>6.0</v>
      </c>
      <c r="G50" s="28">
        <v>0.06500000000000002</v>
      </c>
      <c r="H50" s="3"/>
      <c r="I50" s="29">
        <v>31.824486650677606</v>
      </c>
      <c r="J50" s="29">
        <f t="shared" si="6"/>
        <v>29.59677259</v>
      </c>
      <c r="K50" s="29">
        <f t="shared" si="2"/>
        <v>31.5205628</v>
      </c>
    </row>
    <row r="51" ht="14.25" customHeight="1">
      <c r="A51" s="25" t="s">
        <v>127</v>
      </c>
      <c r="B51" s="25"/>
      <c r="C51" s="25" t="s">
        <v>133</v>
      </c>
      <c r="D51" s="26" t="s">
        <v>134</v>
      </c>
      <c r="E51" s="26" t="s">
        <v>135</v>
      </c>
      <c r="F51" s="27">
        <v>6.0</v>
      </c>
      <c r="G51" s="28">
        <v>0.065</v>
      </c>
      <c r="H51" s="3"/>
      <c r="I51" s="29">
        <v>31.824486650677606</v>
      </c>
      <c r="J51" s="29">
        <f t="shared" si="6"/>
        <v>29.59677259</v>
      </c>
      <c r="K51" s="29">
        <f t="shared" si="2"/>
        <v>31.5205628</v>
      </c>
    </row>
    <row r="52" ht="14.25" customHeight="1">
      <c r="A52" s="25" t="s">
        <v>127</v>
      </c>
      <c r="B52" s="25"/>
      <c r="C52" s="25" t="s">
        <v>136</v>
      </c>
      <c r="D52" s="26" t="s">
        <v>137</v>
      </c>
      <c r="E52" s="26" t="s">
        <v>138</v>
      </c>
      <c r="F52" s="27">
        <v>6.0</v>
      </c>
      <c r="G52" s="28">
        <v>0.065</v>
      </c>
      <c r="H52" s="3"/>
      <c r="I52" s="29">
        <v>54.757172374714735</v>
      </c>
      <c r="J52" s="29">
        <f t="shared" si="6"/>
        <v>50.92417031</v>
      </c>
      <c r="K52" s="29">
        <f t="shared" si="2"/>
        <v>54.23424138</v>
      </c>
    </row>
    <row r="53" ht="14.25" customHeight="1">
      <c r="A53" s="36"/>
      <c r="B53" s="36"/>
      <c r="C53" s="3"/>
      <c r="D53" s="3"/>
      <c r="E53" s="3"/>
      <c r="F53" s="3"/>
      <c r="G53" s="3"/>
      <c r="H53" s="3"/>
      <c r="I53" s="4"/>
      <c r="J53" s="4" t="str">
        <f t="shared" si="6"/>
        <v/>
      </c>
      <c r="K53" s="4" t="str">
        <f t="shared" si="2"/>
        <v/>
      </c>
    </row>
    <row r="54" ht="14.25" customHeight="1">
      <c r="A54" s="25" t="s">
        <v>139</v>
      </c>
      <c r="B54" s="25"/>
      <c r="C54" s="25" t="s">
        <v>140</v>
      </c>
      <c r="D54" s="26" t="s">
        <v>141</v>
      </c>
      <c r="E54" s="26" t="s">
        <v>142</v>
      </c>
      <c r="F54" s="27">
        <v>12.0</v>
      </c>
      <c r="G54" s="28">
        <v>0.065</v>
      </c>
      <c r="H54" s="3"/>
      <c r="I54" s="29">
        <v>41.985559157745</v>
      </c>
      <c r="J54" s="29">
        <f t="shared" si="6"/>
        <v>39.04657002</v>
      </c>
      <c r="K54" s="29">
        <f t="shared" si="2"/>
        <v>41.58459707</v>
      </c>
    </row>
    <row r="55" ht="14.25" customHeight="1">
      <c r="A55" s="25" t="s">
        <v>139</v>
      </c>
      <c r="B55" s="25"/>
      <c r="C55" s="25" t="s">
        <v>143</v>
      </c>
      <c r="D55" s="26" t="s">
        <v>144</v>
      </c>
      <c r="E55" s="26" t="s">
        <v>145</v>
      </c>
      <c r="F55" s="27">
        <v>12.0</v>
      </c>
      <c r="G55" s="28">
        <v>0.065</v>
      </c>
      <c r="H55" s="3"/>
      <c r="I55" s="29">
        <v>39.984591624222915</v>
      </c>
      <c r="J55" s="29">
        <f t="shared" si="6"/>
        <v>37.18567021</v>
      </c>
      <c r="K55" s="29">
        <f t="shared" si="2"/>
        <v>39.60273877</v>
      </c>
    </row>
    <row r="56" ht="14.25" customHeight="1">
      <c r="A56" s="25" t="s">
        <v>146</v>
      </c>
      <c r="B56" s="25"/>
      <c r="C56" s="25" t="s">
        <v>147</v>
      </c>
      <c r="D56" s="26" t="s">
        <v>148</v>
      </c>
      <c r="E56" s="26" t="s">
        <v>149</v>
      </c>
      <c r="F56" s="27">
        <v>6.0</v>
      </c>
      <c r="G56" s="28">
        <v>0.065</v>
      </c>
      <c r="H56" s="3"/>
      <c r="I56" s="29">
        <v>56.66023277466655</v>
      </c>
      <c r="J56" s="29">
        <f t="shared" si="6"/>
        <v>52.69401648</v>
      </c>
      <c r="K56" s="29">
        <f t="shared" si="2"/>
        <v>56.11912755</v>
      </c>
    </row>
    <row r="57" ht="14.25" customHeight="1">
      <c r="A57" s="25" t="s">
        <v>127</v>
      </c>
      <c r="B57" s="25"/>
      <c r="C57" s="25" t="s">
        <v>75</v>
      </c>
      <c r="D57" s="26" t="s">
        <v>150</v>
      </c>
      <c r="E57" s="26" t="s">
        <v>151</v>
      </c>
      <c r="F57" s="27">
        <v>12.0</v>
      </c>
      <c r="G57" s="28">
        <v>0.065</v>
      </c>
      <c r="H57" s="3"/>
      <c r="I57" s="29">
        <v>59.49572956656001</v>
      </c>
      <c r="J57" s="29">
        <f t="shared" si="6"/>
        <v>55.3310285</v>
      </c>
      <c r="K57" s="29">
        <f t="shared" si="2"/>
        <v>58.92754535</v>
      </c>
    </row>
    <row r="58" ht="14.25" customHeight="1">
      <c r="A58" s="36"/>
      <c r="B58" s="36"/>
      <c r="C58" s="36"/>
      <c r="D58" s="3"/>
      <c r="E58" s="3"/>
      <c r="F58" s="37"/>
      <c r="G58" s="39"/>
      <c r="H58" s="3"/>
      <c r="I58" s="4"/>
      <c r="J58" s="4" t="str">
        <f t="shared" si="6"/>
        <v/>
      </c>
      <c r="K58" s="4" t="str">
        <f t="shared" si="2"/>
        <v/>
      </c>
    </row>
    <row r="59" ht="14.25" customHeight="1">
      <c r="A59" s="31" t="s">
        <v>28</v>
      </c>
      <c r="B59" s="31"/>
      <c r="C59" s="31" t="s">
        <v>152</v>
      </c>
      <c r="D59" s="32" t="s">
        <v>153</v>
      </c>
      <c r="E59" s="32" t="s">
        <v>154</v>
      </c>
      <c r="F59" s="33">
        <v>6.0</v>
      </c>
      <c r="G59" s="28">
        <v>0.065</v>
      </c>
      <c r="H59" s="3"/>
      <c r="I59" s="34">
        <v>425.4785324903813</v>
      </c>
      <c r="J59" s="34">
        <f t="shared" ref="J59:J60" si="7">IF(I59&lt;&gt;"",I59-(I59*0.05),"")</f>
        <v>404.2046059</v>
      </c>
      <c r="K59" s="34">
        <f t="shared" si="2"/>
        <v>430.4779052</v>
      </c>
    </row>
    <row r="60" ht="14.25" customHeight="1">
      <c r="A60" s="31" t="s">
        <v>28</v>
      </c>
      <c r="B60" s="31"/>
      <c r="C60" s="31" t="s">
        <v>155</v>
      </c>
      <c r="D60" s="32" t="s">
        <v>156</v>
      </c>
      <c r="E60" s="32" t="s">
        <v>157</v>
      </c>
      <c r="F60" s="33">
        <v>6.0</v>
      </c>
      <c r="G60" s="28">
        <v>0.065</v>
      </c>
      <c r="H60" s="3"/>
      <c r="I60" s="34">
        <v>852.1613325104615</v>
      </c>
      <c r="J60" s="34">
        <f t="shared" si="7"/>
        <v>809.5532659</v>
      </c>
      <c r="K60" s="34">
        <f t="shared" si="2"/>
        <v>862.1742282</v>
      </c>
    </row>
    <row r="61" ht="14.25" customHeight="1">
      <c r="A61" s="25" t="s">
        <v>158</v>
      </c>
      <c r="B61" s="25"/>
      <c r="C61" s="25" t="s">
        <v>159</v>
      </c>
      <c r="D61" s="26" t="s">
        <v>160</v>
      </c>
      <c r="E61" s="26" t="s">
        <v>161</v>
      </c>
      <c r="F61" s="27">
        <v>12.0</v>
      </c>
      <c r="G61" s="28">
        <v>0.065</v>
      </c>
      <c r="H61" s="3"/>
      <c r="I61" s="29">
        <v>42.12468385142037</v>
      </c>
      <c r="J61" s="29">
        <f t="shared" ref="J61:J68" si="8">IF(I61&lt;&gt;"",I61-(I61*0.07),"")</f>
        <v>39.17595598</v>
      </c>
      <c r="K61" s="29">
        <f t="shared" si="2"/>
        <v>41.72239312</v>
      </c>
    </row>
    <row r="62" ht="14.25" customHeight="1">
      <c r="A62" s="25" t="s">
        <v>110</v>
      </c>
      <c r="B62" s="25"/>
      <c r="C62" s="25" t="s">
        <v>162</v>
      </c>
      <c r="D62" s="26" t="s">
        <v>163</v>
      </c>
      <c r="E62" s="26" t="s">
        <v>164</v>
      </c>
      <c r="F62" s="27">
        <v>12.0</v>
      </c>
      <c r="G62" s="28">
        <v>0.065</v>
      </c>
      <c r="H62" s="3"/>
      <c r="I62" s="29">
        <v>49.38806098509492</v>
      </c>
      <c r="J62" s="29">
        <f t="shared" si="8"/>
        <v>45.93089672</v>
      </c>
      <c r="K62" s="29">
        <f t="shared" si="2"/>
        <v>48.916405</v>
      </c>
    </row>
    <row r="63" ht="14.25" customHeight="1">
      <c r="A63" s="25" t="s">
        <v>28</v>
      </c>
      <c r="B63" s="25"/>
      <c r="C63" s="25" t="s">
        <v>165</v>
      </c>
      <c r="D63" s="26" t="s">
        <v>166</v>
      </c>
      <c r="E63" s="26" t="s">
        <v>167</v>
      </c>
      <c r="F63" s="27">
        <v>6.0</v>
      </c>
      <c r="G63" s="28">
        <v>0.065</v>
      </c>
      <c r="H63" s="3"/>
      <c r="I63" s="29">
        <v>52.32216047424753</v>
      </c>
      <c r="J63" s="29">
        <f t="shared" si="8"/>
        <v>48.65960924</v>
      </c>
      <c r="K63" s="29">
        <f t="shared" si="2"/>
        <v>51.82248384</v>
      </c>
    </row>
    <row r="64" ht="14.25" customHeight="1">
      <c r="A64" s="25" t="s">
        <v>28</v>
      </c>
      <c r="B64" s="25"/>
      <c r="C64" s="25" t="s">
        <v>75</v>
      </c>
      <c r="D64" s="26" t="s">
        <v>168</v>
      </c>
      <c r="E64" s="26" t="s">
        <v>169</v>
      </c>
      <c r="F64" s="27">
        <v>6.0</v>
      </c>
      <c r="G64" s="28">
        <v>0.06500000000000002</v>
      </c>
      <c r="H64" s="3"/>
      <c r="I64" s="29">
        <v>52.32216047424753</v>
      </c>
      <c r="J64" s="29">
        <f t="shared" si="8"/>
        <v>48.65960924</v>
      </c>
      <c r="K64" s="29">
        <f t="shared" si="2"/>
        <v>51.82248384</v>
      </c>
    </row>
    <row r="65" ht="14.25" customHeight="1">
      <c r="A65" s="25" t="s">
        <v>158</v>
      </c>
      <c r="B65" s="25"/>
      <c r="C65" s="25" t="s">
        <v>170</v>
      </c>
      <c r="D65" s="26" t="s">
        <v>171</v>
      </c>
      <c r="E65" s="26" t="s">
        <v>172</v>
      </c>
      <c r="F65" s="27">
        <v>6.0</v>
      </c>
      <c r="G65" s="28">
        <v>0.065</v>
      </c>
      <c r="H65" s="3"/>
      <c r="I65" s="29">
        <v>75.65970327925533</v>
      </c>
      <c r="J65" s="29">
        <f t="shared" si="8"/>
        <v>70.36352405</v>
      </c>
      <c r="K65" s="29">
        <f t="shared" si="2"/>
        <v>74.93715311</v>
      </c>
    </row>
    <row r="66" ht="14.25" customHeight="1">
      <c r="A66" s="25" t="s">
        <v>110</v>
      </c>
      <c r="B66" s="25"/>
      <c r="C66" s="25" t="s">
        <v>173</v>
      </c>
      <c r="D66" s="26" t="s">
        <v>174</v>
      </c>
      <c r="E66" s="26" t="s">
        <v>175</v>
      </c>
      <c r="F66" s="27">
        <v>6.0</v>
      </c>
      <c r="G66" s="28">
        <v>0.065</v>
      </c>
      <c r="H66" s="3"/>
      <c r="I66" s="29">
        <v>77.62993578716919</v>
      </c>
      <c r="J66" s="29">
        <f t="shared" si="8"/>
        <v>72.19584028</v>
      </c>
      <c r="K66" s="29">
        <f t="shared" si="2"/>
        <v>76.8885699</v>
      </c>
    </row>
    <row r="67" ht="14.25" customHeight="1">
      <c r="A67" s="25" t="s">
        <v>28</v>
      </c>
      <c r="B67" s="25"/>
      <c r="C67" s="25" t="s">
        <v>176</v>
      </c>
      <c r="D67" s="26" t="s">
        <v>177</v>
      </c>
      <c r="E67" s="26" t="s">
        <v>178</v>
      </c>
      <c r="F67" s="27">
        <v>12.0</v>
      </c>
      <c r="G67" s="28">
        <v>0.065</v>
      </c>
      <c r="H67" s="3"/>
      <c r="I67" s="29">
        <v>84.12337813719513</v>
      </c>
      <c r="J67" s="29">
        <f t="shared" si="8"/>
        <v>78.23474167</v>
      </c>
      <c r="K67" s="29">
        <f t="shared" si="2"/>
        <v>83.31999988</v>
      </c>
    </row>
    <row r="68" ht="14.25" customHeight="1">
      <c r="A68" s="25" t="s">
        <v>28</v>
      </c>
      <c r="B68" s="25"/>
      <c r="C68" s="25" t="s">
        <v>179</v>
      </c>
      <c r="D68" s="26" t="s">
        <v>180</v>
      </c>
      <c r="E68" s="26" t="s">
        <v>181</v>
      </c>
      <c r="F68" s="27">
        <v>12.0</v>
      </c>
      <c r="G68" s="28">
        <v>0.065</v>
      </c>
      <c r="H68" s="3"/>
      <c r="I68" s="29">
        <v>106.66772009282052</v>
      </c>
      <c r="J68" s="29">
        <f t="shared" si="8"/>
        <v>99.20097969</v>
      </c>
      <c r="K68" s="29">
        <f t="shared" si="2"/>
        <v>105.6490434</v>
      </c>
    </row>
    <row r="69" ht="14.25" customHeight="1">
      <c r="A69" s="31" t="s">
        <v>28</v>
      </c>
      <c r="B69" s="31"/>
      <c r="C69" s="31" t="s">
        <v>75</v>
      </c>
      <c r="D69" s="32" t="s">
        <v>182</v>
      </c>
      <c r="E69" s="32" t="s">
        <v>183</v>
      </c>
      <c r="F69" s="33">
        <v>6.0</v>
      </c>
      <c r="G69" s="28">
        <v>0.065</v>
      </c>
      <c r="H69" s="3"/>
      <c r="I69" s="34">
        <v>112.70602737391776</v>
      </c>
      <c r="J69" s="34">
        <f>IF(I69&lt;&gt;"",I69-(I69*0.05),"")</f>
        <v>107.070726</v>
      </c>
      <c r="K69" s="34">
        <f t="shared" si="2"/>
        <v>114.0303232</v>
      </c>
    </row>
    <row r="70" ht="14.25" customHeight="1">
      <c r="A70" s="25" t="s">
        <v>28</v>
      </c>
      <c r="B70" s="25"/>
      <c r="C70" s="25" t="s">
        <v>184</v>
      </c>
      <c r="D70" s="26" t="s">
        <v>185</v>
      </c>
      <c r="E70" s="26" t="s">
        <v>186</v>
      </c>
      <c r="F70" s="27">
        <v>12.0</v>
      </c>
      <c r="G70" s="28">
        <v>0.065</v>
      </c>
      <c r="H70" s="3"/>
      <c r="I70" s="29">
        <v>181.63875187710573</v>
      </c>
      <c r="J70" s="29">
        <f t="shared" ref="J70:J79" si="9">IF(I70&lt;&gt;"",I70-(I70*0.07),"")</f>
        <v>168.9240392</v>
      </c>
      <c r="K70" s="29">
        <f t="shared" si="2"/>
        <v>179.9041018</v>
      </c>
    </row>
    <row r="71" ht="14.25" customHeight="1">
      <c r="A71" s="25" t="s">
        <v>28</v>
      </c>
      <c r="B71" s="25"/>
      <c r="C71" s="25" t="s">
        <v>187</v>
      </c>
      <c r="D71" s="26" t="s">
        <v>188</v>
      </c>
      <c r="E71" s="26" t="s">
        <v>189</v>
      </c>
      <c r="F71" s="27">
        <v>6.0</v>
      </c>
      <c r="G71" s="28">
        <v>0.065</v>
      </c>
      <c r="H71" s="3"/>
      <c r="I71" s="29">
        <v>388.0348559981716</v>
      </c>
      <c r="J71" s="29">
        <f t="shared" si="9"/>
        <v>360.8724161</v>
      </c>
      <c r="K71" s="29">
        <f t="shared" si="2"/>
        <v>384.3291231</v>
      </c>
    </row>
    <row r="72" ht="14.25" customHeight="1">
      <c r="A72" s="36"/>
      <c r="B72" s="36"/>
      <c r="C72" s="37"/>
      <c r="D72" s="37"/>
      <c r="E72" s="37"/>
      <c r="F72" s="37"/>
      <c r="G72" s="37"/>
      <c r="H72" s="3"/>
      <c r="I72" s="4"/>
      <c r="J72" s="4" t="str">
        <f t="shared" si="9"/>
        <v/>
      </c>
      <c r="K72" s="4" t="str">
        <f t="shared" si="2"/>
        <v/>
      </c>
    </row>
    <row r="73" ht="14.25" customHeight="1">
      <c r="A73" s="25" t="s">
        <v>190</v>
      </c>
      <c r="B73" s="25"/>
      <c r="C73" s="25" t="s">
        <v>191</v>
      </c>
      <c r="D73" s="26" t="s">
        <v>192</v>
      </c>
      <c r="E73" s="26" t="s">
        <v>193</v>
      </c>
      <c r="F73" s="27">
        <v>12.0</v>
      </c>
      <c r="G73" s="28">
        <v>0.065</v>
      </c>
      <c r="H73" s="3"/>
      <c r="I73" s="29">
        <v>20.457118377944994</v>
      </c>
      <c r="J73" s="29">
        <f t="shared" si="9"/>
        <v>19.02512009</v>
      </c>
      <c r="K73" s="29">
        <f t="shared" si="2"/>
        <v>20.2617529</v>
      </c>
    </row>
    <row r="74" ht="14.25" customHeight="1">
      <c r="A74" s="25" t="s">
        <v>190</v>
      </c>
      <c r="B74" s="25"/>
      <c r="C74" s="25" t="s">
        <v>191</v>
      </c>
      <c r="D74" s="26" t="s">
        <v>194</v>
      </c>
      <c r="E74" s="26" t="s">
        <v>195</v>
      </c>
      <c r="F74" s="27">
        <v>6.0</v>
      </c>
      <c r="G74" s="28">
        <v>0.065</v>
      </c>
      <c r="H74" s="3"/>
      <c r="I74" s="29">
        <v>32.92248242291346</v>
      </c>
      <c r="J74" s="29">
        <f t="shared" si="9"/>
        <v>30.61790865</v>
      </c>
      <c r="K74" s="29">
        <f t="shared" si="2"/>
        <v>32.60807272</v>
      </c>
    </row>
    <row r="75" ht="14.25" customHeight="1">
      <c r="A75" s="25" t="s">
        <v>190</v>
      </c>
      <c r="B75" s="25"/>
      <c r="C75" s="25"/>
      <c r="D75" s="26" t="s">
        <v>196</v>
      </c>
      <c r="E75" s="26" t="s">
        <v>197</v>
      </c>
      <c r="F75" s="27">
        <v>6.0</v>
      </c>
      <c r="G75" s="28">
        <v>0.065</v>
      </c>
      <c r="H75" s="3"/>
      <c r="I75" s="29">
        <v>32.92248242291346</v>
      </c>
      <c r="J75" s="29">
        <f t="shared" si="9"/>
        <v>30.61790865</v>
      </c>
      <c r="K75" s="29">
        <f t="shared" si="2"/>
        <v>32.60807272</v>
      </c>
    </row>
    <row r="76" ht="14.25" customHeight="1">
      <c r="A76" s="25" t="s">
        <v>190</v>
      </c>
      <c r="B76" s="25"/>
      <c r="C76" s="25"/>
      <c r="D76" s="26" t="s">
        <v>198</v>
      </c>
      <c r="E76" s="26" t="s">
        <v>199</v>
      </c>
      <c r="F76" s="27">
        <v>6.0</v>
      </c>
      <c r="G76" s="28">
        <v>0.065</v>
      </c>
      <c r="H76" s="3"/>
      <c r="I76" s="29">
        <v>32.92248242291346</v>
      </c>
      <c r="J76" s="29">
        <f t="shared" si="9"/>
        <v>30.61790865</v>
      </c>
      <c r="K76" s="29">
        <f t="shared" si="2"/>
        <v>32.60807272</v>
      </c>
    </row>
    <row r="77" ht="14.25" customHeight="1">
      <c r="A77" s="25" t="s">
        <v>190</v>
      </c>
      <c r="B77" s="25"/>
      <c r="C77" s="25"/>
      <c r="D77" s="26" t="s">
        <v>200</v>
      </c>
      <c r="E77" s="26" t="s">
        <v>201</v>
      </c>
      <c r="F77" s="27">
        <v>6.0</v>
      </c>
      <c r="G77" s="28">
        <v>0.065</v>
      </c>
      <c r="H77" s="3"/>
      <c r="I77" s="29">
        <v>41.108853527083156</v>
      </c>
      <c r="J77" s="29">
        <f t="shared" si="9"/>
        <v>38.23123378</v>
      </c>
      <c r="K77" s="29">
        <f t="shared" si="2"/>
        <v>40.71626398</v>
      </c>
    </row>
    <row r="78" ht="14.25" customHeight="1">
      <c r="A78" s="25" t="s">
        <v>190</v>
      </c>
      <c r="B78" s="25"/>
      <c r="C78" s="25"/>
      <c r="D78" s="26" t="s">
        <v>202</v>
      </c>
      <c r="E78" s="26" t="s">
        <v>203</v>
      </c>
      <c r="F78" s="27">
        <v>6.0</v>
      </c>
      <c r="G78" s="28">
        <v>0.065</v>
      </c>
      <c r="H78" s="3"/>
      <c r="I78" s="29">
        <v>55.91692276918466</v>
      </c>
      <c r="J78" s="29">
        <f t="shared" si="9"/>
        <v>52.00273818</v>
      </c>
      <c r="K78" s="29">
        <f t="shared" si="2"/>
        <v>55.38291616</v>
      </c>
    </row>
    <row r="79" ht="14.25" customHeight="1">
      <c r="A79" s="25" t="s">
        <v>190</v>
      </c>
      <c r="B79" s="25"/>
      <c r="C79" s="25" t="s">
        <v>191</v>
      </c>
      <c r="D79" s="26" t="s">
        <v>204</v>
      </c>
      <c r="E79" s="26" t="s">
        <v>205</v>
      </c>
      <c r="F79" s="27">
        <v>6.0</v>
      </c>
      <c r="G79" s="28">
        <v>0.065</v>
      </c>
      <c r="H79" s="3"/>
      <c r="I79" s="29">
        <v>72.42014757460943</v>
      </c>
      <c r="J79" s="29">
        <f t="shared" si="9"/>
        <v>67.35073724</v>
      </c>
      <c r="K79" s="29">
        <f t="shared" si="2"/>
        <v>71.72853517</v>
      </c>
    </row>
    <row r="80" ht="14.25" customHeight="1">
      <c r="A80" s="31" t="s">
        <v>190</v>
      </c>
      <c r="B80" s="31"/>
      <c r="C80" s="31"/>
      <c r="D80" s="32" t="s">
        <v>206</v>
      </c>
      <c r="E80" s="32" t="s">
        <v>207</v>
      </c>
      <c r="F80" s="33">
        <v>6.0</v>
      </c>
      <c r="G80" s="28">
        <v>0.065</v>
      </c>
      <c r="H80" s="3"/>
      <c r="I80" s="34">
        <v>114.1045655179767</v>
      </c>
      <c r="J80" s="34">
        <f t="shared" ref="J80:J81" si="10">IF(I80&lt;&gt;"",I80-(I80*0.05),"")</f>
        <v>108.3993372</v>
      </c>
      <c r="K80" s="34">
        <f t="shared" si="2"/>
        <v>115.4452942</v>
      </c>
    </row>
    <row r="81" ht="14.25" customHeight="1">
      <c r="A81" s="31" t="s">
        <v>190</v>
      </c>
      <c r="B81" s="31"/>
      <c r="C81" s="31" t="s">
        <v>191</v>
      </c>
      <c r="D81" s="32" t="s">
        <v>208</v>
      </c>
      <c r="E81" s="32" t="s">
        <v>209</v>
      </c>
      <c r="F81" s="33">
        <v>6.0</v>
      </c>
      <c r="G81" s="28">
        <v>0.065</v>
      </c>
      <c r="H81" s="3"/>
      <c r="I81" s="34">
        <v>190.78687526161264</v>
      </c>
      <c r="J81" s="34">
        <f t="shared" si="10"/>
        <v>181.2475315</v>
      </c>
      <c r="K81" s="34">
        <f t="shared" si="2"/>
        <v>193.028621</v>
      </c>
    </row>
    <row r="82" ht="14.25" customHeight="1">
      <c r="A82" s="36"/>
      <c r="B82" s="36"/>
      <c r="C82" s="37"/>
      <c r="D82" s="37"/>
      <c r="E82" s="37"/>
      <c r="F82" s="37"/>
      <c r="G82" s="37"/>
      <c r="H82" s="3"/>
      <c r="I82" s="4"/>
      <c r="J82" s="4" t="str">
        <f t="shared" ref="J82:J84" si="11">IF(I82&lt;&gt;"",I82-(I82*0.07),"")</f>
        <v/>
      </c>
      <c r="K82" s="4" t="str">
        <f t="shared" si="2"/>
        <v/>
      </c>
    </row>
    <row r="83" ht="14.25" customHeight="1">
      <c r="A83" s="25" t="s">
        <v>110</v>
      </c>
      <c r="B83" s="25"/>
      <c r="C83" s="25" t="s">
        <v>75</v>
      </c>
      <c r="D83" s="26" t="s">
        <v>210</v>
      </c>
      <c r="E83" s="26" t="s">
        <v>211</v>
      </c>
      <c r="F83" s="27">
        <v>6.0</v>
      </c>
      <c r="G83" s="28">
        <v>0.065</v>
      </c>
      <c r="H83" s="3"/>
      <c r="I83" s="29">
        <v>72.69373157360809</v>
      </c>
      <c r="J83" s="29">
        <f t="shared" si="11"/>
        <v>67.60517036</v>
      </c>
      <c r="K83" s="29">
        <f t="shared" si="2"/>
        <v>71.99950644</v>
      </c>
    </row>
    <row r="84" ht="14.25" customHeight="1">
      <c r="A84" s="25" t="s">
        <v>110</v>
      </c>
      <c r="B84" s="25"/>
      <c r="C84" s="25" t="s">
        <v>75</v>
      </c>
      <c r="D84" s="26" t="s">
        <v>212</v>
      </c>
      <c r="E84" s="26" t="s">
        <v>213</v>
      </c>
      <c r="F84" s="27">
        <v>6.0</v>
      </c>
      <c r="G84" s="28">
        <v>0.065</v>
      </c>
      <c r="H84" s="3"/>
      <c r="I84" s="29">
        <v>72.69373157360809</v>
      </c>
      <c r="J84" s="29">
        <f t="shared" si="11"/>
        <v>67.60517036</v>
      </c>
      <c r="K84" s="29">
        <f t="shared" si="2"/>
        <v>71.99950644</v>
      </c>
    </row>
    <row r="85" ht="14.25" customHeight="1">
      <c r="A85" s="31" t="s">
        <v>110</v>
      </c>
      <c r="B85" s="31"/>
      <c r="C85" s="31" t="s">
        <v>75</v>
      </c>
      <c r="D85" s="32" t="s">
        <v>214</v>
      </c>
      <c r="E85" s="32" t="s">
        <v>215</v>
      </c>
      <c r="F85" s="33">
        <v>6.0</v>
      </c>
      <c r="G85" s="28">
        <v>0.065</v>
      </c>
      <c r="H85" s="3"/>
      <c r="I85" s="34">
        <v>78.76578477368967</v>
      </c>
      <c r="J85" s="34">
        <f>IF(I85&lt;&gt;"",I85-(I85*0.05),"")</f>
        <v>74.82749554</v>
      </c>
      <c r="K85" s="34">
        <f t="shared" si="2"/>
        <v>79.69128274</v>
      </c>
    </row>
    <row r="86" ht="14.25" customHeight="1">
      <c r="A86" s="25" t="s">
        <v>32</v>
      </c>
      <c r="B86" s="25"/>
      <c r="C86" s="25" t="s">
        <v>75</v>
      </c>
      <c r="D86" s="26" t="s">
        <v>216</v>
      </c>
      <c r="E86" s="26" t="s">
        <v>217</v>
      </c>
      <c r="F86" s="27">
        <v>6.0</v>
      </c>
      <c r="G86" s="28">
        <v>0.065</v>
      </c>
      <c r="H86" s="3"/>
      <c r="I86" s="29">
        <v>92.60540712235321</v>
      </c>
      <c r="J86" s="29">
        <f>IF(I86&lt;&gt;"",I86-(I86*0.07),"")</f>
        <v>86.12302862</v>
      </c>
      <c r="K86" s="29">
        <f t="shared" si="2"/>
        <v>91.72102548</v>
      </c>
    </row>
    <row r="87" ht="14.25" customHeight="1">
      <c r="A87" s="31" t="s">
        <v>218</v>
      </c>
      <c r="B87" s="31"/>
      <c r="C87" s="31" t="s">
        <v>75</v>
      </c>
      <c r="D87" s="32" t="s">
        <v>219</v>
      </c>
      <c r="E87" s="32" t="s">
        <v>220</v>
      </c>
      <c r="F87" s="33">
        <v>6.0</v>
      </c>
      <c r="G87" s="28">
        <v>0.065</v>
      </c>
      <c r="H87" s="3"/>
      <c r="I87" s="34">
        <v>90.23690511258431</v>
      </c>
      <c r="J87" s="34">
        <f t="shared" ref="J87:J91" si="12">IF(I87&lt;&gt;"",I87-(I87*0.05),"")</f>
        <v>85.72505986</v>
      </c>
      <c r="K87" s="34">
        <f t="shared" si="2"/>
        <v>91.29718875</v>
      </c>
    </row>
    <row r="88" ht="14.25" customHeight="1">
      <c r="A88" s="31" t="s">
        <v>32</v>
      </c>
      <c r="B88" s="31"/>
      <c r="C88" s="31" t="s">
        <v>75</v>
      </c>
      <c r="D88" s="32" t="s">
        <v>221</v>
      </c>
      <c r="E88" s="32" t="s">
        <v>222</v>
      </c>
      <c r="F88" s="33">
        <v>6.0</v>
      </c>
      <c r="G88" s="28">
        <v>0.065</v>
      </c>
      <c r="H88" s="3"/>
      <c r="I88" s="34">
        <v>93.76449991938247</v>
      </c>
      <c r="J88" s="34">
        <f t="shared" si="12"/>
        <v>89.07627492</v>
      </c>
      <c r="K88" s="34">
        <f t="shared" si="2"/>
        <v>94.86623279</v>
      </c>
    </row>
    <row r="89" ht="14.25" customHeight="1">
      <c r="A89" s="31" t="s">
        <v>32</v>
      </c>
      <c r="B89" s="31"/>
      <c r="C89" s="31" t="s">
        <v>75</v>
      </c>
      <c r="D89" s="32" t="s">
        <v>223</v>
      </c>
      <c r="E89" s="32" t="s">
        <v>224</v>
      </c>
      <c r="F89" s="33">
        <v>6.0</v>
      </c>
      <c r="G89" s="28">
        <v>0.065</v>
      </c>
      <c r="H89" s="3"/>
      <c r="I89" s="34">
        <v>188.99668526933058</v>
      </c>
      <c r="J89" s="34">
        <f t="shared" si="12"/>
        <v>179.546851</v>
      </c>
      <c r="K89" s="34">
        <f t="shared" si="2"/>
        <v>191.2173963</v>
      </c>
    </row>
    <row r="90" ht="14.25" customHeight="1">
      <c r="A90" s="31" t="s">
        <v>32</v>
      </c>
      <c r="B90" s="31"/>
      <c r="C90" s="31" t="s">
        <v>75</v>
      </c>
      <c r="D90" s="32" t="s">
        <v>225</v>
      </c>
      <c r="E90" s="32" t="s">
        <v>226</v>
      </c>
      <c r="F90" s="33">
        <v>6.0</v>
      </c>
      <c r="G90" s="28">
        <v>0.065</v>
      </c>
      <c r="H90" s="3"/>
      <c r="I90" s="34">
        <v>214.59105926901924</v>
      </c>
      <c r="J90" s="34">
        <f t="shared" si="12"/>
        <v>203.8615063</v>
      </c>
      <c r="K90" s="34">
        <f t="shared" si="2"/>
        <v>217.1125042</v>
      </c>
    </row>
    <row r="91" ht="14.25" customHeight="1">
      <c r="A91" s="31" t="s">
        <v>218</v>
      </c>
      <c r="B91" s="31"/>
      <c r="C91" s="31" t="s">
        <v>75</v>
      </c>
      <c r="D91" s="32" t="s">
        <v>227</v>
      </c>
      <c r="E91" s="32" t="s">
        <v>228</v>
      </c>
      <c r="F91" s="33">
        <v>6.0</v>
      </c>
      <c r="G91" s="28">
        <v>0.065</v>
      </c>
      <c r="H91" s="3"/>
      <c r="I91" s="34">
        <v>271.4831813538402</v>
      </c>
      <c r="J91" s="34">
        <f t="shared" si="12"/>
        <v>257.9090223</v>
      </c>
      <c r="K91" s="34">
        <f t="shared" si="2"/>
        <v>274.6731087</v>
      </c>
    </row>
    <row r="92" ht="14.25" customHeight="1">
      <c r="A92" s="36"/>
      <c r="B92" s="36"/>
      <c r="C92" s="3"/>
      <c r="D92" s="3"/>
      <c r="E92" s="3"/>
      <c r="F92" s="3"/>
      <c r="G92" s="3"/>
      <c r="H92" s="3"/>
      <c r="I92" s="4"/>
      <c r="J92" s="4" t="str">
        <f t="shared" ref="J92:J94" si="13">IF(I92&lt;&gt;"",I92-(I92*0.07),"")</f>
        <v/>
      </c>
      <c r="K92" s="4" t="str">
        <f t="shared" si="2"/>
        <v/>
      </c>
    </row>
    <row r="93" ht="14.25" customHeight="1">
      <c r="A93" s="25" t="s">
        <v>229</v>
      </c>
      <c r="B93" s="25"/>
      <c r="C93" s="25" t="s">
        <v>75</v>
      </c>
      <c r="D93" s="26" t="s">
        <v>230</v>
      </c>
      <c r="E93" s="26" t="s">
        <v>231</v>
      </c>
      <c r="F93" s="27">
        <v>6.0</v>
      </c>
      <c r="G93" s="28">
        <v>0.065</v>
      </c>
      <c r="H93" s="3"/>
      <c r="I93" s="29">
        <v>24.691861817185096</v>
      </c>
      <c r="J93" s="29">
        <f t="shared" si="13"/>
        <v>22.96343149</v>
      </c>
      <c r="K93" s="29">
        <f t="shared" si="2"/>
        <v>24.45605454</v>
      </c>
    </row>
    <row r="94" ht="14.25" customHeight="1">
      <c r="A94" s="36"/>
      <c r="B94" s="36"/>
      <c r="C94" s="36"/>
      <c r="D94" s="3"/>
      <c r="E94" s="3"/>
      <c r="F94" s="37"/>
      <c r="G94" s="38"/>
      <c r="H94" s="3"/>
      <c r="I94" s="4"/>
      <c r="J94" s="4" t="str">
        <f t="shared" si="13"/>
        <v/>
      </c>
      <c r="K94" s="4" t="str">
        <f t="shared" si="2"/>
        <v/>
      </c>
    </row>
    <row r="95" ht="14.25" customHeight="1">
      <c r="A95" s="31" t="s">
        <v>28</v>
      </c>
      <c r="B95" s="31"/>
      <c r="C95" s="31" t="s">
        <v>232</v>
      </c>
      <c r="D95" s="32" t="s">
        <v>233</v>
      </c>
      <c r="E95" s="32" t="s">
        <v>234</v>
      </c>
      <c r="F95" s="33">
        <v>6.0</v>
      </c>
      <c r="G95" s="28">
        <v>0.065</v>
      </c>
      <c r="H95" s="3"/>
      <c r="I95" s="34">
        <v>669.0185210418445</v>
      </c>
      <c r="J95" s="34">
        <f t="shared" ref="J95:J98" si="14">IF(I95&lt;&gt;"",I95-(I95*0.05),"")</f>
        <v>635.567595</v>
      </c>
      <c r="K95" s="34">
        <f t="shared" si="2"/>
        <v>676.8794887</v>
      </c>
    </row>
    <row r="96" ht="14.25" customHeight="1">
      <c r="A96" s="31" t="s">
        <v>110</v>
      </c>
      <c r="B96" s="31"/>
      <c r="C96" s="31" t="s">
        <v>75</v>
      </c>
      <c r="D96" s="32" t="s">
        <v>235</v>
      </c>
      <c r="E96" s="32" t="s">
        <v>236</v>
      </c>
      <c r="F96" s="33">
        <v>12.0</v>
      </c>
      <c r="G96" s="28">
        <v>0.065</v>
      </c>
      <c r="H96" s="3"/>
      <c r="I96" s="34">
        <v>112.70602737391776</v>
      </c>
      <c r="J96" s="34">
        <f t="shared" si="14"/>
        <v>107.070726</v>
      </c>
      <c r="K96" s="34">
        <f t="shared" si="2"/>
        <v>114.0303232</v>
      </c>
    </row>
    <row r="97" ht="14.25" customHeight="1">
      <c r="A97" s="31" t="s">
        <v>110</v>
      </c>
      <c r="B97" s="31"/>
      <c r="C97" s="31" t="s">
        <v>75</v>
      </c>
      <c r="D97" s="32" t="s">
        <v>237</v>
      </c>
      <c r="E97" s="32" t="s">
        <v>238</v>
      </c>
      <c r="F97" s="33">
        <v>12.0</v>
      </c>
      <c r="G97" s="28">
        <v>0.065</v>
      </c>
      <c r="H97" s="3"/>
      <c r="I97" s="34">
        <v>118.01403463185774</v>
      </c>
      <c r="J97" s="34">
        <f t="shared" si="14"/>
        <v>112.1133329</v>
      </c>
      <c r="K97" s="34">
        <f t="shared" si="2"/>
        <v>119.4006995</v>
      </c>
    </row>
    <row r="98" ht="14.25" customHeight="1">
      <c r="A98" s="31" t="s">
        <v>28</v>
      </c>
      <c r="B98" s="31"/>
      <c r="C98" s="31" t="s">
        <v>75</v>
      </c>
      <c r="D98" s="32" t="s">
        <v>239</v>
      </c>
      <c r="E98" s="32" t="s">
        <v>240</v>
      </c>
      <c r="F98" s="33">
        <v>12.0</v>
      </c>
      <c r="G98" s="28">
        <v>0.065</v>
      </c>
      <c r="H98" s="3"/>
      <c r="I98" s="34">
        <v>249.21311556809633</v>
      </c>
      <c r="J98" s="34">
        <f t="shared" si="14"/>
        <v>236.7524598</v>
      </c>
      <c r="K98" s="34">
        <f t="shared" si="2"/>
        <v>252.1413697</v>
      </c>
    </row>
    <row r="99" ht="14.25" customHeight="1">
      <c r="A99" s="36"/>
      <c r="B99" s="36"/>
      <c r="C99" s="36"/>
      <c r="D99" s="3"/>
      <c r="E99" s="3"/>
      <c r="F99" s="37"/>
      <c r="G99" s="38"/>
      <c r="H99" s="3"/>
      <c r="I99" s="4"/>
      <c r="J99" s="4" t="str">
        <f t="shared" ref="J99:J100" si="15">IF(I99&lt;&gt;"",I99-(I99*0.07),"")</f>
        <v/>
      </c>
      <c r="K99" s="4" t="str">
        <f t="shared" si="2"/>
        <v/>
      </c>
    </row>
    <row r="100" ht="14.25" customHeight="1">
      <c r="A100" s="40"/>
      <c r="B100" s="40"/>
      <c r="C100" s="40"/>
      <c r="D100" s="40"/>
      <c r="E100" s="40"/>
      <c r="F100" s="40"/>
      <c r="G100" s="40"/>
      <c r="H100" s="3"/>
      <c r="I100" s="4"/>
      <c r="J100" s="4" t="str">
        <f t="shared" si="15"/>
        <v/>
      </c>
      <c r="K100" s="4" t="str">
        <f t="shared" si="2"/>
        <v/>
      </c>
    </row>
    <row r="101" ht="14.25" customHeight="1">
      <c r="A101" s="31" t="s">
        <v>241</v>
      </c>
      <c r="B101" s="31"/>
      <c r="C101" s="31" t="s">
        <v>242</v>
      </c>
      <c r="D101" s="32" t="s">
        <v>243</v>
      </c>
      <c r="E101" s="32" t="s">
        <v>244</v>
      </c>
      <c r="F101" s="33">
        <v>6.0</v>
      </c>
      <c r="G101" s="28">
        <v>0.065</v>
      </c>
      <c r="H101" s="3"/>
      <c r="I101" s="34">
        <v>100.83441449088225</v>
      </c>
      <c r="J101" s="34">
        <f t="shared" ref="J101:J103" si="16">IF(I101&lt;&gt;"",I101-(I101*0.05),"")</f>
        <v>95.79269377</v>
      </c>
      <c r="K101" s="34">
        <f t="shared" si="2"/>
        <v>102.0192189</v>
      </c>
    </row>
    <row r="102" ht="14.25" customHeight="1">
      <c r="A102" s="31" t="s">
        <v>241</v>
      </c>
      <c r="B102" s="31"/>
      <c r="C102" s="31" t="s">
        <v>245</v>
      </c>
      <c r="D102" s="32" t="s">
        <v>246</v>
      </c>
      <c r="E102" s="32" t="s">
        <v>247</v>
      </c>
      <c r="F102" s="33">
        <v>6.0</v>
      </c>
      <c r="G102" s="28">
        <v>0.065</v>
      </c>
      <c r="H102" s="3"/>
      <c r="I102" s="34">
        <v>237.98252580674534</v>
      </c>
      <c r="J102" s="34">
        <f t="shared" si="16"/>
        <v>226.0833995</v>
      </c>
      <c r="K102" s="34">
        <f t="shared" si="2"/>
        <v>240.7788205</v>
      </c>
    </row>
    <row r="103" ht="14.25" customHeight="1">
      <c r="A103" s="31" t="s">
        <v>241</v>
      </c>
      <c r="B103" s="31"/>
      <c r="C103" s="31" t="s">
        <v>248</v>
      </c>
      <c r="D103" s="32" t="s">
        <v>249</v>
      </c>
      <c r="E103" s="32" t="s">
        <v>250</v>
      </c>
      <c r="F103" s="33">
        <v>6.0</v>
      </c>
      <c r="G103" s="28">
        <v>0.065</v>
      </c>
      <c r="H103" s="3"/>
      <c r="I103" s="34">
        <v>375.10474702751077</v>
      </c>
      <c r="J103" s="34">
        <f t="shared" si="16"/>
        <v>356.3495097</v>
      </c>
      <c r="K103" s="34">
        <f t="shared" si="2"/>
        <v>379.5122278</v>
      </c>
    </row>
    <row r="104" ht="14.25" customHeight="1">
      <c r="A104" s="36"/>
      <c r="B104" s="36"/>
      <c r="C104" s="3"/>
      <c r="D104" s="3"/>
      <c r="E104" s="3"/>
      <c r="F104" s="3"/>
      <c r="G104" s="3"/>
      <c r="H104" s="3"/>
      <c r="I104" s="4"/>
      <c r="J104" s="4" t="str">
        <f t="shared" ref="J104:J106" si="17">IF(I104&lt;&gt;"",I104-(I104*0.07),"")</f>
        <v/>
      </c>
      <c r="K104" s="4" t="str">
        <f t="shared" si="2"/>
        <v/>
      </c>
    </row>
    <row r="105" ht="14.25" customHeight="1">
      <c r="A105" s="40"/>
      <c r="B105" s="40"/>
      <c r="C105" s="40"/>
      <c r="D105" s="40"/>
      <c r="E105" s="40"/>
      <c r="F105" s="40"/>
      <c r="G105" s="40"/>
      <c r="H105" s="3"/>
      <c r="I105" s="4"/>
      <c r="J105" s="4" t="str">
        <f t="shared" si="17"/>
        <v/>
      </c>
      <c r="K105" s="4" t="str">
        <f t="shared" si="2"/>
        <v/>
      </c>
    </row>
    <row r="106" ht="14.25" customHeight="1">
      <c r="A106" s="25" t="s">
        <v>251</v>
      </c>
      <c r="B106" s="25" t="s">
        <v>252</v>
      </c>
      <c r="C106" s="25" t="s">
        <v>253</v>
      </c>
      <c r="D106" s="26" t="s">
        <v>254</v>
      </c>
      <c r="E106" s="26" t="s">
        <v>255</v>
      </c>
      <c r="F106" s="27">
        <v>6.0</v>
      </c>
      <c r="G106" s="28">
        <v>0.065</v>
      </c>
      <c r="H106" s="3"/>
      <c r="I106" s="29">
        <v>64.49042744213806</v>
      </c>
      <c r="J106" s="29">
        <f t="shared" si="17"/>
        <v>59.97609752</v>
      </c>
      <c r="K106" s="29">
        <f t="shared" si="2"/>
        <v>63.87454386</v>
      </c>
    </row>
    <row r="107" ht="14.25" customHeight="1">
      <c r="A107" s="31" t="s">
        <v>256</v>
      </c>
      <c r="B107" s="31"/>
      <c r="C107" s="31" t="s">
        <v>257</v>
      </c>
      <c r="D107" s="32" t="s">
        <v>258</v>
      </c>
      <c r="E107" s="32" t="s">
        <v>259</v>
      </c>
      <c r="F107" s="33">
        <v>6.0</v>
      </c>
      <c r="G107" s="28">
        <v>0.065</v>
      </c>
      <c r="H107" s="3"/>
      <c r="I107" s="34">
        <v>93.99623972420862</v>
      </c>
      <c r="J107" s="34">
        <f t="shared" ref="J107:J114" si="18">IF(I107&lt;&gt;"",I107-(I107*0.05),"")</f>
        <v>89.29642774</v>
      </c>
      <c r="K107" s="34">
        <f t="shared" si="2"/>
        <v>95.10069554</v>
      </c>
    </row>
    <row r="108" ht="14.25" customHeight="1">
      <c r="A108" s="31" t="s">
        <v>256</v>
      </c>
      <c r="B108" s="31" t="s">
        <v>260</v>
      </c>
      <c r="C108" s="31" t="s">
        <v>261</v>
      </c>
      <c r="D108" s="32" t="s">
        <v>262</v>
      </c>
      <c r="E108" s="32" t="s">
        <v>263</v>
      </c>
      <c r="F108" s="33">
        <v>6.0</v>
      </c>
      <c r="G108" s="28">
        <v>0.065</v>
      </c>
      <c r="H108" s="3"/>
      <c r="I108" s="34">
        <v>108.2868610218215</v>
      </c>
      <c r="J108" s="34">
        <f t="shared" si="18"/>
        <v>102.872518</v>
      </c>
      <c r="K108" s="34">
        <f t="shared" si="2"/>
        <v>109.5592316</v>
      </c>
    </row>
    <row r="109" ht="14.25" customHeight="1">
      <c r="A109" s="31" t="s">
        <v>256</v>
      </c>
      <c r="B109" s="31" t="s">
        <v>264</v>
      </c>
      <c r="C109" s="31" t="s">
        <v>265</v>
      </c>
      <c r="D109" s="32" t="s">
        <v>266</v>
      </c>
      <c r="E109" s="32" t="s">
        <v>267</v>
      </c>
      <c r="F109" s="33">
        <v>6.0</v>
      </c>
      <c r="G109" s="28">
        <v>0.065</v>
      </c>
      <c r="H109" s="3"/>
      <c r="I109" s="34">
        <v>109.87041635480018</v>
      </c>
      <c r="J109" s="34">
        <f t="shared" si="18"/>
        <v>104.3768955</v>
      </c>
      <c r="K109" s="34">
        <f t="shared" si="2"/>
        <v>111.1613937</v>
      </c>
    </row>
    <row r="110" ht="14.25" customHeight="1">
      <c r="A110" s="31" t="s">
        <v>256</v>
      </c>
      <c r="B110" s="31" t="s">
        <v>260</v>
      </c>
      <c r="C110" s="31" t="s">
        <v>268</v>
      </c>
      <c r="D110" s="32" t="s">
        <v>269</v>
      </c>
      <c r="E110" s="32" t="s">
        <v>270</v>
      </c>
      <c r="F110" s="33">
        <v>6.0</v>
      </c>
      <c r="G110" s="28">
        <v>0.065</v>
      </c>
      <c r="H110" s="3"/>
      <c r="I110" s="34">
        <v>128.66708941292165</v>
      </c>
      <c r="J110" s="34">
        <f t="shared" si="18"/>
        <v>122.2337349</v>
      </c>
      <c r="K110" s="34">
        <f t="shared" si="2"/>
        <v>130.1789277</v>
      </c>
    </row>
    <row r="111" ht="14.25" customHeight="1">
      <c r="A111" s="31" t="s">
        <v>256</v>
      </c>
      <c r="B111" s="31" t="s">
        <v>271</v>
      </c>
      <c r="C111" s="31" t="s">
        <v>272</v>
      </c>
      <c r="D111" s="32" t="s">
        <v>273</v>
      </c>
      <c r="E111" s="32" t="s">
        <v>274</v>
      </c>
      <c r="F111" s="33">
        <v>6.0</v>
      </c>
      <c r="G111" s="28">
        <v>0.065</v>
      </c>
      <c r="H111" s="3"/>
      <c r="I111" s="34">
        <v>145.6227184660353</v>
      </c>
      <c r="J111" s="34">
        <f t="shared" si="18"/>
        <v>138.3415825</v>
      </c>
      <c r="K111" s="34">
        <f t="shared" si="2"/>
        <v>147.3337854</v>
      </c>
    </row>
    <row r="112" ht="14.25" customHeight="1">
      <c r="A112" s="31" t="s">
        <v>256</v>
      </c>
      <c r="B112" s="31" t="s">
        <v>275</v>
      </c>
      <c r="C112" s="31" t="s">
        <v>276</v>
      </c>
      <c r="D112" s="32" t="s">
        <v>277</v>
      </c>
      <c r="E112" s="32" t="s">
        <v>278</v>
      </c>
      <c r="F112" s="33">
        <v>6.0</v>
      </c>
      <c r="G112" s="28">
        <v>0.065</v>
      </c>
      <c r="H112" s="3"/>
      <c r="I112" s="34">
        <v>186.13856100980803</v>
      </c>
      <c r="J112" s="34">
        <f t="shared" si="18"/>
        <v>176.831633</v>
      </c>
      <c r="K112" s="34">
        <f t="shared" si="2"/>
        <v>188.3256891</v>
      </c>
    </row>
    <row r="113" ht="14.25" customHeight="1">
      <c r="A113" s="31" t="s">
        <v>256</v>
      </c>
      <c r="B113" s="31" t="s">
        <v>279</v>
      </c>
      <c r="C113" s="31" t="s">
        <v>280</v>
      </c>
      <c r="D113" s="32" t="s">
        <v>281</v>
      </c>
      <c r="E113" s="32" t="s">
        <v>282</v>
      </c>
      <c r="F113" s="33">
        <v>12.0</v>
      </c>
      <c r="G113" s="28">
        <v>0.065</v>
      </c>
      <c r="H113" s="3"/>
      <c r="I113" s="34">
        <v>238.89798990856255</v>
      </c>
      <c r="J113" s="34">
        <f t="shared" si="18"/>
        <v>226.9530904</v>
      </c>
      <c r="K113" s="34">
        <f t="shared" si="2"/>
        <v>241.7050413</v>
      </c>
    </row>
    <row r="114" ht="14.25" customHeight="1">
      <c r="A114" s="31" t="s">
        <v>256</v>
      </c>
      <c r="B114" s="31" t="s">
        <v>283</v>
      </c>
      <c r="C114" s="31" t="s">
        <v>284</v>
      </c>
      <c r="D114" s="32" t="s">
        <v>285</v>
      </c>
      <c r="E114" s="32" t="s">
        <v>286</v>
      </c>
      <c r="F114" s="33">
        <v>6.0</v>
      </c>
      <c r="G114" s="28">
        <v>0.065</v>
      </c>
      <c r="H114" s="3"/>
      <c r="I114" s="34">
        <v>255.42876265282825</v>
      </c>
      <c r="J114" s="34">
        <f t="shared" si="18"/>
        <v>242.6573245</v>
      </c>
      <c r="K114" s="34">
        <f t="shared" si="2"/>
        <v>258.4300506</v>
      </c>
    </row>
    <row r="115" ht="14.25" customHeight="1">
      <c r="A115" s="25" t="s">
        <v>287</v>
      </c>
      <c r="B115" s="25" t="s">
        <v>288</v>
      </c>
      <c r="C115" s="25" t="s">
        <v>289</v>
      </c>
      <c r="D115" s="26" t="s">
        <v>290</v>
      </c>
      <c r="E115" s="26" t="s">
        <v>291</v>
      </c>
      <c r="F115" s="27">
        <v>6.0</v>
      </c>
      <c r="G115" s="28">
        <v>0.065</v>
      </c>
      <c r="H115" s="3"/>
      <c r="I115" s="29">
        <v>60.785835332187354</v>
      </c>
      <c r="J115" s="29">
        <f t="shared" ref="J115:J127" si="19">IF(I115&lt;&gt;"",I115-(I115*0.07),"")</f>
        <v>56.53082686</v>
      </c>
      <c r="K115" s="29">
        <f t="shared" si="2"/>
        <v>60.2053306</v>
      </c>
    </row>
    <row r="116" ht="14.25" customHeight="1">
      <c r="A116" s="25" t="s">
        <v>292</v>
      </c>
      <c r="B116" s="25" t="s">
        <v>293</v>
      </c>
      <c r="C116" s="25" t="s">
        <v>294</v>
      </c>
      <c r="D116" s="26" t="s">
        <v>295</v>
      </c>
      <c r="E116" s="26" t="s">
        <v>296</v>
      </c>
      <c r="F116" s="27">
        <v>6.0</v>
      </c>
      <c r="G116" s="28">
        <v>0.065</v>
      </c>
      <c r="H116" s="3"/>
      <c r="I116" s="29">
        <v>60.785835332187354</v>
      </c>
      <c r="J116" s="29">
        <f t="shared" si="19"/>
        <v>56.53082686</v>
      </c>
      <c r="K116" s="29">
        <f t="shared" si="2"/>
        <v>60.2053306</v>
      </c>
    </row>
    <row r="117" ht="14.25" customHeight="1">
      <c r="A117" s="25" t="s">
        <v>297</v>
      </c>
      <c r="B117" s="25" t="s">
        <v>293</v>
      </c>
      <c r="C117" s="25" t="s">
        <v>298</v>
      </c>
      <c r="D117" s="26" t="s">
        <v>299</v>
      </c>
      <c r="E117" s="26" t="s">
        <v>300</v>
      </c>
      <c r="F117" s="27">
        <v>6.0</v>
      </c>
      <c r="G117" s="28">
        <v>0.065</v>
      </c>
      <c r="H117" s="3"/>
      <c r="I117" s="29">
        <v>60.785835332187354</v>
      </c>
      <c r="J117" s="29">
        <f t="shared" si="19"/>
        <v>56.53082686</v>
      </c>
      <c r="K117" s="29">
        <f t="shared" si="2"/>
        <v>60.2053306</v>
      </c>
    </row>
    <row r="118" ht="14.25" customHeight="1">
      <c r="A118" s="25" t="s">
        <v>301</v>
      </c>
      <c r="B118" s="25" t="s">
        <v>302</v>
      </c>
      <c r="C118" s="25" t="s">
        <v>303</v>
      </c>
      <c r="D118" s="26" t="s">
        <v>304</v>
      </c>
      <c r="E118" s="26" t="s">
        <v>305</v>
      </c>
      <c r="F118" s="27">
        <v>6.0</v>
      </c>
      <c r="G118" s="28">
        <v>0.065</v>
      </c>
      <c r="H118" s="3"/>
      <c r="I118" s="29">
        <v>76.60319490276338</v>
      </c>
      <c r="J118" s="29">
        <f t="shared" si="19"/>
        <v>71.24097126</v>
      </c>
      <c r="K118" s="29">
        <f t="shared" si="2"/>
        <v>75.87163439</v>
      </c>
    </row>
    <row r="119" ht="14.25" customHeight="1">
      <c r="A119" s="25" t="s">
        <v>256</v>
      </c>
      <c r="B119" s="25"/>
      <c r="C119" s="25" t="s">
        <v>306</v>
      </c>
      <c r="D119" s="26" t="s">
        <v>307</v>
      </c>
      <c r="E119" s="26" t="s">
        <v>308</v>
      </c>
      <c r="F119" s="27">
        <v>6.0</v>
      </c>
      <c r="G119" s="28">
        <v>0.065</v>
      </c>
      <c r="H119" s="3"/>
      <c r="I119" s="29">
        <v>81.70914957115984</v>
      </c>
      <c r="J119" s="29">
        <f t="shared" si="19"/>
        <v>75.9895091</v>
      </c>
      <c r="K119" s="29">
        <f t="shared" si="2"/>
        <v>80.92882719</v>
      </c>
    </row>
    <row r="120" ht="14.25" customHeight="1">
      <c r="A120" s="25" t="s">
        <v>256</v>
      </c>
      <c r="B120" s="25"/>
      <c r="C120" s="25" t="s">
        <v>309</v>
      </c>
      <c r="D120" s="26" t="s">
        <v>310</v>
      </c>
      <c r="E120" s="26" t="s">
        <v>311</v>
      </c>
      <c r="F120" s="27">
        <v>6.0</v>
      </c>
      <c r="G120" s="28">
        <v>0.065</v>
      </c>
      <c r="H120" s="3"/>
      <c r="I120" s="29">
        <v>81.70914957115984</v>
      </c>
      <c r="J120" s="29">
        <f t="shared" si="19"/>
        <v>75.9895091</v>
      </c>
      <c r="K120" s="29">
        <f t="shared" si="2"/>
        <v>80.92882719</v>
      </c>
    </row>
    <row r="121" ht="14.25" customHeight="1">
      <c r="A121" s="25" t="s">
        <v>312</v>
      </c>
      <c r="B121" s="25" t="s">
        <v>313</v>
      </c>
      <c r="C121" s="25" t="s">
        <v>314</v>
      </c>
      <c r="D121" s="26" t="s">
        <v>315</v>
      </c>
      <c r="E121" s="26" t="s">
        <v>316</v>
      </c>
      <c r="F121" s="27">
        <v>6.0</v>
      </c>
      <c r="G121" s="28">
        <v>0.065</v>
      </c>
      <c r="H121" s="3"/>
      <c r="I121" s="29">
        <v>108.2934135511806</v>
      </c>
      <c r="J121" s="29">
        <f t="shared" si="19"/>
        <v>100.7128746</v>
      </c>
      <c r="K121" s="29">
        <f t="shared" si="2"/>
        <v>107.2592115</v>
      </c>
    </row>
    <row r="122" ht="14.25" customHeight="1">
      <c r="A122" s="25" t="s">
        <v>256</v>
      </c>
      <c r="B122" s="25" t="s">
        <v>260</v>
      </c>
      <c r="C122" s="25" t="s">
        <v>317</v>
      </c>
      <c r="D122" s="26" t="s">
        <v>318</v>
      </c>
      <c r="E122" s="26" t="s">
        <v>319</v>
      </c>
      <c r="F122" s="27">
        <v>6.0</v>
      </c>
      <c r="G122" s="28">
        <v>0.065</v>
      </c>
      <c r="H122" s="3"/>
      <c r="I122" s="29">
        <v>108.93165788473017</v>
      </c>
      <c r="J122" s="29">
        <f t="shared" si="19"/>
        <v>101.3064418</v>
      </c>
      <c r="K122" s="29">
        <f t="shared" si="2"/>
        <v>107.8913606</v>
      </c>
    </row>
    <row r="123" ht="14.25" customHeight="1">
      <c r="A123" s="25" t="s">
        <v>256</v>
      </c>
      <c r="B123" s="25" t="s">
        <v>271</v>
      </c>
      <c r="C123" s="25" t="s">
        <v>320</v>
      </c>
      <c r="D123" s="26" t="s">
        <v>321</v>
      </c>
      <c r="E123" s="26" t="s">
        <v>322</v>
      </c>
      <c r="F123" s="27">
        <v>6.0</v>
      </c>
      <c r="G123" s="28">
        <v>0.065</v>
      </c>
      <c r="H123" s="3"/>
      <c r="I123" s="29">
        <v>129.43872581921383</v>
      </c>
      <c r="J123" s="29">
        <f t="shared" si="19"/>
        <v>120.378015</v>
      </c>
      <c r="K123" s="29">
        <f t="shared" si="2"/>
        <v>128.202586</v>
      </c>
    </row>
    <row r="124" ht="14.25" customHeight="1">
      <c r="A124" s="25" t="s">
        <v>323</v>
      </c>
      <c r="B124" s="25" t="s">
        <v>324</v>
      </c>
      <c r="C124" s="25" t="s">
        <v>325</v>
      </c>
      <c r="D124" s="26" t="s">
        <v>326</v>
      </c>
      <c r="E124" s="26" t="s">
        <v>327</v>
      </c>
      <c r="F124" s="27">
        <v>12.0</v>
      </c>
      <c r="G124" s="28">
        <v>0.065</v>
      </c>
      <c r="H124" s="3"/>
      <c r="I124" s="29">
        <v>197.27299857407894</v>
      </c>
      <c r="J124" s="29">
        <f t="shared" si="19"/>
        <v>183.4638887</v>
      </c>
      <c r="K124" s="29">
        <f t="shared" si="2"/>
        <v>195.3890414</v>
      </c>
    </row>
    <row r="125" ht="14.25" customHeight="1">
      <c r="A125" s="25" t="s">
        <v>256</v>
      </c>
      <c r="B125" s="25" t="s">
        <v>283</v>
      </c>
      <c r="C125" s="25" t="s">
        <v>328</v>
      </c>
      <c r="D125" s="26" t="s">
        <v>329</v>
      </c>
      <c r="E125" s="26" t="s">
        <v>330</v>
      </c>
      <c r="F125" s="27">
        <v>6.0</v>
      </c>
      <c r="G125" s="28">
        <v>0.065</v>
      </c>
      <c r="H125" s="3"/>
      <c r="I125" s="29">
        <v>223.21901822055005</v>
      </c>
      <c r="J125" s="29">
        <f t="shared" si="19"/>
        <v>207.5936869</v>
      </c>
      <c r="K125" s="29">
        <f t="shared" si="2"/>
        <v>221.0872766</v>
      </c>
    </row>
    <row r="126" ht="14.25" customHeight="1">
      <c r="A126" s="25" t="s">
        <v>301</v>
      </c>
      <c r="B126" s="25" t="s">
        <v>331</v>
      </c>
      <c r="C126" s="25" t="s">
        <v>332</v>
      </c>
      <c r="D126" s="26" t="s">
        <v>333</v>
      </c>
      <c r="E126" s="26" t="s">
        <v>334</v>
      </c>
      <c r="F126" s="27">
        <v>12.0</v>
      </c>
      <c r="G126" s="28">
        <v>0.065</v>
      </c>
      <c r="H126" s="3"/>
      <c r="I126" s="29">
        <v>274.4589383031267</v>
      </c>
      <c r="J126" s="29">
        <f t="shared" si="19"/>
        <v>255.2468126</v>
      </c>
      <c r="K126" s="29">
        <f t="shared" si="2"/>
        <v>271.8378554</v>
      </c>
    </row>
    <row r="127" ht="14.25" customHeight="1">
      <c r="A127" s="36"/>
      <c r="B127" s="36"/>
      <c r="C127" s="3"/>
      <c r="D127" s="3"/>
      <c r="E127" s="3"/>
      <c r="F127" s="3"/>
      <c r="G127" s="3"/>
      <c r="H127" s="3"/>
      <c r="I127" s="4"/>
      <c r="J127" s="4" t="str">
        <f t="shared" si="19"/>
        <v/>
      </c>
      <c r="K127" s="4" t="str">
        <f t="shared" si="2"/>
        <v/>
      </c>
    </row>
    <row r="128" ht="14.25" customHeight="1">
      <c r="A128" s="31" t="s">
        <v>301</v>
      </c>
      <c r="B128" s="31" t="s">
        <v>302</v>
      </c>
      <c r="C128" s="31" t="s">
        <v>335</v>
      </c>
      <c r="D128" s="32" t="s">
        <v>336</v>
      </c>
      <c r="E128" s="32" t="s">
        <v>337</v>
      </c>
      <c r="F128" s="33">
        <v>12.0</v>
      </c>
      <c r="G128" s="28">
        <v>0.065</v>
      </c>
      <c r="H128" s="3"/>
      <c r="I128" s="34">
        <v>95.17184286654982</v>
      </c>
      <c r="J128" s="34">
        <f t="shared" ref="J128:J144" si="20">IF(I128&lt;&gt;"",I128-(I128*0.05),"")</f>
        <v>90.41325072</v>
      </c>
      <c r="K128" s="34">
        <f t="shared" si="2"/>
        <v>96.29011202</v>
      </c>
    </row>
    <row r="129" ht="14.25" customHeight="1">
      <c r="A129" s="31" t="s">
        <v>301</v>
      </c>
      <c r="B129" s="31" t="s">
        <v>302</v>
      </c>
      <c r="C129" s="31" t="s">
        <v>338</v>
      </c>
      <c r="D129" s="32" t="s">
        <v>339</v>
      </c>
      <c r="E129" s="32" t="s">
        <v>340</v>
      </c>
      <c r="F129" s="33">
        <v>12.0</v>
      </c>
      <c r="G129" s="28">
        <v>0.065</v>
      </c>
      <c r="H129" s="3"/>
      <c r="I129" s="34">
        <v>92.6058008952517</v>
      </c>
      <c r="J129" s="34">
        <f t="shared" si="20"/>
        <v>87.97551085</v>
      </c>
      <c r="K129" s="34">
        <f t="shared" si="2"/>
        <v>93.69391906</v>
      </c>
    </row>
    <row r="130" ht="14.25" customHeight="1">
      <c r="A130" s="31" t="s">
        <v>301</v>
      </c>
      <c r="B130" s="31" t="s">
        <v>302</v>
      </c>
      <c r="C130" s="31" t="s">
        <v>341</v>
      </c>
      <c r="D130" s="32" t="s">
        <v>342</v>
      </c>
      <c r="E130" s="32" t="s">
        <v>343</v>
      </c>
      <c r="F130" s="33">
        <v>12.0</v>
      </c>
      <c r="G130" s="28">
        <v>0.065</v>
      </c>
      <c r="H130" s="3"/>
      <c r="I130" s="34">
        <v>95.17184286654982</v>
      </c>
      <c r="J130" s="34">
        <f t="shared" si="20"/>
        <v>90.41325072</v>
      </c>
      <c r="K130" s="34">
        <f t="shared" si="2"/>
        <v>96.29011202</v>
      </c>
    </row>
    <row r="131" ht="14.25" customHeight="1">
      <c r="A131" s="31" t="s">
        <v>301</v>
      </c>
      <c r="B131" s="31" t="s">
        <v>344</v>
      </c>
      <c r="C131" s="31" t="s">
        <v>345</v>
      </c>
      <c r="D131" s="32" t="s">
        <v>346</v>
      </c>
      <c r="E131" s="32" t="s">
        <v>347</v>
      </c>
      <c r="F131" s="33">
        <v>12.0</v>
      </c>
      <c r="G131" s="28">
        <v>0.065</v>
      </c>
      <c r="H131" s="3"/>
      <c r="I131" s="34">
        <v>123.6589347419564</v>
      </c>
      <c r="J131" s="34">
        <f t="shared" si="20"/>
        <v>117.475988</v>
      </c>
      <c r="K131" s="34">
        <f t="shared" si="2"/>
        <v>125.1119272</v>
      </c>
    </row>
    <row r="132" ht="14.25" customHeight="1">
      <c r="A132" s="31" t="s">
        <v>301</v>
      </c>
      <c r="B132" s="31" t="s">
        <v>348</v>
      </c>
      <c r="C132" s="31" t="s">
        <v>349</v>
      </c>
      <c r="D132" s="32" t="s">
        <v>350</v>
      </c>
      <c r="E132" s="32" t="s">
        <v>351</v>
      </c>
      <c r="F132" s="33">
        <v>12.0</v>
      </c>
      <c r="G132" s="28">
        <v>0.065</v>
      </c>
      <c r="H132" s="3"/>
      <c r="I132" s="34">
        <v>189.12065867705374</v>
      </c>
      <c r="J132" s="34">
        <f t="shared" si="20"/>
        <v>179.6646257</v>
      </c>
      <c r="K132" s="34">
        <f t="shared" si="2"/>
        <v>191.3428264</v>
      </c>
    </row>
    <row r="133" ht="14.25" customHeight="1">
      <c r="A133" s="31" t="s">
        <v>301</v>
      </c>
      <c r="B133" s="31" t="s">
        <v>352</v>
      </c>
      <c r="C133" s="31" t="s">
        <v>353</v>
      </c>
      <c r="D133" s="32" t="s">
        <v>354</v>
      </c>
      <c r="E133" s="32" t="s">
        <v>355</v>
      </c>
      <c r="F133" s="33">
        <v>12.0</v>
      </c>
      <c r="G133" s="28">
        <v>0.065</v>
      </c>
      <c r="H133" s="3"/>
      <c r="I133" s="34">
        <v>224.1773068467024</v>
      </c>
      <c r="J133" s="34">
        <f t="shared" si="20"/>
        <v>212.9684415</v>
      </c>
      <c r="K133" s="34">
        <f t="shared" si="2"/>
        <v>226.8113902</v>
      </c>
    </row>
    <row r="134" ht="14.25" customHeight="1">
      <c r="A134" s="31" t="s">
        <v>301</v>
      </c>
      <c r="B134" s="31" t="s">
        <v>356</v>
      </c>
      <c r="C134" s="31" t="s">
        <v>357</v>
      </c>
      <c r="D134" s="32" t="s">
        <v>358</v>
      </c>
      <c r="E134" s="32" t="s">
        <v>359</v>
      </c>
      <c r="F134" s="33">
        <v>12.0</v>
      </c>
      <c r="G134" s="28">
        <v>0.065</v>
      </c>
      <c r="H134" s="3"/>
      <c r="I134" s="34">
        <v>239.81207469426576</v>
      </c>
      <c r="J134" s="34">
        <f t="shared" si="20"/>
        <v>227.821471</v>
      </c>
      <c r="K134" s="34">
        <f t="shared" si="2"/>
        <v>242.6298666</v>
      </c>
    </row>
    <row r="135" ht="14.25" customHeight="1">
      <c r="A135" s="31" t="s">
        <v>301</v>
      </c>
      <c r="B135" s="31" t="s">
        <v>331</v>
      </c>
      <c r="C135" s="31" t="s">
        <v>360</v>
      </c>
      <c r="D135" s="32" t="s">
        <v>361</v>
      </c>
      <c r="E135" s="32" t="s">
        <v>362</v>
      </c>
      <c r="F135" s="33">
        <v>12.0</v>
      </c>
      <c r="G135" s="28">
        <v>0.065</v>
      </c>
      <c r="H135" s="3"/>
      <c r="I135" s="34">
        <v>328.6832077170915</v>
      </c>
      <c r="J135" s="34">
        <f t="shared" si="20"/>
        <v>312.2490473</v>
      </c>
      <c r="K135" s="34">
        <f t="shared" si="2"/>
        <v>332.5452354</v>
      </c>
    </row>
    <row r="136" ht="14.25" customHeight="1">
      <c r="A136" s="31" t="s">
        <v>301</v>
      </c>
      <c r="B136" s="31" t="s">
        <v>363</v>
      </c>
      <c r="C136" s="31" t="s">
        <v>364</v>
      </c>
      <c r="D136" s="32" t="s">
        <v>365</v>
      </c>
      <c r="E136" s="32" t="s">
        <v>366</v>
      </c>
      <c r="F136" s="33">
        <v>12.0</v>
      </c>
      <c r="G136" s="28">
        <v>0.065</v>
      </c>
      <c r="H136" s="3"/>
      <c r="I136" s="34">
        <v>391.241050126909</v>
      </c>
      <c r="J136" s="34">
        <f t="shared" si="20"/>
        <v>371.6789976</v>
      </c>
      <c r="K136" s="34">
        <f t="shared" si="2"/>
        <v>395.8381325</v>
      </c>
    </row>
    <row r="137" ht="14.25" customHeight="1">
      <c r="A137" s="31" t="s">
        <v>301</v>
      </c>
      <c r="B137" s="31" t="s">
        <v>367</v>
      </c>
      <c r="C137" s="31" t="s">
        <v>368</v>
      </c>
      <c r="D137" s="32" t="s">
        <v>369</v>
      </c>
      <c r="E137" s="32" t="s">
        <v>370</v>
      </c>
      <c r="F137" s="33">
        <v>12.0</v>
      </c>
      <c r="G137" s="28">
        <v>0.065</v>
      </c>
      <c r="H137" s="3"/>
      <c r="I137" s="34">
        <v>619.0891164230583</v>
      </c>
      <c r="J137" s="34">
        <f t="shared" si="20"/>
        <v>588.1346606</v>
      </c>
      <c r="K137" s="34">
        <f t="shared" si="2"/>
        <v>626.3634135</v>
      </c>
    </row>
    <row r="138" ht="14.25" customHeight="1">
      <c r="A138" s="31" t="s">
        <v>301</v>
      </c>
      <c r="B138" s="31" t="s">
        <v>371</v>
      </c>
      <c r="C138" s="31" t="s">
        <v>372</v>
      </c>
      <c r="D138" s="32" t="s">
        <v>373</v>
      </c>
      <c r="E138" s="32" t="s">
        <v>374</v>
      </c>
      <c r="F138" s="33">
        <v>12.0</v>
      </c>
      <c r="G138" s="28">
        <v>0.065</v>
      </c>
      <c r="H138" s="3"/>
      <c r="I138" s="34">
        <v>594.7651025629519</v>
      </c>
      <c r="J138" s="34">
        <f t="shared" si="20"/>
        <v>565.0268474</v>
      </c>
      <c r="K138" s="34">
        <f t="shared" si="2"/>
        <v>601.7535925</v>
      </c>
    </row>
    <row r="139" ht="14.25" customHeight="1">
      <c r="A139" s="31" t="s">
        <v>301</v>
      </c>
      <c r="B139" s="31" t="s">
        <v>367</v>
      </c>
      <c r="C139" s="31" t="s">
        <v>375</v>
      </c>
      <c r="D139" s="32" t="s">
        <v>376</v>
      </c>
      <c r="E139" s="32" t="s">
        <v>377</v>
      </c>
      <c r="F139" s="33">
        <v>6.0</v>
      </c>
      <c r="G139" s="28">
        <v>0.065</v>
      </c>
      <c r="H139" s="3"/>
      <c r="I139" s="34">
        <v>1077.4005467024263</v>
      </c>
      <c r="J139" s="34">
        <f t="shared" si="20"/>
        <v>1023.530519</v>
      </c>
      <c r="K139" s="34">
        <f t="shared" si="2"/>
        <v>1090.060003</v>
      </c>
    </row>
    <row r="140" ht="14.25" customHeight="1">
      <c r="A140" s="31" t="s">
        <v>301</v>
      </c>
      <c r="B140" s="31" t="s">
        <v>378</v>
      </c>
      <c r="C140" s="31" t="s">
        <v>379</v>
      </c>
      <c r="D140" s="32" t="s">
        <v>380</v>
      </c>
      <c r="E140" s="32" t="s">
        <v>381</v>
      </c>
      <c r="F140" s="33">
        <v>12.0</v>
      </c>
      <c r="G140" s="28">
        <v>0.065</v>
      </c>
      <c r="H140" s="3"/>
      <c r="I140" s="34">
        <v>3658.2040452082356</v>
      </c>
      <c r="J140" s="34">
        <f t="shared" si="20"/>
        <v>3475.293843</v>
      </c>
      <c r="K140" s="34">
        <f t="shared" si="2"/>
        <v>3701.187943</v>
      </c>
    </row>
    <row r="141" ht="14.25" customHeight="1">
      <c r="A141" s="31" t="s">
        <v>301</v>
      </c>
      <c r="B141" s="31" t="s">
        <v>378</v>
      </c>
      <c r="C141" s="31" t="s">
        <v>382</v>
      </c>
      <c r="D141" s="32" t="s">
        <v>383</v>
      </c>
      <c r="E141" s="32" t="s">
        <v>384</v>
      </c>
      <c r="F141" s="33">
        <v>12.0</v>
      </c>
      <c r="G141" s="28">
        <v>0.065</v>
      </c>
      <c r="H141" s="3"/>
      <c r="I141" s="34">
        <v>3658.2040452082356</v>
      </c>
      <c r="J141" s="34">
        <f t="shared" si="20"/>
        <v>3475.293843</v>
      </c>
      <c r="K141" s="34">
        <f t="shared" si="2"/>
        <v>3701.187943</v>
      </c>
    </row>
    <row r="142" ht="14.25" customHeight="1">
      <c r="A142" s="31" t="s">
        <v>301</v>
      </c>
      <c r="B142" s="31" t="s">
        <v>378</v>
      </c>
      <c r="C142" s="31" t="s">
        <v>385</v>
      </c>
      <c r="D142" s="32" t="s">
        <v>386</v>
      </c>
      <c r="E142" s="32" t="s">
        <v>387</v>
      </c>
      <c r="F142" s="33">
        <v>12.0</v>
      </c>
      <c r="G142" s="28">
        <v>0.065</v>
      </c>
      <c r="H142" s="3"/>
      <c r="I142" s="34">
        <v>3658.2040452082356</v>
      </c>
      <c r="J142" s="34">
        <f t="shared" si="20"/>
        <v>3475.293843</v>
      </c>
      <c r="K142" s="34">
        <f t="shared" si="2"/>
        <v>3701.187943</v>
      </c>
    </row>
    <row r="143" ht="14.25" customHeight="1">
      <c r="A143" s="31" t="s">
        <v>301</v>
      </c>
      <c r="B143" s="31" t="s">
        <v>331</v>
      </c>
      <c r="C143" s="31" t="s">
        <v>388</v>
      </c>
      <c r="D143" s="32" t="s">
        <v>389</v>
      </c>
      <c r="E143" s="32" t="s">
        <v>390</v>
      </c>
      <c r="F143" s="33">
        <v>12.0</v>
      </c>
      <c r="G143" s="28">
        <v>0.065</v>
      </c>
      <c r="H143" s="3"/>
      <c r="I143" s="34">
        <v>348.2417786327334</v>
      </c>
      <c r="J143" s="34">
        <f t="shared" si="20"/>
        <v>330.8296897</v>
      </c>
      <c r="K143" s="34">
        <f t="shared" si="2"/>
        <v>352.3336195</v>
      </c>
    </row>
    <row r="144" ht="14.25" customHeight="1">
      <c r="A144" s="31" t="s">
        <v>301</v>
      </c>
      <c r="B144" s="31" t="s">
        <v>331</v>
      </c>
      <c r="C144" s="31" t="s">
        <v>391</v>
      </c>
      <c r="D144" s="32" t="s">
        <v>392</v>
      </c>
      <c r="E144" s="32" t="s">
        <v>393</v>
      </c>
      <c r="F144" s="33">
        <v>6.0</v>
      </c>
      <c r="G144" s="28">
        <v>0.065</v>
      </c>
      <c r="H144" s="3"/>
      <c r="I144" s="34">
        <v>635.6558365909233</v>
      </c>
      <c r="J144" s="34">
        <f t="shared" si="20"/>
        <v>603.8730448</v>
      </c>
      <c r="K144" s="34">
        <f t="shared" si="2"/>
        <v>643.1247927</v>
      </c>
    </row>
    <row r="145" ht="14.25" customHeight="1">
      <c r="A145" s="36"/>
      <c r="B145" s="36"/>
      <c r="C145" s="3"/>
      <c r="D145" s="3"/>
      <c r="E145" s="3"/>
      <c r="F145" s="3"/>
      <c r="G145" s="3"/>
      <c r="H145" s="3"/>
      <c r="I145" s="4"/>
      <c r="J145" s="4" t="str">
        <f>IF(I145&lt;&gt;"",I145-(I145*0.07),"")</f>
        <v/>
      </c>
      <c r="K145" s="4" t="str">
        <f t="shared" si="2"/>
        <v/>
      </c>
    </row>
    <row r="146" ht="14.25" customHeight="1">
      <c r="A146" s="31" t="s">
        <v>394</v>
      </c>
      <c r="B146" s="31"/>
      <c r="C146" s="31" t="s">
        <v>395</v>
      </c>
      <c r="D146" s="32" t="s">
        <v>396</v>
      </c>
      <c r="E146" s="32" t="s">
        <v>397</v>
      </c>
      <c r="F146" s="33">
        <v>12.0</v>
      </c>
      <c r="G146" s="28">
        <v>0.065</v>
      </c>
      <c r="H146" s="3"/>
      <c r="I146" s="34">
        <v>48.9872198535288</v>
      </c>
      <c r="J146" s="34">
        <f t="shared" ref="J146:J147" si="21">IF(I146&lt;&gt;"",I146-(I146*0.05),"")</f>
        <v>46.53785886</v>
      </c>
      <c r="K146" s="34">
        <f t="shared" si="2"/>
        <v>49.56281969</v>
      </c>
    </row>
    <row r="147" ht="14.25" customHeight="1">
      <c r="A147" s="31" t="s">
        <v>398</v>
      </c>
      <c r="B147" s="31"/>
      <c r="C147" s="31" t="s">
        <v>399</v>
      </c>
      <c r="D147" s="32" t="s">
        <v>400</v>
      </c>
      <c r="E147" s="32" t="s">
        <v>401</v>
      </c>
      <c r="F147" s="33">
        <v>12.0</v>
      </c>
      <c r="G147" s="28">
        <v>0.065</v>
      </c>
      <c r="H147" s="3"/>
      <c r="I147" s="34">
        <v>49.399201728775296</v>
      </c>
      <c r="J147" s="34">
        <f t="shared" si="21"/>
        <v>46.92924164</v>
      </c>
      <c r="K147" s="34">
        <f t="shared" si="2"/>
        <v>49.97964235</v>
      </c>
    </row>
    <row r="148" ht="14.25" customHeight="1">
      <c r="A148" s="25" t="s">
        <v>293</v>
      </c>
      <c r="B148" s="25" t="s">
        <v>297</v>
      </c>
      <c r="C148" s="25" t="s">
        <v>402</v>
      </c>
      <c r="D148" s="26" t="s">
        <v>403</v>
      </c>
      <c r="E148" s="26" t="s">
        <v>404</v>
      </c>
      <c r="F148" s="27">
        <v>12.0</v>
      </c>
      <c r="G148" s="28">
        <v>0.065</v>
      </c>
      <c r="H148" s="3"/>
      <c r="I148" s="29">
        <v>60.71646094810586</v>
      </c>
      <c r="J148" s="29">
        <f t="shared" ref="J148:J149" si="22">IF(I148&lt;&gt;"",I148-(I148*0.07),"")</f>
        <v>56.46630868</v>
      </c>
      <c r="K148" s="29">
        <f t="shared" si="2"/>
        <v>60.13661875</v>
      </c>
    </row>
    <row r="149" ht="14.25" customHeight="1">
      <c r="A149" s="25" t="s">
        <v>293</v>
      </c>
      <c r="B149" s="25" t="s">
        <v>297</v>
      </c>
      <c r="C149" s="25" t="s">
        <v>405</v>
      </c>
      <c r="D149" s="26" t="s">
        <v>406</v>
      </c>
      <c r="E149" s="26" t="s">
        <v>407</v>
      </c>
      <c r="F149" s="27">
        <v>12.0</v>
      </c>
      <c r="G149" s="28">
        <v>0.065</v>
      </c>
      <c r="H149" s="3"/>
      <c r="I149" s="29">
        <v>68.44476733478203</v>
      </c>
      <c r="J149" s="29">
        <f t="shared" si="22"/>
        <v>63.65363362</v>
      </c>
      <c r="K149" s="29">
        <f t="shared" si="2"/>
        <v>67.79111981</v>
      </c>
    </row>
    <row r="150" ht="14.25" customHeight="1">
      <c r="A150" s="31" t="s">
        <v>408</v>
      </c>
      <c r="B150" s="31" t="s">
        <v>409</v>
      </c>
      <c r="C150" s="31" t="s">
        <v>410</v>
      </c>
      <c r="D150" s="32" t="s">
        <v>411</v>
      </c>
      <c r="E150" s="32" t="s">
        <v>412</v>
      </c>
      <c r="F150" s="33">
        <v>12.0</v>
      </c>
      <c r="G150" s="28">
        <v>0.065</v>
      </c>
      <c r="H150" s="3"/>
      <c r="I150" s="34">
        <v>93.34298896839722</v>
      </c>
      <c r="J150" s="34">
        <f t="shared" ref="J150:J153" si="23">IF(I150&lt;&gt;"",I150-(I150*0.05),"")</f>
        <v>88.67583952</v>
      </c>
      <c r="K150" s="34">
        <f t="shared" si="2"/>
        <v>94.43976909</v>
      </c>
    </row>
    <row r="151" ht="14.25" customHeight="1">
      <c r="A151" s="31" t="s">
        <v>408</v>
      </c>
      <c r="B151" s="31" t="s">
        <v>413</v>
      </c>
      <c r="C151" s="31" t="s">
        <v>414</v>
      </c>
      <c r="D151" s="32" t="s">
        <v>415</v>
      </c>
      <c r="E151" s="32" t="s">
        <v>416</v>
      </c>
      <c r="F151" s="33">
        <v>12.0</v>
      </c>
      <c r="G151" s="28">
        <v>0.065</v>
      </c>
      <c r="H151" s="3"/>
      <c r="I151" s="34">
        <v>116.43637749154124</v>
      </c>
      <c r="J151" s="34">
        <f t="shared" si="23"/>
        <v>110.6145586</v>
      </c>
      <c r="K151" s="34">
        <f t="shared" si="2"/>
        <v>117.8045049</v>
      </c>
    </row>
    <row r="152" ht="14.25" customHeight="1">
      <c r="A152" s="31" t="s">
        <v>408</v>
      </c>
      <c r="B152" s="31" t="s">
        <v>417</v>
      </c>
      <c r="C152" s="31" t="s">
        <v>418</v>
      </c>
      <c r="D152" s="32" t="s">
        <v>419</v>
      </c>
      <c r="E152" s="32" t="s">
        <v>420</v>
      </c>
      <c r="F152" s="33">
        <v>12.0</v>
      </c>
      <c r="G152" s="28">
        <v>0.065</v>
      </c>
      <c r="H152" s="3"/>
      <c r="I152" s="34">
        <v>131.20335283240792</v>
      </c>
      <c r="J152" s="34">
        <f t="shared" si="23"/>
        <v>124.6431852</v>
      </c>
      <c r="K152" s="34">
        <f t="shared" si="2"/>
        <v>132.7449922</v>
      </c>
    </row>
    <row r="153" ht="14.25" customHeight="1">
      <c r="A153" s="31" t="s">
        <v>323</v>
      </c>
      <c r="B153" s="31" t="s">
        <v>421</v>
      </c>
      <c r="C153" s="31" t="s">
        <v>422</v>
      </c>
      <c r="D153" s="32" t="s">
        <v>423</v>
      </c>
      <c r="E153" s="32" t="s">
        <v>424</v>
      </c>
      <c r="F153" s="33">
        <v>12.0</v>
      </c>
      <c r="G153" s="28">
        <v>0.065</v>
      </c>
      <c r="H153" s="3"/>
      <c r="I153" s="34">
        <v>239.734828092657</v>
      </c>
      <c r="J153" s="34">
        <f t="shared" si="23"/>
        <v>227.7480867</v>
      </c>
      <c r="K153" s="34">
        <f t="shared" si="2"/>
        <v>242.5517123</v>
      </c>
    </row>
    <row r="154" ht="14.25" customHeight="1">
      <c r="A154" s="25" t="s">
        <v>394</v>
      </c>
      <c r="B154" s="25"/>
      <c r="C154" s="25" t="s">
        <v>425</v>
      </c>
      <c r="D154" s="26" t="s">
        <v>426</v>
      </c>
      <c r="E154" s="26" t="s">
        <v>427</v>
      </c>
      <c r="F154" s="27">
        <v>12.0</v>
      </c>
      <c r="G154" s="28">
        <v>0.065</v>
      </c>
      <c r="H154" s="3"/>
      <c r="I154" s="29">
        <v>55.00001169979244</v>
      </c>
      <c r="J154" s="29">
        <f t="shared" ref="J154:J156" si="24">IF(I154&lt;&gt;"",I154-(I154*0.07),"")</f>
        <v>51.15001088</v>
      </c>
      <c r="K154" s="29">
        <f t="shared" si="2"/>
        <v>54.47476159</v>
      </c>
    </row>
    <row r="155" ht="14.25" customHeight="1">
      <c r="A155" s="25" t="s">
        <v>293</v>
      </c>
      <c r="B155" s="25" t="s">
        <v>297</v>
      </c>
      <c r="C155" s="25" t="s">
        <v>428</v>
      </c>
      <c r="D155" s="26" t="s">
        <v>429</v>
      </c>
      <c r="E155" s="26" t="s">
        <v>430</v>
      </c>
      <c r="F155" s="27">
        <v>12.0</v>
      </c>
      <c r="G155" s="28">
        <v>0.065</v>
      </c>
      <c r="H155" s="3"/>
      <c r="I155" s="29">
        <v>69.11076142196421</v>
      </c>
      <c r="J155" s="29">
        <f t="shared" si="24"/>
        <v>64.27300812</v>
      </c>
      <c r="K155" s="29">
        <f t="shared" si="2"/>
        <v>68.45075365</v>
      </c>
    </row>
    <row r="156" ht="14.25" customHeight="1">
      <c r="A156" s="36"/>
      <c r="B156" s="36"/>
      <c r="C156" s="3"/>
      <c r="D156" s="3"/>
      <c r="E156" s="3"/>
      <c r="F156" s="3"/>
      <c r="G156" s="3"/>
      <c r="H156" s="3"/>
      <c r="I156" s="4"/>
      <c r="J156" s="4" t="str">
        <f t="shared" si="24"/>
        <v/>
      </c>
      <c r="K156" s="4" t="str">
        <f t="shared" si="2"/>
        <v/>
      </c>
    </row>
    <row r="157" ht="14.25" customHeight="1">
      <c r="A157" s="31" t="s">
        <v>431</v>
      </c>
      <c r="B157" s="31"/>
      <c r="C157" s="31" t="s">
        <v>432</v>
      </c>
      <c r="D157" s="32" t="s">
        <v>433</v>
      </c>
      <c r="E157" s="32" t="s">
        <v>434</v>
      </c>
      <c r="F157" s="33">
        <v>6.0</v>
      </c>
      <c r="G157" s="28">
        <v>0.065</v>
      </c>
      <c r="H157" s="3"/>
      <c r="I157" s="34">
        <v>106.77009543025711</v>
      </c>
      <c r="J157" s="34">
        <f t="shared" ref="J157:J160" si="25">IF(I157&lt;&gt;"",I157-(I157*0.05),"")</f>
        <v>101.4315907</v>
      </c>
      <c r="K157" s="34">
        <f t="shared" si="2"/>
        <v>108.0246441</v>
      </c>
    </row>
    <row r="158" ht="14.25" customHeight="1">
      <c r="A158" s="31" t="s">
        <v>431</v>
      </c>
      <c r="B158" s="31"/>
      <c r="C158" s="31" t="s">
        <v>435</v>
      </c>
      <c r="D158" s="32" t="s">
        <v>436</v>
      </c>
      <c r="E158" s="32" t="s">
        <v>437</v>
      </c>
      <c r="F158" s="33">
        <v>6.0</v>
      </c>
      <c r="G158" s="28">
        <v>0.065</v>
      </c>
      <c r="H158" s="3"/>
      <c r="I158" s="34">
        <v>154.1199384459382</v>
      </c>
      <c r="J158" s="34">
        <f t="shared" si="25"/>
        <v>146.4139415</v>
      </c>
      <c r="K158" s="34">
        <f t="shared" si="2"/>
        <v>155.9308477</v>
      </c>
    </row>
    <row r="159" ht="14.25" customHeight="1">
      <c r="A159" s="31" t="s">
        <v>431</v>
      </c>
      <c r="B159" s="31"/>
      <c r="C159" s="31" t="s">
        <v>438</v>
      </c>
      <c r="D159" s="32" t="s">
        <v>439</v>
      </c>
      <c r="E159" s="32" t="s">
        <v>440</v>
      </c>
      <c r="F159" s="33">
        <v>6.0</v>
      </c>
      <c r="G159" s="28">
        <v>0.065</v>
      </c>
      <c r="H159" s="3"/>
      <c r="I159" s="34">
        <v>171.20862590494826</v>
      </c>
      <c r="J159" s="34">
        <f t="shared" si="25"/>
        <v>162.6481946</v>
      </c>
      <c r="K159" s="34">
        <f t="shared" si="2"/>
        <v>173.2203273</v>
      </c>
    </row>
    <row r="160" ht="14.25" customHeight="1">
      <c r="A160" s="31" t="s">
        <v>431</v>
      </c>
      <c r="B160" s="31"/>
      <c r="C160" s="31" t="s">
        <v>441</v>
      </c>
      <c r="D160" s="32" t="s">
        <v>442</v>
      </c>
      <c r="E160" s="32" t="s">
        <v>443</v>
      </c>
      <c r="F160" s="33">
        <v>6.0</v>
      </c>
      <c r="G160" s="28">
        <v>0.065</v>
      </c>
      <c r="H160" s="3"/>
      <c r="I160" s="34">
        <v>218.9092091403743</v>
      </c>
      <c r="J160" s="34">
        <f t="shared" si="25"/>
        <v>207.9637487</v>
      </c>
      <c r="K160" s="34">
        <f t="shared" si="2"/>
        <v>221.4813923</v>
      </c>
    </row>
    <row r="161" ht="14.25" customHeight="1">
      <c r="A161" s="36"/>
      <c r="B161" s="36"/>
      <c r="C161" s="3"/>
      <c r="D161" s="3"/>
      <c r="E161" s="3"/>
      <c r="F161" s="3"/>
      <c r="G161" s="3"/>
      <c r="H161" s="3"/>
      <c r="I161" s="4"/>
      <c r="J161" s="4" t="str">
        <f>IF(I161&lt;&gt;"",I161-(I161*0.07),"")</f>
        <v/>
      </c>
      <c r="K161" s="4" t="str">
        <f t="shared" si="2"/>
        <v/>
      </c>
    </row>
    <row r="162" ht="14.25" customHeight="1">
      <c r="A162" s="31" t="s">
        <v>444</v>
      </c>
      <c r="B162" s="31" t="s">
        <v>445</v>
      </c>
      <c r="C162" s="31" t="s">
        <v>446</v>
      </c>
      <c r="D162" s="32" t="s">
        <v>447</v>
      </c>
      <c r="E162" s="32" t="s">
        <v>448</v>
      </c>
      <c r="F162" s="33">
        <v>12.0</v>
      </c>
      <c r="G162" s="28">
        <v>0.065</v>
      </c>
      <c r="H162" s="3"/>
      <c r="I162" s="34">
        <v>141.06518527788904</v>
      </c>
      <c r="J162" s="34">
        <f t="shared" ref="J162:J167" si="26">IF(I162&lt;&gt;"",I162-(I162*0.05),"")</f>
        <v>134.011926</v>
      </c>
      <c r="K162" s="34">
        <f t="shared" si="2"/>
        <v>142.7227012</v>
      </c>
    </row>
    <row r="163" ht="14.25" customHeight="1">
      <c r="A163" s="31" t="s">
        <v>444</v>
      </c>
      <c r="B163" s="31" t="s">
        <v>449</v>
      </c>
      <c r="C163" s="31" t="s">
        <v>450</v>
      </c>
      <c r="D163" s="32" t="s">
        <v>451</v>
      </c>
      <c r="E163" s="32" t="s">
        <v>452</v>
      </c>
      <c r="F163" s="33">
        <v>12.0</v>
      </c>
      <c r="G163" s="28">
        <v>0.065</v>
      </c>
      <c r="H163" s="3"/>
      <c r="I163" s="34">
        <v>225.89826537481835</v>
      </c>
      <c r="J163" s="34">
        <f t="shared" si="26"/>
        <v>214.6033521</v>
      </c>
      <c r="K163" s="34">
        <f t="shared" si="2"/>
        <v>228.55257</v>
      </c>
    </row>
    <row r="164" ht="14.25" customHeight="1">
      <c r="A164" s="31" t="s">
        <v>444</v>
      </c>
      <c r="B164" s="31" t="s">
        <v>453</v>
      </c>
      <c r="C164" s="31" t="s">
        <v>454</v>
      </c>
      <c r="D164" s="32" t="s">
        <v>455</v>
      </c>
      <c r="E164" s="32" t="s">
        <v>456</v>
      </c>
      <c r="F164" s="33">
        <v>12.0</v>
      </c>
      <c r="G164" s="28">
        <v>0.065</v>
      </c>
      <c r="H164" s="3"/>
      <c r="I164" s="34">
        <v>225.4738202268433</v>
      </c>
      <c r="J164" s="34">
        <f t="shared" si="26"/>
        <v>214.2001292</v>
      </c>
      <c r="K164" s="34">
        <f t="shared" si="2"/>
        <v>228.1231376</v>
      </c>
    </row>
    <row r="165" ht="14.25" customHeight="1">
      <c r="A165" s="31" t="s">
        <v>444</v>
      </c>
      <c r="B165" s="31" t="s">
        <v>457</v>
      </c>
      <c r="C165" s="31" t="s">
        <v>458</v>
      </c>
      <c r="D165" s="32" t="s">
        <v>459</v>
      </c>
      <c r="E165" s="32" t="s">
        <v>460</v>
      </c>
      <c r="F165" s="33">
        <v>12.0</v>
      </c>
      <c r="G165" s="28">
        <v>0.065</v>
      </c>
      <c r="H165" s="3"/>
      <c r="I165" s="34">
        <v>244.9446064279831</v>
      </c>
      <c r="J165" s="34">
        <f t="shared" si="26"/>
        <v>232.6973761</v>
      </c>
      <c r="K165" s="34">
        <f t="shared" si="2"/>
        <v>247.8227056</v>
      </c>
    </row>
    <row r="166" ht="14.25" customHeight="1">
      <c r="A166" s="31" t="s">
        <v>444</v>
      </c>
      <c r="B166" s="31" t="s">
        <v>453</v>
      </c>
      <c r="C166" s="31" t="s">
        <v>461</v>
      </c>
      <c r="D166" s="32" t="s">
        <v>462</v>
      </c>
      <c r="E166" s="32" t="s">
        <v>463</v>
      </c>
      <c r="F166" s="33">
        <v>12.0</v>
      </c>
      <c r="G166" s="28">
        <v>0.065</v>
      </c>
      <c r="H166" s="3"/>
      <c r="I166" s="34">
        <v>244.9446064279831</v>
      </c>
      <c r="J166" s="34">
        <f t="shared" si="26"/>
        <v>232.6973761</v>
      </c>
      <c r="K166" s="34">
        <f t="shared" si="2"/>
        <v>247.8227056</v>
      </c>
    </row>
    <row r="167" ht="14.25" customHeight="1">
      <c r="A167" s="31" t="s">
        <v>444</v>
      </c>
      <c r="B167" s="31" t="s">
        <v>457</v>
      </c>
      <c r="C167" s="31" t="s">
        <v>464</v>
      </c>
      <c r="D167" s="32" t="s">
        <v>465</v>
      </c>
      <c r="E167" s="32" t="s">
        <v>466</v>
      </c>
      <c r="F167" s="33">
        <v>6.0</v>
      </c>
      <c r="G167" s="28">
        <v>0.065</v>
      </c>
      <c r="H167" s="3"/>
      <c r="I167" s="34">
        <v>439.67686334893415</v>
      </c>
      <c r="J167" s="34">
        <f t="shared" si="26"/>
        <v>417.6930202</v>
      </c>
      <c r="K167" s="34">
        <f t="shared" si="2"/>
        <v>444.8430665</v>
      </c>
    </row>
    <row r="168" ht="14.25" customHeight="1">
      <c r="A168" s="36"/>
      <c r="B168" s="36"/>
      <c r="C168" s="3"/>
      <c r="D168" s="3"/>
      <c r="E168" s="3"/>
      <c r="F168" s="3"/>
      <c r="G168" s="3"/>
      <c r="H168" s="3"/>
      <c r="I168" s="4"/>
      <c r="J168" s="4" t="str">
        <f>IF(I168&lt;&gt;"",I168-(I168*0.07),"")</f>
        <v/>
      </c>
      <c r="K168" s="4" t="str">
        <f t="shared" si="2"/>
        <v/>
      </c>
    </row>
    <row r="169" ht="14.25" customHeight="1">
      <c r="A169" s="31" t="s">
        <v>467</v>
      </c>
      <c r="B169" s="31"/>
      <c r="C169" s="31" t="s">
        <v>468</v>
      </c>
      <c r="D169" s="32" t="s">
        <v>469</v>
      </c>
      <c r="E169" s="32" t="s">
        <v>470</v>
      </c>
      <c r="F169" s="33">
        <v>12.0</v>
      </c>
      <c r="G169" s="28">
        <v>0.065</v>
      </c>
      <c r="H169" s="3"/>
      <c r="I169" s="34">
        <v>208.79241437492476</v>
      </c>
      <c r="J169" s="34">
        <f t="shared" ref="J169:J180" si="27">IF(I169&lt;&gt;"",I169-(I169*0.05),"")</f>
        <v>198.3527937</v>
      </c>
      <c r="K169" s="34">
        <f t="shared" si="2"/>
        <v>211.2457252</v>
      </c>
    </row>
    <row r="170" ht="14.25" customHeight="1">
      <c r="A170" s="31" t="s">
        <v>467</v>
      </c>
      <c r="B170" s="31"/>
      <c r="C170" s="31" t="s">
        <v>471</v>
      </c>
      <c r="D170" s="32" t="s">
        <v>472</v>
      </c>
      <c r="E170" s="32" t="s">
        <v>473</v>
      </c>
      <c r="F170" s="33">
        <v>12.0</v>
      </c>
      <c r="G170" s="28">
        <v>0.065</v>
      </c>
      <c r="H170" s="3"/>
      <c r="I170" s="34">
        <v>249.17228885005255</v>
      </c>
      <c r="J170" s="34">
        <f t="shared" si="27"/>
        <v>236.7136744</v>
      </c>
      <c r="K170" s="34">
        <f t="shared" si="2"/>
        <v>252.1000632</v>
      </c>
    </row>
    <row r="171" ht="14.25" customHeight="1">
      <c r="A171" s="31" t="s">
        <v>467</v>
      </c>
      <c r="B171" s="31"/>
      <c r="C171" s="31" t="s">
        <v>474</v>
      </c>
      <c r="D171" s="32" t="s">
        <v>475</v>
      </c>
      <c r="E171" s="32" t="s">
        <v>476</v>
      </c>
      <c r="F171" s="33">
        <v>6.0</v>
      </c>
      <c r="G171" s="28">
        <v>0.06500000000000002</v>
      </c>
      <c r="H171" s="3"/>
      <c r="I171" s="34">
        <v>355.76773050547257</v>
      </c>
      <c r="J171" s="34">
        <f t="shared" si="27"/>
        <v>337.979344</v>
      </c>
      <c r="K171" s="34">
        <f t="shared" si="2"/>
        <v>359.9480013</v>
      </c>
    </row>
    <row r="172" ht="14.25" customHeight="1">
      <c r="A172" s="31" t="s">
        <v>467</v>
      </c>
      <c r="B172" s="31"/>
      <c r="C172" s="31" t="s">
        <v>477</v>
      </c>
      <c r="D172" s="32" t="s">
        <v>478</v>
      </c>
      <c r="E172" s="32" t="s">
        <v>479</v>
      </c>
      <c r="F172" s="33">
        <v>6.0</v>
      </c>
      <c r="G172" s="28">
        <v>0.065</v>
      </c>
      <c r="H172" s="3"/>
      <c r="I172" s="34">
        <v>362.6539120503165</v>
      </c>
      <c r="J172" s="34">
        <f t="shared" si="27"/>
        <v>344.5212164</v>
      </c>
      <c r="K172" s="34">
        <f t="shared" si="2"/>
        <v>366.9150955</v>
      </c>
    </row>
    <row r="173" ht="14.25" customHeight="1">
      <c r="A173" s="31" t="s">
        <v>467</v>
      </c>
      <c r="B173" s="31"/>
      <c r="C173" s="31" t="s">
        <v>480</v>
      </c>
      <c r="D173" s="32" t="s">
        <v>481</v>
      </c>
      <c r="E173" s="32" t="s">
        <v>482</v>
      </c>
      <c r="F173" s="33">
        <v>6.0</v>
      </c>
      <c r="G173" s="28">
        <v>0.065</v>
      </c>
      <c r="H173" s="3"/>
      <c r="I173" s="34">
        <v>435.1352566353504</v>
      </c>
      <c r="J173" s="34">
        <f t="shared" si="27"/>
        <v>413.3784938</v>
      </c>
      <c r="K173" s="34">
        <f t="shared" si="2"/>
        <v>440.2480959</v>
      </c>
    </row>
    <row r="174" ht="14.25" customHeight="1">
      <c r="A174" s="31" t="s">
        <v>467</v>
      </c>
      <c r="B174" s="31"/>
      <c r="C174" s="31" t="s">
        <v>483</v>
      </c>
      <c r="D174" s="32" t="s">
        <v>484</v>
      </c>
      <c r="E174" s="32" t="s">
        <v>485</v>
      </c>
      <c r="F174" s="33">
        <v>6.0</v>
      </c>
      <c r="G174" s="28">
        <v>0.065</v>
      </c>
      <c r="H174" s="3"/>
      <c r="I174" s="34">
        <v>553.1269202708874</v>
      </c>
      <c r="J174" s="34">
        <f t="shared" si="27"/>
        <v>525.4705743</v>
      </c>
      <c r="K174" s="34">
        <f t="shared" si="2"/>
        <v>559.6261616</v>
      </c>
    </row>
    <row r="175" ht="14.25" customHeight="1">
      <c r="A175" s="31" t="s">
        <v>467</v>
      </c>
      <c r="B175" s="31"/>
      <c r="C175" s="31" t="s">
        <v>486</v>
      </c>
      <c r="D175" s="32" t="s">
        <v>487</v>
      </c>
      <c r="E175" s="32" t="s">
        <v>488</v>
      </c>
      <c r="F175" s="33">
        <v>3.0</v>
      </c>
      <c r="G175" s="28">
        <v>0.065</v>
      </c>
      <c r="H175" s="3"/>
      <c r="I175" s="34">
        <v>776.0777238601764</v>
      </c>
      <c r="J175" s="34">
        <f t="shared" si="27"/>
        <v>737.2738377</v>
      </c>
      <c r="K175" s="34">
        <f t="shared" si="2"/>
        <v>785.1966371</v>
      </c>
    </row>
    <row r="176" ht="14.25" customHeight="1">
      <c r="A176" s="31" t="s">
        <v>467</v>
      </c>
      <c r="B176" s="31"/>
      <c r="C176" s="31" t="s">
        <v>489</v>
      </c>
      <c r="D176" s="32" t="s">
        <v>490</v>
      </c>
      <c r="E176" s="32" t="s">
        <v>491</v>
      </c>
      <c r="F176" s="33">
        <v>3.0</v>
      </c>
      <c r="G176" s="28">
        <v>0.065</v>
      </c>
      <c r="H176" s="3"/>
      <c r="I176" s="34">
        <v>878.1226617170199</v>
      </c>
      <c r="J176" s="34">
        <f t="shared" si="27"/>
        <v>834.2165286</v>
      </c>
      <c r="K176" s="34">
        <f t="shared" si="2"/>
        <v>888.440603</v>
      </c>
    </row>
    <row r="177" ht="14.25" customHeight="1">
      <c r="A177" s="31" t="s">
        <v>467</v>
      </c>
      <c r="B177" s="31" t="s">
        <v>492</v>
      </c>
      <c r="C177" s="31" t="s">
        <v>493</v>
      </c>
      <c r="D177" s="32" t="s">
        <v>494</v>
      </c>
      <c r="E177" s="32" t="s">
        <v>495</v>
      </c>
      <c r="F177" s="33">
        <v>6.0</v>
      </c>
      <c r="G177" s="28">
        <v>0.065</v>
      </c>
      <c r="H177" s="3"/>
      <c r="I177" s="34">
        <v>1285.1025821761525</v>
      </c>
      <c r="J177" s="34">
        <f t="shared" si="27"/>
        <v>1220.847453</v>
      </c>
      <c r="K177" s="34">
        <f t="shared" si="2"/>
        <v>1300.202538</v>
      </c>
    </row>
    <row r="178" ht="14.25" customHeight="1">
      <c r="A178" s="31" t="s">
        <v>467</v>
      </c>
      <c r="B178" s="31"/>
      <c r="C178" s="31" t="s">
        <v>496</v>
      </c>
      <c r="D178" s="32" t="s">
        <v>497</v>
      </c>
      <c r="E178" s="32" t="s">
        <v>498</v>
      </c>
      <c r="F178" s="33">
        <v>1.0</v>
      </c>
      <c r="G178" s="28">
        <v>0.065</v>
      </c>
      <c r="H178" s="3"/>
      <c r="I178" s="34">
        <v>1641.9125656073895</v>
      </c>
      <c r="J178" s="34">
        <f t="shared" si="27"/>
        <v>1559.816937</v>
      </c>
      <c r="K178" s="34">
        <f t="shared" si="2"/>
        <v>1661.205038</v>
      </c>
    </row>
    <row r="179" ht="14.25" customHeight="1">
      <c r="A179" s="31" t="s">
        <v>467</v>
      </c>
      <c r="B179" s="31" t="s">
        <v>499</v>
      </c>
      <c r="C179" s="31" t="s">
        <v>500</v>
      </c>
      <c r="D179" s="32" t="s">
        <v>501</v>
      </c>
      <c r="E179" s="32" t="s">
        <v>502</v>
      </c>
      <c r="F179" s="33">
        <v>6.0</v>
      </c>
      <c r="G179" s="28">
        <v>0.065</v>
      </c>
      <c r="H179" s="3"/>
      <c r="I179" s="34">
        <v>1719.5484863712318</v>
      </c>
      <c r="J179" s="34">
        <f t="shared" si="27"/>
        <v>1633.571062</v>
      </c>
      <c r="K179" s="34">
        <f t="shared" si="2"/>
        <v>1739.753181</v>
      </c>
    </row>
    <row r="180" ht="14.25" customHeight="1">
      <c r="A180" s="31" t="s">
        <v>467</v>
      </c>
      <c r="B180" s="31"/>
      <c r="C180" s="31" t="s">
        <v>503</v>
      </c>
      <c r="D180" s="32" t="s">
        <v>504</v>
      </c>
      <c r="E180" s="32" t="s">
        <v>505</v>
      </c>
      <c r="F180" s="33">
        <v>1.0</v>
      </c>
      <c r="G180" s="28">
        <v>0.065</v>
      </c>
      <c r="H180" s="3"/>
      <c r="I180" s="34">
        <v>2267.2246548304256</v>
      </c>
      <c r="J180" s="34">
        <f t="shared" si="27"/>
        <v>2153.863422</v>
      </c>
      <c r="K180" s="34">
        <f t="shared" si="2"/>
        <v>2293.864545</v>
      </c>
    </row>
    <row r="181" ht="14.25" customHeight="1">
      <c r="A181" s="36"/>
      <c r="B181" s="36"/>
      <c r="C181" s="3"/>
      <c r="D181" s="3"/>
      <c r="E181" s="3"/>
      <c r="F181" s="3"/>
      <c r="G181" s="3"/>
      <c r="H181" s="3"/>
      <c r="I181" s="4"/>
      <c r="J181" s="4" t="str">
        <f>IF(I181&lt;&gt;"",I181-(I181*0.07),"")</f>
        <v/>
      </c>
      <c r="K181" s="4" t="str">
        <f t="shared" si="2"/>
        <v/>
      </c>
    </row>
    <row r="182" ht="14.25" customHeight="1">
      <c r="A182" s="31" t="s">
        <v>408</v>
      </c>
      <c r="B182" s="31" t="s">
        <v>506</v>
      </c>
      <c r="C182" s="31" t="s">
        <v>507</v>
      </c>
      <c r="D182" s="32" t="s">
        <v>508</v>
      </c>
      <c r="E182" s="32" t="s">
        <v>509</v>
      </c>
      <c r="F182" s="33">
        <v>6.0</v>
      </c>
      <c r="G182" s="28">
        <v>0.065</v>
      </c>
      <c r="H182" s="3"/>
      <c r="I182" s="34">
        <v>109.555605673739</v>
      </c>
      <c r="J182" s="34">
        <f t="shared" ref="J182:J205" si="28">IF(I182&lt;&gt;"",I182-(I182*0.05),"")</f>
        <v>104.0778254</v>
      </c>
      <c r="K182" s="34">
        <f t="shared" si="2"/>
        <v>110.842884</v>
      </c>
    </row>
    <row r="183" ht="14.25" customHeight="1">
      <c r="A183" s="31" t="s">
        <v>408</v>
      </c>
      <c r="B183" s="31" t="s">
        <v>506</v>
      </c>
      <c r="C183" s="31" t="s">
        <v>510</v>
      </c>
      <c r="D183" s="32" t="s">
        <v>511</v>
      </c>
      <c r="E183" s="32" t="s">
        <v>512</v>
      </c>
      <c r="F183" s="33">
        <v>6.0</v>
      </c>
      <c r="G183" s="28">
        <v>0.065</v>
      </c>
      <c r="H183" s="3"/>
      <c r="I183" s="34">
        <v>110.79896819668761</v>
      </c>
      <c r="J183" s="34">
        <f t="shared" si="28"/>
        <v>105.2590198</v>
      </c>
      <c r="K183" s="34">
        <f t="shared" si="2"/>
        <v>112.1008561</v>
      </c>
    </row>
    <row r="184" ht="14.25" customHeight="1">
      <c r="A184" s="31" t="s">
        <v>323</v>
      </c>
      <c r="B184" s="31"/>
      <c r="C184" s="31" t="s">
        <v>513</v>
      </c>
      <c r="D184" s="32" t="s">
        <v>514</v>
      </c>
      <c r="E184" s="32" t="s">
        <v>515</v>
      </c>
      <c r="F184" s="33">
        <v>6.0</v>
      </c>
      <c r="G184" s="28">
        <v>0.065</v>
      </c>
      <c r="H184" s="3"/>
      <c r="I184" s="34">
        <v>166.86377122325257</v>
      </c>
      <c r="J184" s="34">
        <f t="shared" si="28"/>
        <v>158.5205827</v>
      </c>
      <c r="K184" s="34">
        <f t="shared" si="2"/>
        <v>168.8244205</v>
      </c>
    </row>
    <row r="185" ht="14.25" customHeight="1">
      <c r="A185" s="31" t="s">
        <v>323</v>
      </c>
      <c r="B185" s="31"/>
      <c r="C185" s="31" t="s">
        <v>516</v>
      </c>
      <c r="D185" s="32" t="s">
        <v>517</v>
      </c>
      <c r="E185" s="32" t="s">
        <v>518</v>
      </c>
      <c r="F185" s="33">
        <v>6.0</v>
      </c>
      <c r="G185" s="28">
        <v>0.065</v>
      </c>
      <c r="H185" s="3"/>
      <c r="I185" s="34">
        <v>166.86377122325257</v>
      </c>
      <c r="J185" s="34">
        <f t="shared" si="28"/>
        <v>158.5205827</v>
      </c>
      <c r="K185" s="34">
        <f t="shared" si="2"/>
        <v>168.8244205</v>
      </c>
    </row>
    <row r="186" ht="14.25" customHeight="1">
      <c r="A186" s="31" t="s">
        <v>323</v>
      </c>
      <c r="B186" s="31"/>
      <c r="C186" s="31" t="s">
        <v>519</v>
      </c>
      <c r="D186" s="32" t="s">
        <v>520</v>
      </c>
      <c r="E186" s="32" t="s">
        <v>521</v>
      </c>
      <c r="F186" s="33">
        <v>6.0</v>
      </c>
      <c r="G186" s="28">
        <v>0.065</v>
      </c>
      <c r="H186" s="3"/>
      <c r="I186" s="34">
        <v>180.1266718276995</v>
      </c>
      <c r="J186" s="34">
        <f t="shared" si="28"/>
        <v>171.1203382</v>
      </c>
      <c r="K186" s="34">
        <f t="shared" si="2"/>
        <v>182.2431602</v>
      </c>
    </row>
    <row r="187" ht="14.25" customHeight="1">
      <c r="A187" s="31" t="s">
        <v>323</v>
      </c>
      <c r="B187" s="31"/>
      <c r="C187" s="31" t="s">
        <v>522</v>
      </c>
      <c r="D187" s="32" t="s">
        <v>523</v>
      </c>
      <c r="E187" s="32" t="s">
        <v>524</v>
      </c>
      <c r="F187" s="33">
        <v>6.0</v>
      </c>
      <c r="G187" s="28">
        <v>0.065</v>
      </c>
      <c r="H187" s="3"/>
      <c r="I187" s="34">
        <v>180.1266718276995</v>
      </c>
      <c r="J187" s="34">
        <f t="shared" si="28"/>
        <v>171.1203382</v>
      </c>
      <c r="K187" s="34">
        <f t="shared" si="2"/>
        <v>182.2431602</v>
      </c>
    </row>
    <row r="188" ht="14.25" customHeight="1">
      <c r="A188" s="31" t="s">
        <v>408</v>
      </c>
      <c r="B188" s="31" t="s">
        <v>525</v>
      </c>
      <c r="C188" s="31" t="s">
        <v>526</v>
      </c>
      <c r="D188" s="32" t="s">
        <v>527</v>
      </c>
      <c r="E188" s="32" t="s">
        <v>528</v>
      </c>
      <c r="F188" s="33">
        <v>6.0</v>
      </c>
      <c r="G188" s="28">
        <v>0.065</v>
      </c>
      <c r="H188" s="3"/>
      <c r="I188" s="34">
        <v>165.0502387706279</v>
      </c>
      <c r="J188" s="34">
        <f t="shared" si="28"/>
        <v>156.7977268</v>
      </c>
      <c r="K188" s="34">
        <f t="shared" si="2"/>
        <v>166.9895791</v>
      </c>
    </row>
    <row r="189" ht="14.25" customHeight="1">
      <c r="A189" s="31" t="s">
        <v>323</v>
      </c>
      <c r="B189" s="31" t="s">
        <v>529</v>
      </c>
      <c r="C189" s="31" t="s">
        <v>530</v>
      </c>
      <c r="D189" s="32" t="s">
        <v>531</v>
      </c>
      <c r="E189" s="32" t="s">
        <v>532</v>
      </c>
      <c r="F189" s="33">
        <v>6.0</v>
      </c>
      <c r="G189" s="28">
        <v>0.065</v>
      </c>
      <c r="H189" s="3"/>
      <c r="I189" s="34">
        <v>187.3349472717297</v>
      </c>
      <c r="J189" s="34">
        <f t="shared" si="28"/>
        <v>177.9681999</v>
      </c>
      <c r="K189" s="34">
        <f t="shared" si="2"/>
        <v>189.5361329</v>
      </c>
    </row>
    <row r="190" ht="14.25" customHeight="1">
      <c r="A190" s="31" t="s">
        <v>408</v>
      </c>
      <c r="B190" s="31" t="s">
        <v>417</v>
      </c>
      <c r="C190" s="31" t="s">
        <v>533</v>
      </c>
      <c r="D190" s="32" t="s">
        <v>534</v>
      </c>
      <c r="E190" s="32" t="s">
        <v>535</v>
      </c>
      <c r="F190" s="33">
        <v>6.0</v>
      </c>
      <c r="G190" s="28">
        <v>0.065</v>
      </c>
      <c r="H190" s="3"/>
      <c r="I190" s="34">
        <v>172.4015403570576</v>
      </c>
      <c r="J190" s="34">
        <f t="shared" si="28"/>
        <v>163.7814633</v>
      </c>
      <c r="K190" s="34">
        <f t="shared" si="2"/>
        <v>174.4272585</v>
      </c>
    </row>
    <row r="191" ht="14.25" customHeight="1">
      <c r="A191" s="31" t="s">
        <v>323</v>
      </c>
      <c r="B191" s="31" t="s">
        <v>324</v>
      </c>
      <c r="C191" s="31" t="s">
        <v>536</v>
      </c>
      <c r="D191" s="32" t="s">
        <v>537</v>
      </c>
      <c r="E191" s="32" t="s">
        <v>538</v>
      </c>
      <c r="F191" s="33">
        <v>6.0</v>
      </c>
      <c r="G191" s="28">
        <v>0.065</v>
      </c>
      <c r="H191" s="3"/>
      <c r="I191" s="34">
        <v>201.98838253386685</v>
      </c>
      <c r="J191" s="34">
        <f t="shared" si="28"/>
        <v>191.8889634</v>
      </c>
      <c r="K191" s="34">
        <f t="shared" si="2"/>
        <v>204.361746</v>
      </c>
    </row>
    <row r="192" ht="14.25" customHeight="1">
      <c r="A192" s="31" t="s">
        <v>323</v>
      </c>
      <c r="B192" s="31" t="s">
        <v>539</v>
      </c>
      <c r="C192" s="31" t="s">
        <v>540</v>
      </c>
      <c r="D192" s="32" t="s">
        <v>541</v>
      </c>
      <c r="E192" s="32" t="s">
        <v>542</v>
      </c>
      <c r="F192" s="33">
        <v>6.0</v>
      </c>
      <c r="G192" s="28">
        <v>0.065</v>
      </c>
      <c r="H192" s="3"/>
      <c r="I192" s="34">
        <v>226.7717522827722</v>
      </c>
      <c r="J192" s="34">
        <f t="shared" si="28"/>
        <v>215.4331647</v>
      </c>
      <c r="K192" s="34">
        <f t="shared" si="2"/>
        <v>229.4363204</v>
      </c>
    </row>
    <row r="193" ht="14.25" customHeight="1">
      <c r="A193" s="31" t="s">
        <v>323</v>
      </c>
      <c r="B193" s="31" t="s">
        <v>543</v>
      </c>
      <c r="C193" s="31" t="s">
        <v>544</v>
      </c>
      <c r="D193" s="32" t="s">
        <v>545</v>
      </c>
      <c r="E193" s="32" t="s">
        <v>546</v>
      </c>
      <c r="F193" s="33">
        <v>6.0</v>
      </c>
      <c r="G193" s="28">
        <v>0.065</v>
      </c>
      <c r="H193" s="3"/>
      <c r="I193" s="34">
        <v>287.8219719946901</v>
      </c>
      <c r="J193" s="34">
        <f t="shared" si="28"/>
        <v>273.4308734</v>
      </c>
      <c r="K193" s="34">
        <f t="shared" si="2"/>
        <v>291.2038802</v>
      </c>
    </row>
    <row r="194" ht="14.25" customHeight="1">
      <c r="A194" s="31" t="s">
        <v>323</v>
      </c>
      <c r="B194" s="31" t="s">
        <v>543</v>
      </c>
      <c r="C194" s="31" t="s">
        <v>547</v>
      </c>
      <c r="D194" s="32" t="s">
        <v>548</v>
      </c>
      <c r="E194" s="32" t="s">
        <v>549</v>
      </c>
      <c r="F194" s="33">
        <v>6.0</v>
      </c>
      <c r="G194" s="28">
        <v>0.065</v>
      </c>
      <c r="H194" s="3"/>
      <c r="I194" s="34">
        <v>291.17369336993664</v>
      </c>
      <c r="J194" s="34">
        <f t="shared" si="28"/>
        <v>276.6150087</v>
      </c>
      <c r="K194" s="34">
        <f t="shared" si="2"/>
        <v>294.5949843</v>
      </c>
    </row>
    <row r="195" ht="14.25" customHeight="1">
      <c r="A195" s="31" t="s">
        <v>323</v>
      </c>
      <c r="B195" s="31" t="s">
        <v>550</v>
      </c>
      <c r="C195" s="31" t="s">
        <v>551</v>
      </c>
      <c r="D195" s="32" t="s">
        <v>552</v>
      </c>
      <c r="E195" s="32" t="s">
        <v>553</v>
      </c>
      <c r="F195" s="33">
        <v>6.0</v>
      </c>
      <c r="G195" s="28">
        <v>0.065</v>
      </c>
      <c r="H195" s="3"/>
      <c r="I195" s="34">
        <v>288.2843172037364</v>
      </c>
      <c r="J195" s="34">
        <f t="shared" si="28"/>
        <v>273.8701013</v>
      </c>
      <c r="K195" s="34">
        <f t="shared" si="2"/>
        <v>291.6716579</v>
      </c>
    </row>
    <row r="196" ht="14.25" customHeight="1">
      <c r="A196" s="31" t="s">
        <v>323</v>
      </c>
      <c r="B196" s="31" t="s">
        <v>324</v>
      </c>
      <c r="C196" s="31" t="s">
        <v>554</v>
      </c>
      <c r="D196" s="32" t="s">
        <v>555</v>
      </c>
      <c r="E196" s="32" t="s">
        <v>556</v>
      </c>
      <c r="F196" s="33">
        <v>6.0</v>
      </c>
      <c r="G196" s="28">
        <v>0.065</v>
      </c>
      <c r="H196" s="3"/>
      <c r="I196" s="34">
        <v>385.0195364309396</v>
      </c>
      <c r="J196" s="34">
        <f t="shared" si="28"/>
        <v>365.7685596</v>
      </c>
      <c r="K196" s="34">
        <f t="shared" si="2"/>
        <v>389.543516</v>
      </c>
    </row>
    <row r="197" ht="14.25" customHeight="1">
      <c r="A197" s="31" t="s">
        <v>323</v>
      </c>
      <c r="B197" s="31" t="s">
        <v>557</v>
      </c>
      <c r="C197" s="31" t="s">
        <v>558</v>
      </c>
      <c r="D197" s="32" t="s">
        <v>559</v>
      </c>
      <c r="E197" s="32" t="s">
        <v>560</v>
      </c>
      <c r="F197" s="33">
        <v>6.0</v>
      </c>
      <c r="G197" s="28">
        <v>0.065</v>
      </c>
      <c r="H197" s="3"/>
      <c r="I197" s="34">
        <v>470.2386872930722</v>
      </c>
      <c r="J197" s="34">
        <f t="shared" si="28"/>
        <v>446.7267529</v>
      </c>
      <c r="K197" s="34">
        <f t="shared" si="2"/>
        <v>475.7639919</v>
      </c>
    </row>
    <row r="198" ht="14.25" customHeight="1">
      <c r="A198" s="31" t="s">
        <v>323</v>
      </c>
      <c r="B198" s="31" t="s">
        <v>561</v>
      </c>
      <c r="C198" s="31" t="s">
        <v>562</v>
      </c>
      <c r="D198" s="32" t="s">
        <v>563</v>
      </c>
      <c r="E198" s="32" t="s">
        <v>564</v>
      </c>
      <c r="F198" s="33">
        <v>6.0</v>
      </c>
      <c r="G198" s="28">
        <v>0.065</v>
      </c>
      <c r="H198" s="3"/>
      <c r="I198" s="34">
        <v>540.021499362462</v>
      </c>
      <c r="J198" s="34">
        <f t="shared" si="28"/>
        <v>513.0204244</v>
      </c>
      <c r="K198" s="34">
        <f t="shared" si="2"/>
        <v>546.366752</v>
      </c>
    </row>
    <row r="199" ht="14.25" customHeight="1">
      <c r="A199" s="31" t="s">
        <v>323</v>
      </c>
      <c r="B199" s="31" t="s">
        <v>565</v>
      </c>
      <c r="C199" s="31" t="s">
        <v>566</v>
      </c>
      <c r="D199" s="32" t="s">
        <v>567</v>
      </c>
      <c r="E199" s="32" t="s">
        <v>568</v>
      </c>
      <c r="F199" s="33">
        <v>6.0</v>
      </c>
      <c r="G199" s="28">
        <v>0.065</v>
      </c>
      <c r="H199" s="3"/>
      <c r="I199" s="34">
        <v>568.8648779409117</v>
      </c>
      <c r="J199" s="34">
        <f t="shared" si="28"/>
        <v>540.421634</v>
      </c>
      <c r="K199" s="34">
        <f t="shared" si="2"/>
        <v>575.5490403</v>
      </c>
    </row>
    <row r="200" ht="14.25" customHeight="1">
      <c r="A200" s="31" t="s">
        <v>323</v>
      </c>
      <c r="B200" s="31" t="s">
        <v>539</v>
      </c>
      <c r="C200" s="31" t="s">
        <v>569</v>
      </c>
      <c r="D200" s="32" t="s">
        <v>570</v>
      </c>
      <c r="E200" s="32" t="s">
        <v>571</v>
      </c>
      <c r="F200" s="33">
        <v>6.0</v>
      </c>
      <c r="G200" s="28">
        <v>0.065</v>
      </c>
      <c r="H200" s="3"/>
      <c r="I200" s="34">
        <v>783.2816448897203</v>
      </c>
      <c r="J200" s="34">
        <f t="shared" si="28"/>
        <v>744.1175626</v>
      </c>
      <c r="K200" s="34">
        <f t="shared" si="2"/>
        <v>792.4852042</v>
      </c>
    </row>
    <row r="201" ht="14.25" customHeight="1">
      <c r="A201" s="31" t="s">
        <v>323</v>
      </c>
      <c r="B201" s="31" t="s">
        <v>572</v>
      </c>
      <c r="C201" s="31" t="s">
        <v>573</v>
      </c>
      <c r="D201" s="32" t="s">
        <v>574</v>
      </c>
      <c r="E201" s="32" t="s">
        <v>575</v>
      </c>
      <c r="F201" s="33">
        <v>6.0</v>
      </c>
      <c r="G201" s="28">
        <v>0.065</v>
      </c>
      <c r="H201" s="3"/>
      <c r="I201" s="34">
        <v>858.5406890411749</v>
      </c>
      <c r="J201" s="34">
        <f t="shared" si="28"/>
        <v>815.6136546</v>
      </c>
      <c r="K201" s="34">
        <f t="shared" si="2"/>
        <v>868.6285421</v>
      </c>
    </row>
    <row r="202" ht="14.25" customHeight="1">
      <c r="A202" s="31" t="s">
        <v>323</v>
      </c>
      <c r="B202" s="31" t="s">
        <v>557</v>
      </c>
      <c r="C202" s="31" t="s">
        <v>576</v>
      </c>
      <c r="D202" s="32" t="s">
        <v>577</v>
      </c>
      <c r="E202" s="32" t="s">
        <v>578</v>
      </c>
      <c r="F202" s="33">
        <v>6.0</v>
      </c>
      <c r="G202" s="28">
        <v>0.065</v>
      </c>
      <c r="H202" s="3"/>
      <c r="I202" s="34">
        <v>974.879887317084</v>
      </c>
      <c r="J202" s="34">
        <f t="shared" si="28"/>
        <v>926.135893</v>
      </c>
      <c r="K202" s="34">
        <f t="shared" si="2"/>
        <v>986.334726</v>
      </c>
    </row>
    <row r="203" ht="14.25" customHeight="1">
      <c r="A203" s="31" t="s">
        <v>323</v>
      </c>
      <c r="B203" s="31" t="s">
        <v>579</v>
      </c>
      <c r="C203" s="31" t="s">
        <v>580</v>
      </c>
      <c r="D203" s="32" t="s">
        <v>581</v>
      </c>
      <c r="E203" s="32" t="s">
        <v>582</v>
      </c>
      <c r="F203" s="33">
        <v>6.0</v>
      </c>
      <c r="G203" s="28">
        <v>0.065</v>
      </c>
      <c r="H203" s="3"/>
      <c r="I203" s="34">
        <v>1186.696681716246</v>
      </c>
      <c r="J203" s="34">
        <f t="shared" si="28"/>
        <v>1127.361848</v>
      </c>
      <c r="K203" s="34">
        <f t="shared" si="2"/>
        <v>1200.640368</v>
      </c>
    </row>
    <row r="204" ht="14.25" customHeight="1">
      <c r="A204" s="31" t="s">
        <v>323</v>
      </c>
      <c r="B204" s="31" t="s">
        <v>583</v>
      </c>
      <c r="C204" s="31" t="s">
        <v>584</v>
      </c>
      <c r="D204" s="32" t="s">
        <v>585</v>
      </c>
      <c r="E204" s="32" t="s">
        <v>586</v>
      </c>
      <c r="F204" s="33">
        <v>6.0</v>
      </c>
      <c r="G204" s="28">
        <v>0.065</v>
      </c>
      <c r="H204" s="3"/>
      <c r="I204" s="34">
        <v>1505.590723565849</v>
      </c>
      <c r="J204" s="34">
        <f t="shared" si="28"/>
        <v>1430.311187</v>
      </c>
      <c r="K204" s="34">
        <f t="shared" si="2"/>
        <v>1523.281415</v>
      </c>
    </row>
    <row r="205" ht="14.25" customHeight="1">
      <c r="A205" s="31" t="s">
        <v>323</v>
      </c>
      <c r="B205" s="31" t="s">
        <v>587</v>
      </c>
      <c r="C205" s="31" t="s">
        <v>588</v>
      </c>
      <c r="D205" s="32" t="s">
        <v>589</v>
      </c>
      <c r="E205" s="32" t="s">
        <v>590</v>
      </c>
      <c r="F205" s="33">
        <v>6.0</v>
      </c>
      <c r="G205" s="28">
        <v>0.065</v>
      </c>
      <c r="H205" s="3"/>
      <c r="I205" s="34">
        <v>2286.834656341047</v>
      </c>
      <c r="J205" s="34">
        <f t="shared" si="28"/>
        <v>2172.492924</v>
      </c>
      <c r="K205" s="34">
        <f t="shared" si="2"/>
        <v>2313.704964</v>
      </c>
    </row>
    <row r="206" ht="14.25" customHeight="1">
      <c r="A206" s="31" t="s">
        <v>591</v>
      </c>
      <c r="B206" s="31"/>
      <c r="C206" s="31" t="s">
        <v>75</v>
      </c>
      <c r="D206" s="32" t="s">
        <v>592</v>
      </c>
      <c r="E206" s="32" t="s">
        <v>593</v>
      </c>
      <c r="F206" s="33">
        <v>6.0</v>
      </c>
      <c r="G206" s="28">
        <v>0.06500000000000002</v>
      </c>
      <c r="H206" s="3"/>
      <c r="I206" s="29">
        <v>127.50839038879089</v>
      </c>
      <c r="J206" s="34">
        <f t="shared" ref="J206:J208" si="29">IF(I206&lt;&gt;"",I206-(I206*0.07),"")</f>
        <v>118.5828031</v>
      </c>
      <c r="K206" s="34">
        <f t="shared" si="2"/>
        <v>126.2906853</v>
      </c>
    </row>
    <row r="207" ht="14.25" customHeight="1">
      <c r="A207" s="31" t="s">
        <v>591</v>
      </c>
      <c r="B207" s="31"/>
      <c r="C207" s="31" t="s">
        <v>75</v>
      </c>
      <c r="D207" s="32" t="s">
        <v>594</v>
      </c>
      <c r="E207" s="32" t="s">
        <v>595</v>
      </c>
      <c r="F207" s="33">
        <v>6.0</v>
      </c>
      <c r="G207" s="28">
        <v>0.06500000000000002</v>
      </c>
      <c r="H207" s="3"/>
      <c r="I207" s="29">
        <v>142.12087252644008</v>
      </c>
      <c r="J207" s="34">
        <f t="shared" si="29"/>
        <v>132.1724114</v>
      </c>
      <c r="K207" s="34">
        <f t="shared" si="2"/>
        <v>140.7636182</v>
      </c>
    </row>
    <row r="208" ht="14.25" customHeight="1">
      <c r="A208" s="31" t="s">
        <v>408</v>
      </c>
      <c r="B208" s="31"/>
      <c r="C208" s="31" t="s">
        <v>75</v>
      </c>
      <c r="D208" s="32" t="s">
        <v>596</v>
      </c>
      <c r="E208" s="32" t="s">
        <v>597</v>
      </c>
      <c r="F208" s="33">
        <v>6.0</v>
      </c>
      <c r="G208" s="28">
        <v>0.06500000000000002</v>
      </c>
      <c r="H208" s="3"/>
      <c r="I208" s="29">
        <v>158.69026857151013</v>
      </c>
      <c r="J208" s="34">
        <f t="shared" si="29"/>
        <v>147.5819498</v>
      </c>
      <c r="K208" s="34">
        <f t="shared" si="2"/>
        <v>157.1747765</v>
      </c>
    </row>
    <row r="209" ht="14.25" customHeight="1">
      <c r="A209" s="31" t="s">
        <v>323</v>
      </c>
      <c r="B209" s="31" t="s">
        <v>324</v>
      </c>
      <c r="C209" s="31" t="s">
        <v>598</v>
      </c>
      <c r="D209" s="32" t="s">
        <v>599</v>
      </c>
      <c r="E209" s="32" t="s">
        <v>600</v>
      </c>
      <c r="F209" s="33">
        <v>6.0</v>
      </c>
      <c r="G209" s="28">
        <v>0.065</v>
      </c>
      <c r="H209" s="3"/>
      <c r="I209" s="34">
        <v>204.32515558236813</v>
      </c>
      <c r="J209" s="34">
        <f t="shared" ref="J209:J210" si="30">IF(I209&lt;&gt;"",I209-(I209*0.05),"")</f>
        <v>194.1088978</v>
      </c>
      <c r="K209" s="34">
        <f t="shared" si="2"/>
        <v>206.7259762</v>
      </c>
    </row>
    <row r="210" ht="14.25" customHeight="1">
      <c r="A210" s="31" t="s">
        <v>323</v>
      </c>
      <c r="B210" s="31" t="s">
        <v>324</v>
      </c>
      <c r="C210" s="31" t="s">
        <v>75</v>
      </c>
      <c r="D210" s="32" t="s">
        <v>601</v>
      </c>
      <c r="E210" s="32" t="s">
        <v>602</v>
      </c>
      <c r="F210" s="33">
        <v>6.0</v>
      </c>
      <c r="G210" s="28">
        <v>0.06500000000000002</v>
      </c>
      <c r="H210" s="3"/>
      <c r="I210" s="34">
        <v>687.971108360846</v>
      </c>
      <c r="J210" s="34">
        <f t="shared" si="30"/>
        <v>653.5725529</v>
      </c>
      <c r="K210" s="34">
        <f t="shared" si="2"/>
        <v>696.0547689</v>
      </c>
    </row>
    <row r="211" ht="14.25" customHeight="1">
      <c r="A211" s="36"/>
      <c r="B211" s="36"/>
      <c r="C211" s="3"/>
      <c r="D211" s="3"/>
      <c r="E211" s="3"/>
      <c r="F211" s="3"/>
      <c r="G211" s="3"/>
      <c r="H211" s="3"/>
      <c r="I211" s="4"/>
      <c r="J211" s="4" t="str">
        <f t="shared" ref="J211:J214" si="31">IF(I211&lt;&gt;"",I211-(I211*0.07),"")</f>
        <v/>
      </c>
      <c r="K211" s="4" t="str">
        <f t="shared" si="2"/>
        <v/>
      </c>
    </row>
    <row r="212" ht="14.25" customHeight="1">
      <c r="A212" s="25" t="s">
        <v>312</v>
      </c>
      <c r="B212" s="25" t="s">
        <v>603</v>
      </c>
      <c r="C212" s="25" t="s">
        <v>604</v>
      </c>
      <c r="D212" s="26" t="s">
        <v>605</v>
      </c>
      <c r="E212" s="26" t="s">
        <v>606</v>
      </c>
      <c r="F212" s="27">
        <v>6.0</v>
      </c>
      <c r="G212" s="28">
        <v>0.065</v>
      </c>
      <c r="H212" s="3"/>
      <c r="I212" s="29">
        <v>61.63102068014373</v>
      </c>
      <c r="J212" s="29">
        <f t="shared" si="31"/>
        <v>57.31684923</v>
      </c>
      <c r="K212" s="29">
        <f t="shared" si="2"/>
        <v>61.04244443</v>
      </c>
    </row>
    <row r="213" ht="14.25" customHeight="1">
      <c r="A213" s="25" t="s">
        <v>607</v>
      </c>
      <c r="B213" s="25"/>
      <c r="C213" s="25" t="s">
        <v>608</v>
      </c>
      <c r="D213" s="26" t="s">
        <v>609</v>
      </c>
      <c r="E213" s="26" t="s">
        <v>610</v>
      </c>
      <c r="F213" s="27">
        <v>6.0</v>
      </c>
      <c r="G213" s="28">
        <v>0.065</v>
      </c>
      <c r="H213" s="3"/>
      <c r="I213" s="29">
        <v>95.84806432971</v>
      </c>
      <c r="J213" s="29">
        <f t="shared" si="31"/>
        <v>89.13869983</v>
      </c>
      <c r="K213" s="29">
        <f t="shared" si="2"/>
        <v>94.93271532</v>
      </c>
    </row>
    <row r="214" ht="14.25" customHeight="1">
      <c r="A214" s="36"/>
      <c r="B214" s="36"/>
      <c r="C214" s="36"/>
      <c r="D214" s="3"/>
      <c r="E214" s="3"/>
      <c r="F214" s="37"/>
      <c r="G214" s="39"/>
      <c r="H214" s="3"/>
      <c r="I214" s="4"/>
      <c r="J214" s="4" t="str">
        <f t="shared" si="31"/>
        <v/>
      </c>
      <c r="K214" s="4" t="str">
        <f t="shared" si="2"/>
        <v/>
      </c>
    </row>
    <row r="215" ht="14.25" customHeight="1">
      <c r="A215" s="41" t="s">
        <v>467</v>
      </c>
      <c r="B215" s="41"/>
      <c r="C215" s="41" t="s">
        <v>611</v>
      </c>
      <c r="D215" s="32" t="s">
        <v>612</v>
      </c>
      <c r="E215" s="32" t="s">
        <v>613</v>
      </c>
      <c r="F215" s="33">
        <v>6.0</v>
      </c>
      <c r="G215" s="28">
        <v>0.065</v>
      </c>
      <c r="H215" s="3"/>
      <c r="I215" s="34">
        <v>270.982252533384</v>
      </c>
      <c r="J215" s="34">
        <f t="shared" ref="J215:J216" si="32">IF(I215&lt;&gt;"",I215-(I215*0.05),"")</f>
        <v>257.4331399</v>
      </c>
      <c r="K215" s="34">
        <f t="shared" si="2"/>
        <v>274.166294</v>
      </c>
    </row>
    <row r="216" ht="14.25" customHeight="1">
      <c r="A216" s="41" t="s">
        <v>467</v>
      </c>
      <c r="B216" s="41"/>
      <c r="C216" s="41" t="s">
        <v>614</v>
      </c>
      <c r="D216" s="32" t="s">
        <v>615</v>
      </c>
      <c r="E216" s="32" t="s">
        <v>616</v>
      </c>
      <c r="F216" s="33">
        <v>6.0</v>
      </c>
      <c r="G216" s="28">
        <v>0.065</v>
      </c>
      <c r="H216" s="3"/>
      <c r="I216" s="34">
        <v>354.499065160905</v>
      </c>
      <c r="J216" s="34">
        <f t="shared" si="32"/>
        <v>336.7741119</v>
      </c>
      <c r="K216" s="34">
        <f t="shared" si="2"/>
        <v>358.6644292</v>
      </c>
    </row>
    <row r="217" ht="14.25" customHeight="1">
      <c r="A217" s="36"/>
      <c r="B217" s="36"/>
      <c r="C217" s="3"/>
      <c r="D217" s="3"/>
      <c r="E217" s="3"/>
      <c r="F217" s="3"/>
      <c r="G217" s="3"/>
      <c r="H217" s="3"/>
      <c r="I217" s="4"/>
      <c r="J217" s="4" t="str">
        <f t="shared" ref="J217:J245" si="33">IF(I217&lt;&gt;"",I217-(I217*0.07),"")</f>
        <v/>
      </c>
      <c r="K217" s="4" t="str">
        <f t="shared" si="2"/>
        <v/>
      </c>
    </row>
    <row r="218" ht="14.25" customHeight="1">
      <c r="A218" s="42" t="s">
        <v>398</v>
      </c>
      <c r="B218" s="42"/>
      <c r="C218" s="42" t="s">
        <v>617</v>
      </c>
      <c r="D218" s="26" t="s">
        <v>618</v>
      </c>
      <c r="E218" s="26" t="s">
        <v>619</v>
      </c>
      <c r="F218" s="27">
        <v>12.0</v>
      </c>
      <c r="G218" s="28">
        <v>0.065</v>
      </c>
      <c r="H218" s="3"/>
      <c r="I218" s="29">
        <v>42.77546661946682</v>
      </c>
      <c r="J218" s="29">
        <f t="shared" si="33"/>
        <v>39.78118396</v>
      </c>
      <c r="K218" s="29">
        <f t="shared" si="2"/>
        <v>42.36696091</v>
      </c>
    </row>
    <row r="219" ht="14.25" customHeight="1">
      <c r="A219" s="42" t="s">
        <v>398</v>
      </c>
      <c r="B219" s="42"/>
      <c r="C219" s="42" t="s">
        <v>620</v>
      </c>
      <c r="D219" s="26" t="s">
        <v>621</v>
      </c>
      <c r="E219" s="26" t="s">
        <v>622</v>
      </c>
      <c r="F219" s="27">
        <v>12.0</v>
      </c>
      <c r="G219" s="28">
        <v>0.065</v>
      </c>
      <c r="H219" s="3"/>
      <c r="I219" s="29">
        <v>42.77546661946682</v>
      </c>
      <c r="J219" s="29">
        <f t="shared" si="33"/>
        <v>39.78118396</v>
      </c>
      <c r="K219" s="29">
        <f t="shared" si="2"/>
        <v>42.36696091</v>
      </c>
    </row>
    <row r="220" ht="14.25" customHeight="1">
      <c r="A220" s="36"/>
      <c r="B220" s="36"/>
      <c r="C220" s="3"/>
      <c r="D220" s="3"/>
      <c r="E220" s="3"/>
      <c r="F220" s="3"/>
      <c r="G220" s="3"/>
      <c r="H220" s="3"/>
      <c r="I220" s="4"/>
      <c r="J220" s="4" t="str">
        <f t="shared" si="33"/>
        <v/>
      </c>
      <c r="K220" s="4" t="str">
        <f t="shared" si="2"/>
        <v/>
      </c>
    </row>
    <row r="221" ht="14.25" customHeight="1">
      <c r="A221" s="42" t="s">
        <v>292</v>
      </c>
      <c r="B221" s="42"/>
      <c r="C221" s="42" t="s">
        <v>623</v>
      </c>
      <c r="D221" s="26" t="s">
        <v>624</v>
      </c>
      <c r="E221" s="26" t="s">
        <v>625</v>
      </c>
      <c r="F221" s="27">
        <v>6.0</v>
      </c>
      <c r="G221" s="28">
        <v>0.065</v>
      </c>
      <c r="H221" s="3"/>
      <c r="I221" s="29">
        <v>48.805746519666116</v>
      </c>
      <c r="J221" s="29">
        <f t="shared" si="33"/>
        <v>45.38934426</v>
      </c>
      <c r="K221" s="29">
        <f t="shared" si="2"/>
        <v>48.33965164</v>
      </c>
    </row>
    <row r="222" ht="14.25" customHeight="1">
      <c r="A222" s="42" t="s">
        <v>292</v>
      </c>
      <c r="B222" s="42"/>
      <c r="C222" s="42" t="s">
        <v>626</v>
      </c>
      <c r="D222" s="26" t="s">
        <v>627</v>
      </c>
      <c r="E222" s="26" t="s">
        <v>628</v>
      </c>
      <c r="F222" s="27">
        <v>6.0</v>
      </c>
      <c r="G222" s="28">
        <v>0.065</v>
      </c>
      <c r="H222" s="3"/>
      <c r="I222" s="29">
        <v>48.805746519666116</v>
      </c>
      <c r="J222" s="29">
        <f t="shared" si="33"/>
        <v>45.38934426</v>
      </c>
      <c r="K222" s="29">
        <f t="shared" si="2"/>
        <v>48.33965164</v>
      </c>
    </row>
    <row r="223" ht="14.25" customHeight="1">
      <c r="A223" s="42" t="s">
        <v>292</v>
      </c>
      <c r="B223" s="42"/>
      <c r="C223" s="42" t="s">
        <v>629</v>
      </c>
      <c r="D223" s="26" t="s">
        <v>630</v>
      </c>
      <c r="E223" s="26" t="s">
        <v>631</v>
      </c>
      <c r="F223" s="27">
        <v>6.0</v>
      </c>
      <c r="G223" s="28">
        <v>0.065</v>
      </c>
      <c r="H223" s="3"/>
      <c r="I223" s="29">
        <v>48.805746519666116</v>
      </c>
      <c r="J223" s="29">
        <f t="shared" si="33"/>
        <v>45.38934426</v>
      </c>
      <c r="K223" s="29">
        <f t="shared" si="2"/>
        <v>48.33965164</v>
      </c>
    </row>
    <row r="224" ht="14.25" customHeight="1">
      <c r="A224" s="42" t="s">
        <v>292</v>
      </c>
      <c r="B224" s="42"/>
      <c r="C224" s="42" t="s">
        <v>632</v>
      </c>
      <c r="D224" s="26" t="s">
        <v>633</v>
      </c>
      <c r="E224" s="26" t="s">
        <v>634</v>
      </c>
      <c r="F224" s="27">
        <v>6.0</v>
      </c>
      <c r="G224" s="28">
        <v>0.065</v>
      </c>
      <c r="H224" s="3"/>
      <c r="I224" s="29">
        <v>48.805746519666116</v>
      </c>
      <c r="J224" s="29">
        <f t="shared" si="33"/>
        <v>45.38934426</v>
      </c>
      <c r="K224" s="29">
        <f t="shared" si="2"/>
        <v>48.33965164</v>
      </c>
    </row>
    <row r="225" ht="14.25" customHeight="1">
      <c r="A225" s="42" t="s">
        <v>292</v>
      </c>
      <c r="B225" s="42"/>
      <c r="C225" s="42" t="s">
        <v>635</v>
      </c>
      <c r="D225" s="26" t="s">
        <v>636</v>
      </c>
      <c r="E225" s="26" t="s">
        <v>637</v>
      </c>
      <c r="F225" s="27">
        <v>6.0</v>
      </c>
      <c r="G225" s="28">
        <v>0.065</v>
      </c>
      <c r="H225" s="3"/>
      <c r="I225" s="29">
        <v>48.805746519666116</v>
      </c>
      <c r="J225" s="29">
        <f t="shared" si="33"/>
        <v>45.38934426</v>
      </c>
      <c r="K225" s="29">
        <f t="shared" si="2"/>
        <v>48.33965164</v>
      </c>
    </row>
    <row r="226" ht="14.25" customHeight="1">
      <c r="A226" s="42" t="s">
        <v>292</v>
      </c>
      <c r="B226" s="42"/>
      <c r="C226" s="42" t="s">
        <v>638</v>
      </c>
      <c r="D226" s="26" t="s">
        <v>639</v>
      </c>
      <c r="E226" s="26" t="s">
        <v>640</v>
      </c>
      <c r="F226" s="27">
        <v>6.0</v>
      </c>
      <c r="G226" s="28">
        <v>0.065</v>
      </c>
      <c r="H226" s="3"/>
      <c r="I226" s="29">
        <v>48.805746519666116</v>
      </c>
      <c r="J226" s="29">
        <f t="shared" si="33"/>
        <v>45.38934426</v>
      </c>
      <c r="K226" s="29">
        <f t="shared" si="2"/>
        <v>48.33965164</v>
      </c>
    </row>
    <row r="227" ht="14.25" customHeight="1">
      <c r="A227" s="36"/>
      <c r="B227" s="36"/>
      <c r="C227" s="3"/>
      <c r="D227" s="3"/>
      <c r="E227" s="3"/>
      <c r="F227" s="3"/>
      <c r="G227" s="3"/>
      <c r="H227" s="3"/>
      <c r="I227" s="4"/>
      <c r="J227" s="4" t="str">
        <f t="shared" si="33"/>
        <v/>
      </c>
      <c r="K227" s="4" t="str">
        <f t="shared" si="2"/>
        <v/>
      </c>
    </row>
    <row r="228" ht="14.25" customHeight="1">
      <c r="A228" s="42" t="s">
        <v>292</v>
      </c>
      <c r="B228" s="42"/>
      <c r="C228" s="42" t="s">
        <v>641</v>
      </c>
      <c r="D228" s="26" t="s">
        <v>642</v>
      </c>
      <c r="E228" s="26" t="s">
        <v>643</v>
      </c>
      <c r="F228" s="27">
        <v>6.0</v>
      </c>
      <c r="G228" s="28">
        <v>0.065</v>
      </c>
      <c r="H228" s="3"/>
      <c r="I228" s="29">
        <v>58.9546070261925</v>
      </c>
      <c r="J228" s="29">
        <f t="shared" si="33"/>
        <v>54.82778453</v>
      </c>
      <c r="K228" s="29">
        <f t="shared" si="2"/>
        <v>58.39159053</v>
      </c>
    </row>
    <row r="229" ht="14.25" customHeight="1">
      <c r="A229" s="42" t="s">
        <v>292</v>
      </c>
      <c r="B229" s="42"/>
      <c r="C229" s="42" t="s">
        <v>644</v>
      </c>
      <c r="D229" s="26" t="s">
        <v>645</v>
      </c>
      <c r="E229" s="26" t="s">
        <v>646</v>
      </c>
      <c r="F229" s="27">
        <v>6.0</v>
      </c>
      <c r="G229" s="28">
        <v>0.065</v>
      </c>
      <c r="H229" s="3"/>
      <c r="I229" s="29">
        <v>58.9546070261925</v>
      </c>
      <c r="J229" s="29">
        <f t="shared" si="33"/>
        <v>54.82778453</v>
      </c>
      <c r="K229" s="29">
        <f t="shared" si="2"/>
        <v>58.39159053</v>
      </c>
    </row>
    <row r="230" ht="14.25" customHeight="1">
      <c r="A230" s="42" t="s">
        <v>292</v>
      </c>
      <c r="B230" s="42"/>
      <c r="C230" s="42" t="s">
        <v>647</v>
      </c>
      <c r="D230" s="26" t="s">
        <v>648</v>
      </c>
      <c r="E230" s="26" t="s">
        <v>649</v>
      </c>
      <c r="F230" s="27">
        <v>6.0</v>
      </c>
      <c r="G230" s="28">
        <v>0.065</v>
      </c>
      <c r="H230" s="3"/>
      <c r="I230" s="29">
        <v>58.9546070261925</v>
      </c>
      <c r="J230" s="29">
        <f t="shared" si="33"/>
        <v>54.82778453</v>
      </c>
      <c r="K230" s="29">
        <f t="shared" si="2"/>
        <v>58.39159053</v>
      </c>
    </row>
    <row r="231" ht="14.25" customHeight="1">
      <c r="A231" s="42" t="s">
        <v>292</v>
      </c>
      <c r="B231" s="42"/>
      <c r="C231" s="42" t="s">
        <v>650</v>
      </c>
      <c r="D231" s="26" t="s">
        <v>651</v>
      </c>
      <c r="E231" s="26" t="s">
        <v>652</v>
      </c>
      <c r="F231" s="27">
        <v>6.0</v>
      </c>
      <c r="G231" s="28">
        <v>0.065</v>
      </c>
      <c r="H231" s="3"/>
      <c r="I231" s="29">
        <v>62.6453402502375</v>
      </c>
      <c r="J231" s="29">
        <f t="shared" si="33"/>
        <v>58.26016643</v>
      </c>
      <c r="K231" s="29">
        <f t="shared" si="2"/>
        <v>62.04707725</v>
      </c>
    </row>
    <row r="232" ht="14.25" customHeight="1">
      <c r="A232" s="42" t="s">
        <v>288</v>
      </c>
      <c r="B232" s="42"/>
      <c r="C232" s="42" t="s">
        <v>653</v>
      </c>
      <c r="D232" s="26" t="s">
        <v>654</v>
      </c>
      <c r="E232" s="26" t="s">
        <v>655</v>
      </c>
      <c r="F232" s="27">
        <v>6.0</v>
      </c>
      <c r="G232" s="28">
        <v>0.065</v>
      </c>
      <c r="H232" s="3"/>
      <c r="I232" s="29">
        <v>62.6453402502375</v>
      </c>
      <c r="J232" s="29">
        <f t="shared" si="33"/>
        <v>58.26016643</v>
      </c>
      <c r="K232" s="29">
        <f t="shared" si="2"/>
        <v>62.04707725</v>
      </c>
    </row>
    <row r="233" ht="14.25" customHeight="1">
      <c r="A233" s="42" t="s">
        <v>292</v>
      </c>
      <c r="B233" s="42"/>
      <c r="C233" s="42" t="s">
        <v>656</v>
      </c>
      <c r="D233" s="26" t="s">
        <v>657</v>
      </c>
      <c r="E233" s="26" t="s">
        <v>658</v>
      </c>
      <c r="F233" s="27">
        <v>6.0</v>
      </c>
      <c r="G233" s="28">
        <v>0.065</v>
      </c>
      <c r="H233" s="3"/>
      <c r="I233" s="29">
        <v>62.6453402502375</v>
      </c>
      <c r="J233" s="29">
        <f t="shared" si="33"/>
        <v>58.26016643</v>
      </c>
      <c r="K233" s="29">
        <f t="shared" si="2"/>
        <v>62.04707725</v>
      </c>
    </row>
    <row r="234" ht="14.25" customHeight="1">
      <c r="A234" s="36"/>
      <c r="B234" s="36"/>
      <c r="C234" s="3"/>
      <c r="D234" s="3"/>
      <c r="E234" s="3"/>
      <c r="F234" s="3"/>
      <c r="G234" s="3"/>
      <c r="H234" s="3"/>
      <c r="I234" s="4"/>
      <c r="J234" s="4" t="str">
        <f t="shared" si="33"/>
        <v/>
      </c>
      <c r="K234" s="4" t="str">
        <f t="shared" si="2"/>
        <v/>
      </c>
    </row>
    <row r="235" ht="14.25" customHeight="1">
      <c r="A235" s="42" t="s">
        <v>256</v>
      </c>
      <c r="B235" s="42"/>
      <c r="C235" s="42" t="s">
        <v>659</v>
      </c>
      <c r="D235" s="26" t="s">
        <v>660</v>
      </c>
      <c r="E235" s="26" t="s">
        <v>661</v>
      </c>
      <c r="F235" s="27">
        <v>12.0</v>
      </c>
      <c r="G235" s="28">
        <v>0.065</v>
      </c>
      <c r="H235" s="3"/>
      <c r="I235" s="29">
        <v>52.502761352580016</v>
      </c>
      <c r="J235" s="29">
        <f t="shared" si="33"/>
        <v>48.82756806</v>
      </c>
      <c r="K235" s="29">
        <f t="shared" si="2"/>
        <v>52.00135998</v>
      </c>
    </row>
    <row r="236" ht="14.25" customHeight="1">
      <c r="A236" s="36"/>
      <c r="B236" s="36"/>
      <c r="C236" s="3"/>
      <c r="D236" s="3"/>
      <c r="E236" s="3"/>
      <c r="F236" s="3"/>
      <c r="G236" s="3"/>
      <c r="H236" s="3"/>
      <c r="I236" s="4"/>
      <c r="J236" s="4" t="str">
        <f t="shared" si="33"/>
        <v/>
      </c>
      <c r="K236" s="4" t="str">
        <f t="shared" si="2"/>
        <v/>
      </c>
    </row>
    <row r="237" ht="14.25" customHeight="1">
      <c r="A237" s="42" t="s">
        <v>256</v>
      </c>
      <c r="B237" s="42"/>
      <c r="C237" s="42" t="s">
        <v>662</v>
      </c>
      <c r="D237" s="26" t="s">
        <v>663</v>
      </c>
      <c r="E237" s="26" t="s">
        <v>664</v>
      </c>
      <c r="F237" s="27">
        <v>12.0</v>
      </c>
      <c r="G237" s="28">
        <v>0.065</v>
      </c>
      <c r="H237" s="3"/>
      <c r="I237" s="29">
        <v>59.64658936045728</v>
      </c>
      <c r="J237" s="29">
        <f t="shared" si="33"/>
        <v>55.47132811</v>
      </c>
      <c r="K237" s="29">
        <f t="shared" si="2"/>
        <v>59.07696443</v>
      </c>
    </row>
    <row r="238" ht="14.25" customHeight="1">
      <c r="A238" s="36"/>
      <c r="B238" s="36"/>
      <c r="C238" s="3"/>
      <c r="D238" s="3"/>
      <c r="E238" s="3"/>
      <c r="F238" s="3"/>
      <c r="G238" s="3"/>
      <c r="H238" s="3"/>
      <c r="I238" s="4"/>
      <c r="J238" s="4" t="str">
        <f t="shared" si="33"/>
        <v/>
      </c>
      <c r="K238" s="4" t="str">
        <f t="shared" si="2"/>
        <v/>
      </c>
    </row>
    <row r="239" ht="14.25" customHeight="1">
      <c r="A239" s="42" t="s">
        <v>256</v>
      </c>
      <c r="B239" s="42"/>
      <c r="C239" s="42" t="s">
        <v>665</v>
      </c>
      <c r="D239" s="26" t="s">
        <v>666</v>
      </c>
      <c r="E239" s="26" t="s">
        <v>667</v>
      </c>
      <c r="F239" s="27">
        <v>6.0</v>
      </c>
      <c r="G239" s="28">
        <v>0.065</v>
      </c>
      <c r="H239" s="3"/>
      <c r="I239" s="29">
        <v>62.631465313305</v>
      </c>
      <c r="J239" s="29">
        <f t="shared" si="33"/>
        <v>58.24726274</v>
      </c>
      <c r="K239" s="29">
        <f t="shared" si="2"/>
        <v>62.03333482</v>
      </c>
    </row>
    <row r="240" ht="14.25" customHeight="1">
      <c r="A240" s="36"/>
      <c r="B240" s="36"/>
      <c r="C240" s="3"/>
      <c r="D240" s="3"/>
      <c r="E240" s="3"/>
      <c r="F240" s="3"/>
      <c r="G240" s="3"/>
      <c r="H240" s="3"/>
      <c r="I240" s="4"/>
      <c r="J240" s="4" t="str">
        <f t="shared" si="33"/>
        <v/>
      </c>
      <c r="K240" s="4" t="str">
        <f t="shared" si="2"/>
        <v/>
      </c>
    </row>
    <row r="241" ht="14.25" customHeight="1">
      <c r="A241" s="25" t="s">
        <v>256</v>
      </c>
      <c r="B241" s="25" t="s">
        <v>668</v>
      </c>
      <c r="C241" s="25" t="s">
        <v>669</v>
      </c>
      <c r="D241" s="26" t="s">
        <v>670</v>
      </c>
      <c r="E241" s="26" t="s">
        <v>671</v>
      </c>
      <c r="F241" s="27">
        <v>6.0</v>
      </c>
      <c r="G241" s="28">
        <v>0.065</v>
      </c>
      <c r="H241" s="3"/>
      <c r="I241" s="29">
        <v>70.01293176139501</v>
      </c>
      <c r="J241" s="29">
        <f t="shared" si="33"/>
        <v>65.11202654</v>
      </c>
      <c r="K241" s="29">
        <f t="shared" si="2"/>
        <v>69.34430826</v>
      </c>
    </row>
    <row r="242" ht="14.25" customHeight="1">
      <c r="A242" s="36"/>
      <c r="B242" s="36"/>
      <c r="C242" s="36"/>
      <c r="D242" s="3"/>
      <c r="E242" s="3"/>
      <c r="F242" s="37"/>
      <c r="G242" s="39"/>
      <c r="H242" s="3"/>
      <c r="I242" s="4"/>
      <c r="J242" s="4" t="str">
        <f t="shared" si="33"/>
        <v/>
      </c>
      <c r="K242" s="4" t="str">
        <f t="shared" si="2"/>
        <v/>
      </c>
    </row>
    <row r="243" ht="14.25" customHeight="1">
      <c r="A243" s="25" t="s">
        <v>312</v>
      </c>
      <c r="B243" s="25" t="s">
        <v>603</v>
      </c>
      <c r="C243" s="25" t="s">
        <v>672</v>
      </c>
      <c r="D243" s="26" t="s">
        <v>673</v>
      </c>
      <c r="E243" s="26" t="s">
        <v>674</v>
      </c>
      <c r="F243" s="27">
        <v>6.0</v>
      </c>
      <c r="G243" s="28">
        <v>0.065</v>
      </c>
      <c r="H243" s="3"/>
      <c r="I243" s="29">
        <v>51.57314057810251</v>
      </c>
      <c r="J243" s="29">
        <f t="shared" si="33"/>
        <v>47.96302074</v>
      </c>
      <c r="K243" s="29">
        <f t="shared" si="2"/>
        <v>51.08061709</v>
      </c>
    </row>
    <row r="244" ht="14.25" customHeight="1">
      <c r="A244" s="25" t="s">
        <v>312</v>
      </c>
      <c r="B244" s="25" t="s">
        <v>675</v>
      </c>
      <c r="C244" s="25" t="s">
        <v>676</v>
      </c>
      <c r="D244" s="26" t="s">
        <v>677</v>
      </c>
      <c r="E244" s="26" t="s">
        <v>678</v>
      </c>
      <c r="F244" s="27">
        <v>6.0</v>
      </c>
      <c r="G244" s="28">
        <v>0.065</v>
      </c>
      <c r="H244" s="3"/>
      <c r="I244" s="29">
        <v>55.999245459570005</v>
      </c>
      <c r="J244" s="29">
        <f t="shared" si="33"/>
        <v>52.07929828</v>
      </c>
      <c r="K244" s="29">
        <f t="shared" si="2"/>
        <v>55.46445267</v>
      </c>
    </row>
    <row r="245" ht="14.25" customHeight="1">
      <c r="A245" s="36"/>
      <c r="B245" s="36"/>
      <c r="C245" s="36"/>
      <c r="D245" s="3"/>
      <c r="E245" s="3"/>
      <c r="F245" s="37"/>
      <c r="G245" s="39"/>
      <c r="H245" s="3"/>
      <c r="I245" s="4"/>
      <c r="J245" s="4" t="str">
        <f t="shared" si="33"/>
        <v/>
      </c>
      <c r="K245" s="4" t="str">
        <f t="shared" si="2"/>
        <v/>
      </c>
    </row>
    <row r="246" ht="14.25" customHeight="1">
      <c r="A246" s="31" t="s">
        <v>256</v>
      </c>
      <c r="B246" s="31" t="s">
        <v>260</v>
      </c>
      <c r="C246" s="31" t="s">
        <v>679</v>
      </c>
      <c r="D246" s="32" t="s">
        <v>680</v>
      </c>
      <c r="E246" s="32" t="s">
        <v>681</v>
      </c>
      <c r="F246" s="33">
        <v>12.0</v>
      </c>
      <c r="G246" s="28">
        <v>0.065</v>
      </c>
      <c r="H246" s="3"/>
      <c r="I246" s="34">
        <v>99.197940696015</v>
      </c>
      <c r="J246" s="34">
        <f>IF(I246&lt;&gt;"",I246-(I246*0.05),"")</f>
        <v>94.23804366</v>
      </c>
      <c r="K246" s="34">
        <f t="shared" si="2"/>
        <v>100.3635165</v>
      </c>
    </row>
    <row r="247" ht="14.25" customHeight="1">
      <c r="A247" s="25" t="s">
        <v>256</v>
      </c>
      <c r="B247" s="25" t="s">
        <v>682</v>
      </c>
      <c r="C247" s="25" t="s">
        <v>683</v>
      </c>
      <c r="D247" s="26" t="s">
        <v>684</v>
      </c>
      <c r="E247" s="26" t="s">
        <v>685</v>
      </c>
      <c r="F247" s="27">
        <v>12.0</v>
      </c>
      <c r="G247" s="28">
        <v>0.065</v>
      </c>
      <c r="H247" s="3"/>
      <c r="I247" s="29">
        <v>132.727646696295</v>
      </c>
      <c r="J247" s="29">
        <f t="shared" ref="J247:J248" si="34">IF(I247&lt;&gt;"",I247-(I247*0.07),"")</f>
        <v>123.4367114</v>
      </c>
      <c r="K247" s="29">
        <f t="shared" si="2"/>
        <v>131.4600977</v>
      </c>
    </row>
    <row r="248" ht="14.25" customHeight="1">
      <c r="A248" s="25" t="s">
        <v>256</v>
      </c>
      <c r="B248" s="25" t="s">
        <v>682</v>
      </c>
      <c r="C248" s="25" t="s">
        <v>686</v>
      </c>
      <c r="D248" s="26" t="s">
        <v>687</v>
      </c>
      <c r="E248" s="26" t="s">
        <v>688</v>
      </c>
      <c r="F248" s="27">
        <v>12.0</v>
      </c>
      <c r="G248" s="28">
        <v>0.065</v>
      </c>
      <c r="H248" s="3"/>
      <c r="I248" s="29">
        <v>140.0952382074525</v>
      </c>
      <c r="J248" s="29">
        <f t="shared" si="34"/>
        <v>130.2885715</v>
      </c>
      <c r="K248" s="29">
        <f t="shared" si="2"/>
        <v>138.7573287</v>
      </c>
    </row>
    <row r="249" ht="14.25" customHeight="1">
      <c r="A249" s="31" t="s">
        <v>256</v>
      </c>
      <c r="B249" s="31" t="s">
        <v>689</v>
      </c>
      <c r="C249" s="31" t="s">
        <v>690</v>
      </c>
      <c r="D249" s="32" t="s">
        <v>691</v>
      </c>
      <c r="E249" s="32" t="s">
        <v>692</v>
      </c>
      <c r="F249" s="33">
        <v>12.0</v>
      </c>
      <c r="G249" s="28">
        <v>0.065</v>
      </c>
      <c r="H249" s="3"/>
      <c r="I249" s="34">
        <v>136.85582214129</v>
      </c>
      <c r="J249" s="34">
        <f t="shared" ref="J249:J261" si="35">IF(I249&lt;&gt;"",I249-(I249*0.05),"")</f>
        <v>130.013031</v>
      </c>
      <c r="K249" s="34">
        <f t="shared" si="2"/>
        <v>138.4638781</v>
      </c>
    </row>
    <row r="250" ht="14.25" customHeight="1">
      <c r="A250" s="31" t="s">
        <v>256</v>
      </c>
      <c r="B250" s="31" t="s">
        <v>260</v>
      </c>
      <c r="C250" s="31" t="s">
        <v>693</v>
      </c>
      <c r="D250" s="32" t="s">
        <v>694</v>
      </c>
      <c r="E250" s="32" t="s">
        <v>695</v>
      </c>
      <c r="F250" s="33">
        <v>12.0</v>
      </c>
      <c r="G250" s="28">
        <v>0.065</v>
      </c>
      <c r="H250" s="3"/>
      <c r="I250" s="34">
        <v>171.07621492130397</v>
      </c>
      <c r="J250" s="34">
        <f t="shared" si="35"/>
        <v>162.5224042</v>
      </c>
      <c r="K250" s="34">
        <f t="shared" si="2"/>
        <v>173.0863604</v>
      </c>
    </row>
    <row r="251" ht="14.25" customHeight="1">
      <c r="A251" s="31" t="s">
        <v>256</v>
      </c>
      <c r="B251" s="31" t="s">
        <v>689</v>
      </c>
      <c r="C251" s="31" t="s">
        <v>696</v>
      </c>
      <c r="D251" s="32" t="s">
        <v>697</v>
      </c>
      <c r="E251" s="32" t="s">
        <v>698</v>
      </c>
      <c r="F251" s="33">
        <v>12.0</v>
      </c>
      <c r="G251" s="28">
        <v>0.065</v>
      </c>
      <c r="H251" s="3"/>
      <c r="I251" s="34">
        <v>191.62389997657198</v>
      </c>
      <c r="J251" s="34">
        <f t="shared" si="35"/>
        <v>182.042705</v>
      </c>
      <c r="K251" s="34">
        <f t="shared" si="2"/>
        <v>193.8754808</v>
      </c>
    </row>
    <row r="252" ht="14.25" customHeight="1">
      <c r="A252" s="31" t="s">
        <v>256</v>
      </c>
      <c r="B252" s="31" t="s">
        <v>699</v>
      </c>
      <c r="C252" s="31" t="s">
        <v>700</v>
      </c>
      <c r="D252" s="32" t="s">
        <v>701</v>
      </c>
      <c r="E252" s="32" t="s">
        <v>702</v>
      </c>
      <c r="F252" s="33">
        <v>12.0</v>
      </c>
      <c r="G252" s="28">
        <v>0.065</v>
      </c>
      <c r="H252" s="3"/>
      <c r="I252" s="34">
        <v>256.665820339488</v>
      </c>
      <c r="J252" s="34">
        <f t="shared" si="35"/>
        <v>243.8325293</v>
      </c>
      <c r="K252" s="34">
        <f t="shared" si="2"/>
        <v>259.6816437</v>
      </c>
    </row>
    <row r="253" ht="14.25" customHeight="1">
      <c r="A253" s="31" t="s">
        <v>256</v>
      </c>
      <c r="B253" s="31" t="s">
        <v>699</v>
      </c>
      <c r="C253" s="31" t="s">
        <v>703</v>
      </c>
      <c r="D253" s="32" t="s">
        <v>704</v>
      </c>
      <c r="E253" s="32" t="s">
        <v>705</v>
      </c>
      <c r="F253" s="33">
        <v>12.0</v>
      </c>
      <c r="G253" s="28">
        <v>0.065</v>
      </c>
      <c r="H253" s="3"/>
      <c r="I253" s="34">
        <v>277.20063090537303</v>
      </c>
      <c r="J253" s="34">
        <f t="shared" si="35"/>
        <v>263.3405994</v>
      </c>
      <c r="K253" s="34">
        <f t="shared" si="2"/>
        <v>280.4577383</v>
      </c>
    </row>
    <row r="254" ht="14.25" customHeight="1">
      <c r="A254" s="31" t="s">
        <v>256</v>
      </c>
      <c r="B254" s="31" t="s">
        <v>706</v>
      </c>
      <c r="C254" s="31" t="s">
        <v>707</v>
      </c>
      <c r="D254" s="32" t="s">
        <v>708</v>
      </c>
      <c r="E254" s="32" t="s">
        <v>709</v>
      </c>
      <c r="F254" s="33">
        <v>12.0</v>
      </c>
      <c r="G254" s="28">
        <v>0.065</v>
      </c>
      <c r="H254" s="3"/>
      <c r="I254" s="34">
        <v>236.11813528422002</v>
      </c>
      <c r="J254" s="34">
        <f t="shared" si="35"/>
        <v>224.3122285</v>
      </c>
      <c r="K254" s="34">
        <f t="shared" si="2"/>
        <v>238.8925234</v>
      </c>
    </row>
    <row r="255" ht="14.25" customHeight="1">
      <c r="A255" s="31" t="s">
        <v>256</v>
      </c>
      <c r="B255" s="31" t="s">
        <v>706</v>
      </c>
      <c r="C255" s="31" t="s">
        <v>710</v>
      </c>
      <c r="D255" s="32" t="s">
        <v>711</v>
      </c>
      <c r="E255" s="32" t="s">
        <v>712</v>
      </c>
      <c r="F255" s="33">
        <v>12.0</v>
      </c>
      <c r="G255" s="28">
        <v>0.065</v>
      </c>
      <c r="H255" s="3"/>
      <c r="I255" s="34">
        <v>242.285015698677</v>
      </c>
      <c r="J255" s="34">
        <f t="shared" si="35"/>
        <v>230.1707649</v>
      </c>
      <c r="K255" s="34">
        <f t="shared" si="2"/>
        <v>245.1318646</v>
      </c>
    </row>
    <row r="256" ht="14.25" customHeight="1">
      <c r="A256" s="31" t="s">
        <v>256</v>
      </c>
      <c r="B256" s="31" t="s">
        <v>713</v>
      </c>
      <c r="C256" s="31" t="s">
        <v>714</v>
      </c>
      <c r="D256" s="32" t="s">
        <v>715</v>
      </c>
      <c r="E256" s="32" t="s">
        <v>716</v>
      </c>
      <c r="F256" s="33">
        <v>12.0</v>
      </c>
      <c r="G256" s="28">
        <v>0.065</v>
      </c>
      <c r="H256" s="3"/>
      <c r="I256" s="34">
        <v>403.846982965944</v>
      </c>
      <c r="J256" s="34">
        <f t="shared" si="35"/>
        <v>383.6546338</v>
      </c>
      <c r="K256" s="34">
        <f t="shared" si="2"/>
        <v>408.592185</v>
      </c>
    </row>
    <row r="257" ht="14.25" customHeight="1">
      <c r="A257" s="31" t="s">
        <v>256</v>
      </c>
      <c r="B257" s="31" t="s">
        <v>713</v>
      </c>
      <c r="C257" s="31" t="s">
        <v>717</v>
      </c>
      <c r="D257" s="32" t="s">
        <v>718</v>
      </c>
      <c r="E257" s="32" t="s">
        <v>719</v>
      </c>
      <c r="F257" s="33">
        <v>12.0</v>
      </c>
      <c r="G257" s="28">
        <v>0.065</v>
      </c>
      <c r="H257" s="3"/>
      <c r="I257" s="34">
        <v>533.917949202393</v>
      </c>
      <c r="J257" s="34">
        <f t="shared" si="35"/>
        <v>507.2220517</v>
      </c>
      <c r="K257" s="34">
        <f t="shared" si="2"/>
        <v>540.1914851</v>
      </c>
    </row>
    <row r="258" ht="14.25" customHeight="1">
      <c r="A258" s="31" t="s">
        <v>256</v>
      </c>
      <c r="B258" s="31" t="s">
        <v>713</v>
      </c>
      <c r="C258" s="31" t="s">
        <v>720</v>
      </c>
      <c r="D258" s="32" t="s">
        <v>721</v>
      </c>
      <c r="E258" s="32" t="s">
        <v>722</v>
      </c>
      <c r="F258" s="33">
        <v>6.0</v>
      </c>
      <c r="G258" s="28">
        <v>0.065</v>
      </c>
      <c r="H258" s="3"/>
      <c r="I258" s="34">
        <v>855.690062351712</v>
      </c>
      <c r="J258" s="34">
        <f t="shared" si="35"/>
        <v>812.9055592</v>
      </c>
      <c r="K258" s="34">
        <f t="shared" si="2"/>
        <v>865.7444206</v>
      </c>
    </row>
    <row r="259" ht="14.25" customHeight="1">
      <c r="A259" s="31" t="s">
        <v>256</v>
      </c>
      <c r="B259" s="31" t="s">
        <v>713</v>
      </c>
      <c r="C259" s="31" t="s">
        <v>723</v>
      </c>
      <c r="D259" s="32" t="s">
        <v>724</v>
      </c>
      <c r="E259" s="32" t="s">
        <v>725</v>
      </c>
      <c r="F259" s="33">
        <v>12.0</v>
      </c>
      <c r="G259" s="28">
        <v>0.065</v>
      </c>
      <c r="H259" s="3"/>
      <c r="I259" s="34">
        <v>872.800258741719</v>
      </c>
      <c r="J259" s="34">
        <f t="shared" si="35"/>
        <v>829.1602458</v>
      </c>
      <c r="K259" s="34">
        <f t="shared" si="2"/>
        <v>883.0556618</v>
      </c>
    </row>
    <row r="260" ht="14.25" customHeight="1">
      <c r="A260" s="31" t="s">
        <v>256</v>
      </c>
      <c r="B260" s="31" t="s">
        <v>713</v>
      </c>
      <c r="C260" s="31" t="s">
        <v>726</v>
      </c>
      <c r="D260" s="32" t="s">
        <v>727</v>
      </c>
      <c r="E260" s="32" t="s">
        <v>728</v>
      </c>
      <c r="F260" s="33">
        <v>6.0</v>
      </c>
      <c r="G260" s="28">
        <v>0.065</v>
      </c>
      <c r="H260" s="3"/>
      <c r="I260" s="34">
        <v>1889.4343128703138</v>
      </c>
      <c r="J260" s="34">
        <f t="shared" si="35"/>
        <v>1794.962597</v>
      </c>
      <c r="K260" s="34">
        <f t="shared" si="2"/>
        <v>1911.635166</v>
      </c>
    </row>
    <row r="261" ht="14.25" customHeight="1">
      <c r="A261" s="31" t="s">
        <v>256</v>
      </c>
      <c r="B261" s="31" t="s">
        <v>713</v>
      </c>
      <c r="C261" s="31" t="s">
        <v>729</v>
      </c>
      <c r="D261" s="32" t="s">
        <v>730</v>
      </c>
      <c r="E261" s="32" t="s">
        <v>731</v>
      </c>
      <c r="F261" s="33">
        <v>6.0</v>
      </c>
      <c r="G261" s="28">
        <v>0.065</v>
      </c>
      <c r="H261" s="3"/>
      <c r="I261" s="34">
        <v>2642.5018203501327</v>
      </c>
      <c r="J261" s="34">
        <f t="shared" si="35"/>
        <v>2510.376729</v>
      </c>
      <c r="K261" s="34">
        <f t="shared" si="2"/>
        <v>2673.551217</v>
      </c>
    </row>
    <row r="262" ht="14.25" customHeight="1">
      <c r="A262" s="25"/>
      <c r="B262" s="25"/>
      <c r="C262" s="25"/>
      <c r="D262" s="26"/>
      <c r="E262" s="26"/>
      <c r="F262" s="27"/>
      <c r="G262" s="43"/>
      <c r="H262" s="3"/>
      <c r="I262" s="4"/>
      <c r="J262" s="4" t="str">
        <f t="shared" ref="J262:J267" si="36">IF(I262&lt;&gt;"",I262-(I262*0.07),"")</f>
        <v/>
      </c>
      <c r="K262" s="4" t="str">
        <f t="shared" si="2"/>
        <v/>
      </c>
    </row>
    <row r="263" ht="14.25" customHeight="1">
      <c r="A263" s="25" t="s">
        <v>256</v>
      </c>
      <c r="B263" s="25"/>
      <c r="C263" s="44"/>
      <c r="D263" s="26" t="s">
        <v>732</v>
      </c>
      <c r="E263" s="26" t="s">
        <v>733</v>
      </c>
      <c r="F263" s="27">
        <v>12.0</v>
      </c>
      <c r="G263" s="28">
        <v>0.06500000000000002</v>
      </c>
      <c r="H263" s="3"/>
      <c r="I263" s="29">
        <v>76.65869441002856</v>
      </c>
      <c r="J263" s="29">
        <f t="shared" si="36"/>
        <v>71.2925858</v>
      </c>
      <c r="K263" s="29">
        <f t="shared" si="2"/>
        <v>75.92660388</v>
      </c>
    </row>
    <row r="264" ht="14.25" customHeight="1">
      <c r="A264" s="25" t="s">
        <v>256</v>
      </c>
      <c r="B264" s="25"/>
      <c r="C264" s="44"/>
      <c r="D264" s="26" t="s">
        <v>734</v>
      </c>
      <c r="E264" s="26" t="s">
        <v>735</v>
      </c>
      <c r="F264" s="27">
        <v>12.0</v>
      </c>
      <c r="G264" s="28">
        <v>0.06500000000000002</v>
      </c>
      <c r="H264" s="3"/>
      <c r="I264" s="29">
        <v>76.65869441002856</v>
      </c>
      <c r="J264" s="29">
        <f t="shared" si="36"/>
        <v>71.2925858</v>
      </c>
      <c r="K264" s="29">
        <f t="shared" si="2"/>
        <v>75.92660388</v>
      </c>
    </row>
    <row r="265" ht="14.25" customHeight="1">
      <c r="A265" s="25" t="s">
        <v>256</v>
      </c>
      <c r="B265" s="25"/>
      <c r="C265" s="44"/>
      <c r="D265" s="26" t="s">
        <v>736</v>
      </c>
      <c r="E265" s="26" t="s">
        <v>737</v>
      </c>
      <c r="F265" s="27">
        <v>12.0</v>
      </c>
      <c r="G265" s="28">
        <v>0.06500000000000002</v>
      </c>
      <c r="H265" s="3"/>
      <c r="I265" s="29">
        <v>76.65869441002856</v>
      </c>
      <c r="J265" s="29">
        <f t="shared" si="36"/>
        <v>71.2925858</v>
      </c>
      <c r="K265" s="29">
        <f t="shared" si="2"/>
        <v>75.92660388</v>
      </c>
    </row>
    <row r="266" ht="14.25" customHeight="1">
      <c r="A266" s="36"/>
      <c r="B266" s="36"/>
      <c r="C266" s="36"/>
      <c r="D266" s="3"/>
      <c r="E266" s="3"/>
      <c r="F266" s="37"/>
      <c r="G266" s="39"/>
      <c r="H266" s="3"/>
      <c r="I266" s="4"/>
      <c r="J266" s="4" t="str">
        <f t="shared" si="36"/>
        <v/>
      </c>
      <c r="K266" s="4" t="str">
        <f t="shared" si="2"/>
        <v/>
      </c>
    </row>
    <row r="267" ht="14.25" customHeight="1">
      <c r="A267" s="40"/>
      <c r="B267" s="40"/>
      <c r="C267" s="40"/>
      <c r="D267" s="40"/>
      <c r="E267" s="40"/>
      <c r="F267" s="40"/>
      <c r="G267" s="40"/>
      <c r="H267" s="3"/>
      <c r="I267" s="4"/>
      <c r="J267" s="4" t="str">
        <f t="shared" si="36"/>
        <v/>
      </c>
      <c r="K267" s="4" t="str">
        <f t="shared" si="2"/>
        <v/>
      </c>
    </row>
    <row r="268" ht="14.25" customHeight="1">
      <c r="A268" s="31" t="s">
        <v>738</v>
      </c>
      <c r="B268" s="31" t="s">
        <v>739</v>
      </c>
      <c r="C268" s="31" t="s">
        <v>740</v>
      </c>
      <c r="D268" s="32" t="s">
        <v>741</v>
      </c>
      <c r="E268" s="32" t="s">
        <v>742</v>
      </c>
      <c r="F268" s="33">
        <v>6.0</v>
      </c>
      <c r="G268" s="28">
        <v>0.065</v>
      </c>
      <c r="H268" s="3"/>
      <c r="I268" s="34">
        <v>85.66648118406852</v>
      </c>
      <c r="J268" s="34">
        <f t="shared" ref="J268:J270" si="37">IF(I268&lt;&gt;"",I268-(I268*0.05),"")</f>
        <v>81.38315712</v>
      </c>
      <c r="K268" s="34">
        <f t="shared" si="2"/>
        <v>86.67306234</v>
      </c>
    </row>
    <row r="269" ht="14.25" customHeight="1">
      <c r="A269" s="31" t="s">
        <v>738</v>
      </c>
      <c r="B269" s="31" t="s">
        <v>739</v>
      </c>
      <c r="C269" s="31" t="s">
        <v>743</v>
      </c>
      <c r="D269" s="32" t="s">
        <v>744</v>
      </c>
      <c r="E269" s="32" t="s">
        <v>745</v>
      </c>
      <c r="F269" s="33">
        <v>6.0</v>
      </c>
      <c r="G269" s="28">
        <v>0.065</v>
      </c>
      <c r="H269" s="3"/>
      <c r="I269" s="34">
        <v>105.53173223111052</v>
      </c>
      <c r="J269" s="34">
        <f t="shared" si="37"/>
        <v>100.2551456</v>
      </c>
      <c r="K269" s="34">
        <f t="shared" si="2"/>
        <v>106.7717301</v>
      </c>
    </row>
    <row r="270" ht="14.25" customHeight="1">
      <c r="A270" s="31" t="s">
        <v>738</v>
      </c>
      <c r="B270" s="31" t="s">
        <v>746</v>
      </c>
      <c r="C270" s="31" t="s">
        <v>747</v>
      </c>
      <c r="D270" s="32" t="s">
        <v>748</v>
      </c>
      <c r="E270" s="32" t="s">
        <v>749</v>
      </c>
      <c r="F270" s="33">
        <v>6.0</v>
      </c>
      <c r="G270" s="28">
        <v>0.065</v>
      </c>
      <c r="H270" s="3"/>
      <c r="I270" s="34">
        <v>414.0128549966312</v>
      </c>
      <c r="J270" s="34">
        <f t="shared" si="37"/>
        <v>393.3122122</v>
      </c>
      <c r="K270" s="34">
        <f t="shared" si="2"/>
        <v>418.877506</v>
      </c>
    </row>
    <row r="271" ht="14.25" customHeight="1">
      <c r="A271" s="36"/>
      <c r="B271" s="36"/>
      <c r="C271" s="3"/>
      <c r="D271" s="3"/>
      <c r="E271" s="3"/>
      <c r="F271" s="3"/>
      <c r="G271" s="3"/>
      <c r="H271" s="3"/>
      <c r="I271" s="4"/>
      <c r="J271" s="4" t="str">
        <f t="shared" ref="J271:J284" si="38">IF(I271&lt;&gt;"",I271-(I271*0.07),"")</f>
        <v/>
      </c>
      <c r="K271" s="4" t="str">
        <f t="shared" si="2"/>
        <v/>
      </c>
    </row>
    <row r="272" ht="14.25" customHeight="1">
      <c r="A272" s="25" t="s">
        <v>750</v>
      </c>
      <c r="B272" s="25"/>
      <c r="C272" s="25" t="s">
        <v>751</v>
      </c>
      <c r="D272" s="26" t="s">
        <v>752</v>
      </c>
      <c r="E272" s="26" t="s">
        <v>753</v>
      </c>
      <c r="F272" s="27">
        <v>12.0</v>
      </c>
      <c r="G272" s="28">
        <v>0.065</v>
      </c>
      <c r="H272" s="3"/>
      <c r="I272" s="29">
        <v>25.765646247859372</v>
      </c>
      <c r="J272" s="29">
        <f t="shared" si="38"/>
        <v>23.96205101</v>
      </c>
      <c r="K272" s="29">
        <f t="shared" si="2"/>
        <v>25.51958433</v>
      </c>
    </row>
    <row r="273" ht="14.25" customHeight="1">
      <c r="A273" s="25" t="s">
        <v>750</v>
      </c>
      <c r="B273" s="25"/>
      <c r="C273" s="25" t="s">
        <v>754</v>
      </c>
      <c r="D273" s="26" t="s">
        <v>755</v>
      </c>
      <c r="E273" s="26" t="s">
        <v>756</v>
      </c>
      <c r="F273" s="27">
        <v>12.0</v>
      </c>
      <c r="G273" s="28">
        <v>0.065</v>
      </c>
      <c r="H273" s="3"/>
      <c r="I273" s="29">
        <v>25.765646247859372</v>
      </c>
      <c r="J273" s="29">
        <f t="shared" si="38"/>
        <v>23.96205101</v>
      </c>
      <c r="K273" s="29">
        <f t="shared" si="2"/>
        <v>25.51958433</v>
      </c>
    </row>
    <row r="274" ht="14.25" customHeight="1">
      <c r="A274" s="25" t="s">
        <v>757</v>
      </c>
      <c r="B274" s="25" t="s">
        <v>758</v>
      </c>
      <c r="C274" s="25" t="s">
        <v>759</v>
      </c>
      <c r="D274" s="26" t="s">
        <v>760</v>
      </c>
      <c r="E274" s="26" t="s">
        <v>761</v>
      </c>
      <c r="F274" s="27">
        <v>12.0</v>
      </c>
      <c r="G274" s="28">
        <v>0.065</v>
      </c>
      <c r="H274" s="3"/>
      <c r="I274" s="29">
        <v>63.72730921724183</v>
      </c>
      <c r="J274" s="29">
        <f t="shared" si="38"/>
        <v>59.26639757</v>
      </c>
      <c r="K274" s="29">
        <f t="shared" si="2"/>
        <v>63.11871341</v>
      </c>
    </row>
    <row r="275" ht="14.25" customHeight="1">
      <c r="A275" s="36"/>
      <c r="B275" s="36"/>
      <c r="C275" s="3"/>
      <c r="D275" s="3"/>
      <c r="E275" s="3"/>
      <c r="F275" s="3"/>
      <c r="G275" s="3"/>
      <c r="H275" s="3"/>
      <c r="I275" s="4"/>
      <c r="J275" s="4" t="str">
        <f t="shared" si="38"/>
        <v/>
      </c>
      <c r="K275" s="4" t="str">
        <f t="shared" si="2"/>
        <v/>
      </c>
    </row>
    <row r="276" ht="14.25" customHeight="1">
      <c r="A276" s="25" t="s">
        <v>757</v>
      </c>
      <c r="B276" s="25" t="s">
        <v>762</v>
      </c>
      <c r="C276" s="25" t="s">
        <v>763</v>
      </c>
      <c r="D276" s="26" t="s">
        <v>764</v>
      </c>
      <c r="E276" s="26" t="s">
        <v>765</v>
      </c>
      <c r="F276" s="27">
        <v>24.0</v>
      </c>
      <c r="G276" s="28">
        <v>0.065</v>
      </c>
      <c r="H276" s="3"/>
      <c r="I276" s="29">
        <v>54.29725529746443</v>
      </c>
      <c r="J276" s="29">
        <f t="shared" si="38"/>
        <v>50.49644743</v>
      </c>
      <c r="K276" s="29">
        <f t="shared" si="2"/>
        <v>53.77871651</v>
      </c>
    </row>
    <row r="277" ht="14.25" customHeight="1">
      <c r="A277" s="25" t="s">
        <v>757</v>
      </c>
      <c r="B277" s="25" t="s">
        <v>766</v>
      </c>
      <c r="C277" s="25" t="s">
        <v>767</v>
      </c>
      <c r="D277" s="26" t="s">
        <v>768</v>
      </c>
      <c r="E277" s="26" t="s">
        <v>769</v>
      </c>
      <c r="F277" s="27">
        <v>6.0</v>
      </c>
      <c r="G277" s="28">
        <v>0.065</v>
      </c>
      <c r="H277" s="3"/>
      <c r="I277" s="29">
        <v>61.74781251312452</v>
      </c>
      <c r="J277" s="29">
        <f t="shared" si="38"/>
        <v>57.42546564</v>
      </c>
      <c r="K277" s="29">
        <f t="shared" si="2"/>
        <v>61.1581209</v>
      </c>
    </row>
    <row r="278" ht="14.25" customHeight="1">
      <c r="A278" s="25" t="s">
        <v>757</v>
      </c>
      <c r="B278" s="25"/>
      <c r="C278" s="25" t="s">
        <v>770</v>
      </c>
      <c r="D278" s="26" t="s">
        <v>771</v>
      </c>
      <c r="E278" s="26" t="s">
        <v>772</v>
      </c>
      <c r="F278" s="27">
        <v>6.0</v>
      </c>
      <c r="G278" s="28">
        <v>0.065</v>
      </c>
      <c r="H278" s="3"/>
      <c r="I278" s="29">
        <v>67.72959211878775</v>
      </c>
      <c r="J278" s="29">
        <f t="shared" si="38"/>
        <v>62.98852067</v>
      </c>
      <c r="K278" s="29">
        <f t="shared" si="2"/>
        <v>67.08277451</v>
      </c>
    </row>
    <row r="279" ht="14.25" customHeight="1">
      <c r="A279" s="25" t="s">
        <v>757</v>
      </c>
      <c r="B279" s="25" t="s">
        <v>773</v>
      </c>
      <c r="C279" s="25" t="s">
        <v>774</v>
      </c>
      <c r="D279" s="26" t="s">
        <v>775</v>
      </c>
      <c r="E279" s="26" t="s">
        <v>776</v>
      </c>
      <c r="F279" s="27">
        <v>6.0</v>
      </c>
      <c r="G279" s="28">
        <v>0.065</v>
      </c>
      <c r="H279" s="3"/>
      <c r="I279" s="29">
        <v>70.06026220453037</v>
      </c>
      <c r="J279" s="29">
        <f t="shared" si="38"/>
        <v>65.15604385</v>
      </c>
      <c r="K279" s="29">
        <f t="shared" si="2"/>
        <v>69.3911867</v>
      </c>
    </row>
    <row r="280" ht="14.25" customHeight="1">
      <c r="A280" s="25" t="s">
        <v>757</v>
      </c>
      <c r="B280" s="25" t="s">
        <v>762</v>
      </c>
      <c r="C280" s="25" t="s">
        <v>777</v>
      </c>
      <c r="D280" s="26" t="s">
        <v>778</v>
      </c>
      <c r="E280" s="26" t="s">
        <v>779</v>
      </c>
      <c r="F280" s="27">
        <v>12.0</v>
      </c>
      <c r="G280" s="28">
        <v>0.065</v>
      </c>
      <c r="H280" s="3"/>
      <c r="I280" s="29">
        <v>77.44772085666092</v>
      </c>
      <c r="J280" s="29">
        <f t="shared" si="38"/>
        <v>72.0263804</v>
      </c>
      <c r="K280" s="29">
        <f t="shared" si="2"/>
        <v>76.70809512</v>
      </c>
    </row>
    <row r="281" ht="14.25" customHeight="1">
      <c r="A281" s="36"/>
      <c r="B281" s="36"/>
      <c r="C281" s="3"/>
      <c r="D281" s="3"/>
      <c r="E281" s="3"/>
      <c r="F281" s="3"/>
      <c r="G281" s="3"/>
      <c r="H281" s="3"/>
      <c r="I281" s="4"/>
      <c r="J281" s="4" t="str">
        <f t="shared" si="38"/>
        <v/>
      </c>
      <c r="K281" s="4" t="str">
        <f t="shared" si="2"/>
        <v/>
      </c>
    </row>
    <row r="282" ht="14.25" customHeight="1">
      <c r="A282" s="25" t="s">
        <v>750</v>
      </c>
      <c r="B282" s="25"/>
      <c r="C282" s="25" t="s">
        <v>780</v>
      </c>
      <c r="D282" s="26" t="s">
        <v>781</v>
      </c>
      <c r="E282" s="26" t="s">
        <v>782</v>
      </c>
      <c r="F282" s="27">
        <v>12.0</v>
      </c>
      <c r="G282" s="28">
        <v>0.065</v>
      </c>
      <c r="H282" s="3"/>
      <c r="I282" s="29">
        <v>27.68037924850805</v>
      </c>
      <c r="J282" s="29">
        <f t="shared" si="38"/>
        <v>25.7427527</v>
      </c>
      <c r="K282" s="29">
        <f t="shared" si="2"/>
        <v>27.41603163</v>
      </c>
    </row>
    <row r="283" ht="14.25" customHeight="1">
      <c r="A283" s="25" t="s">
        <v>750</v>
      </c>
      <c r="B283" s="25"/>
      <c r="C283" s="25" t="s">
        <v>783</v>
      </c>
      <c r="D283" s="26" t="s">
        <v>784</v>
      </c>
      <c r="E283" s="26" t="s">
        <v>785</v>
      </c>
      <c r="F283" s="27">
        <v>12.0</v>
      </c>
      <c r="G283" s="28">
        <v>0.065</v>
      </c>
      <c r="H283" s="3"/>
      <c r="I283" s="29">
        <v>27.68037924850805</v>
      </c>
      <c r="J283" s="29">
        <f t="shared" si="38"/>
        <v>25.7427527</v>
      </c>
      <c r="K283" s="29">
        <f t="shared" si="2"/>
        <v>27.41603163</v>
      </c>
    </row>
    <row r="284" ht="14.25" customHeight="1">
      <c r="A284" s="36"/>
      <c r="B284" s="36"/>
      <c r="C284" s="3"/>
      <c r="D284" s="3"/>
      <c r="E284" s="3"/>
      <c r="F284" s="3"/>
      <c r="G284" s="3"/>
      <c r="H284" s="3"/>
      <c r="I284" s="4"/>
      <c r="J284" s="4" t="str">
        <f t="shared" si="38"/>
        <v/>
      </c>
      <c r="K284" s="4" t="str">
        <f t="shared" si="2"/>
        <v/>
      </c>
    </row>
    <row r="285" ht="14.25" customHeight="1">
      <c r="A285" s="31" t="s">
        <v>786</v>
      </c>
      <c r="B285" s="31" t="s">
        <v>787</v>
      </c>
      <c r="C285" s="31" t="s">
        <v>788</v>
      </c>
      <c r="D285" s="32" t="s">
        <v>789</v>
      </c>
      <c r="E285" s="32" t="s">
        <v>790</v>
      </c>
      <c r="F285" s="33">
        <v>12.0</v>
      </c>
      <c r="G285" s="28">
        <v>0.065</v>
      </c>
      <c r="H285" s="3"/>
      <c r="I285" s="34">
        <v>42.57578539251362</v>
      </c>
      <c r="J285" s="34">
        <f t="shared" ref="J285:J287" si="39">IF(I285&lt;&gt;"",I285-(I285*0.05),"")</f>
        <v>40.44699612</v>
      </c>
      <c r="K285" s="34">
        <f t="shared" si="2"/>
        <v>43.07605087</v>
      </c>
    </row>
    <row r="286" ht="14.25" customHeight="1">
      <c r="A286" s="31" t="s">
        <v>786</v>
      </c>
      <c r="B286" s="31" t="s">
        <v>787</v>
      </c>
      <c r="C286" s="31" t="s">
        <v>791</v>
      </c>
      <c r="D286" s="32" t="s">
        <v>792</v>
      </c>
      <c r="E286" s="32" t="s">
        <v>793</v>
      </c>
      <c r="F286" s="33">
        <v>6.0</v>
      </c>
      <c r="G286" s="28">
        <v>0.065</v>
      </c>
      <c r="H286" s="3"/>
      <c r="I286" s="34">
        <v>64.99014082013493</v>
      </c>
      <c r="J286" s="34">
        <f t="shared" si="39"/>
        <v>61.74063378</v>
      </c>
      <c r="K286" s="34">
        <f t="shared" si="2"/>
        <v>65.75377497</v>
      </c>
    </row>
    <row r="287" ht="14.25" customHeight="1">
      <c r="A287" s="31" t="s">
        <v>786</v>
      </c>
      <c r="B287" s="31" t="s">
        <v>794</v>
      </c>
      <c r="C287" s="31" t="s">
        <v>795</v>
      </c>
      <c r="D287" s="32" t="s">
        <v>796</v>
      </c>
      <c r="E287" s="32" t="s">
        <v>797</v>
      </c>
      <c r="F287" s="33">
        <v>6.0</v>
      </c>
      <c r="G287" s="28">
        <v>0.065</v>
      </c>
      <c r="H287" s="3"/>
      <c r="I287" s="34">
        <v>130.6819999861472</v>
      </c>
      <c r="J287" s="34">
        <f t="shared" si="39"/>
        <v>124.1479</v>
      </c>
      <c r="K287" s="34">
        <f t="shared" si="2"/>
        <v>132.2175135</v>
      </c>
    </row>
    <row r="288" ht="14.25" customHeight="1">
      <c r="A288" s="36"/>
      <c r="B288" s="36"/>
      <c r="C288" s="3"/>
      <c r="D288" s="3"/>
      <c r="E288" s="3"/>
      <c r="F288" s="3"/>
      <c r="G288" s="3"/>
      <c r="H288" s="3"/>
      <c r="I288" s="4"/>
      <c r="J288" s="4" t="str">
        <f t="shared" ref="J288:J291" si="40">IF(I288&lt;&gt;"",I288-(I288*0.07),"")</f>
        <v/>
      </c>
      <c r="K288" s="4" t="str">
        <f t="shared" si="2"/>
        <v/>
      </c>
    </row>
    <row r="289" ht="14.25" customHeight="1">
      <c r="A289" s="25" t="s">
        <v>798</v>
      </c>
      <c r="B289" s="25"/>
      <c r="C289" s="25" t="s">
        <v>799</v>
      </c>
      <c r="D289" s="26" t="s">
        <v>800</v>
      </c>
      <c r="E289" s="26" t="s">
        <v>801</v>
      </c>
      <c r="F289" s="27">
        <v>24.0</v>
      </c>
      <c r="G289" s="28">
        <v>0.065</v>
      </c>
      <c r="H289" s="3"/>
      <c r="I289" s="29">
        <v>28.788056953155653</v>
      </c>
      <c r="J289" s="29">
        <f t="shared" si="40"/>
        <v>26.77289297</v>
      </c>
      <c r="K289" s="29">
        <v>43.38</v>
      </c>
    </row>
    <row r="290" ht="14.25" customHeight="1">
      <c r="A290" s="25"/>
      <c r="B290" s="25"/>
      <c r="C290" s="25" t="s">
        <v>802</v>
      </c>
      <c r="D290" s="26" t="s">
        <v>803</v>
      </c>
      <c r="E290" s="26" t="s">
        <v>804</v>
      </c>
      <c r="F290" s="27">
        <v>6.0</v>
      </c>
      <c r="G290" s="28">
        <v>0.065</v>
      </c>
      <c r="H290" s="3"/>
      <c r="I290" s="29">
        <v>69.22277514647801</v>
      </c>
      <c r="J290" s="29">
        <f t="shared" si="40"/>
        <v>64.37718089</v>
      </c>
      <c r="K290" s="29">
        <v>104.79</v>
      </c>
    </row>
    <row r="291" ht="14.25" customHeight="1">
      <c r="A291" s="36"/>
      <c r="B291" s="36"/>
      <c r="C291" s="3"/>
      <c r="D291" s="3"/>
      <c r="E291" s="3"/>
      <c r="F291" s="3"/>
      <c r="G291" s="3"/>
      <c r="H291" s="3"/>
      <c r="I291" s="4"/>
      <c r="J291" s="4" t="str">
        <f t="shared" si="40"/>
        <v/>
      </c>
      <c r="K291" s="4" t="str">
        <f t="shared" ref="K291:K357" si="41">IF(I291&lt;&gt;"",J291*(1+G291),"")</f>
        <v/>
      </c>
    </row>
    <row r="292" ht="14.25" customHeight="1">
      <c r="A292" s="31" t="s">
        <v>805</v>
      </c>
      <c r="B292" s="31"/>
      <c r="C292" s="31" t="s">
        <v>806</v>
      </c>
      <c r="D292" s="32" t="s">
        <v>807</v>
      </c>
      <c r="E292" s="32" t="s">
        <v>808</v>
      </c>
      <c r="F292" s="33">
        <v>6.0</v>
      </c>
      <c r="G292" s="28">
        <v>0.065</v>
      </c>
      <c r="H292" s="3"/>
      <c r="I292" s="34">
        <v>39.63209418176185</v>
      </c>
      <c r="J292" s="34">
        <f t="shared" ref="J292:J296" si="42">IF(I292&lt;&gt;"",I292-(I292*0.05),"")</f>
        <v>37.65048947</v>
      </c>
      <c r="K292" s="34">
        <f t="shared" si="41"/>
        <v>40.09777129</v>
      </c>
    </row>
    <row r="293" ht="14.25" customHeight="1">
      <c r="A293" s="31" t="s">
        <v>809</v>
      </c>
      <c r="B293" s="31" t="s">
        <v>810</v>
      </c>
      <c r="C293" s="31" t="s">
        <v>811</v>
      </c>
      <c r="D293" s="32" t="s">
        <v>812</v>
      </c>
      <c r="E293" s="32" t="s">
        <v>813</v>
      </c>
      <c r="F293" s="33">
        <v>6.0</v>
      </c>
      <c r="G293" s="28">
        <v>0.065</v>
      </c>
      <c r="H293" s="3"/>
      <c r="I293" s="34">
        <v>40.88087085583781</v>
      </c>
      <c r="J293" s="34">
        <f t="shared" si="42"/>
        <v>38.83682731</v>
      </c>
      <c r="K293" s="34">
        <f t="shared" si="41"/>
        <v>41.36122109</v>
      </c>
    </row>
    <row r="294" ht="14.25" customHeight="1">
      <c r="A294" s="31" t="s">
        <v>814</v>
      </c>
      <c r="B294" s="31" t="s">
        <v>815</v>
      </c>
      <c r="C294" s="31" t="s">
        <v>816</v>
      </c>
      <c r="D294" s="32" t="s">
        <v>817</v>
      </c>
      <c r="E294" s="32" t="s">
        <v>818</v>
      </c>
      <c r="F294" s="33">
        <v>6.0</v>
      </c>
      <c r="G294" s="28">
        <v>0.065</v>
      </c>
      <c r="H294" s="3"/>
      <c r="I294" s="34">
        <v>42.749976062690855</v>
      </c>
      <c r="J294" s="34">
        <f t="shared" si="42"/>
        <v>40.61247726</v>
      </c>
      <c r="K294" s="34">
        <f t="shared" si="41"/>
        <v>43.25228828</v>
      </c>
    </row>
    <row r="295" ht="14.25" customHeight="1">
      <c r="A295" s="31" t="s">
        <v>814</v>
      </c>
      <c r="B295" s="31" t="s">
        <v>815</v>
      </c>
      <c r="C295" s="31" t="s">
        <v>819</v>
      </c>
      <c r="D295" s="32" t="s">
        <v>820</v>
      </c>
      <c r="E295" s="32" t="s">
        <v>821</v>
      </c>
      <c r="F295" s="33">
        <v>6.0</v>
      </c>
      <c r="G295" s="28">
        <v>0.065</v>
      </c>
      <c r="H295" s="3"/>
      <c r="I295" s="34">
        <v>44.91013674528739</v>
      </c>
      <c r="J295" s="34">
        <f t="shared" si="42"/>
        <v>42.66462991</v>
      </c>
      <c r="K295" s="34">
        <f t="shared" si="41"/>
        <v>45.43783085</v>
      </c>
    </row>
    <row r="296" ht="14.25" customHeight="1">
      <c r="A296" s="31" t="s">
        <v>814</v>
      </c>
      <c r="B296" s="31" t="s">
        <v>822</v>
      </c>
      <c r="C296" s="31" t="s">
        <v>823</v>
      </c>
      <c r="D296" s="32" t="s">
        <v>824</v>
      </c>
      <c r="E296" s="32" t="s">
        <v>825</v>
      </c>
      <c r="F296" s="33">
        <v>6.0</v>
      </c>
      <c r="G296" s="28">
        <v>0.065</v>
      </c>
      <c r="H296" s="3"/>
      <c r="I296" s="34">
        <v>76.7731626340641</v>
      </c>
      <c r="J296" s="34">
        <f t="shared" si="42"/>
        <v>72.9345045</v>
      </c>
      <c r="K296" s="34">
        <f t="shared" si="41"/>
        <v>77.6752473</v>
      </c>
    </row>
    <row r="297" ht="14.25" customHeight="1">
      <c r="A297" s="25" t="s">
        <v>757</v>
      </c>
      <c r="B297" s="25"/>
      <c r="C297" s="25" t="s">
        <v>826</v>
      </c>
      <c r="D297" s="26" t="s">
        <v>827</v>
      </c>
      <c r="E297" s="26" t="s">
        <v>828</v>
      </c>
      <c r="F297" s="27">
        <v>6.0</v>
      </c>
      <c r="G297" s="28">
        <v>0.065</v>
      </c>
      <c r="H297" s="3"/>
      <c r="I297" s="29">
        <v>45.38306317705345</v>
      </c>
      <c r="J297" s="29">
        <f t="shared" ref="J297:J299" si="43">IF(I297&lt;&gt;"",I297-(I297*0.07),"")</f>
        <v>42.20624875</v>
      </c>
      <c r="K297" s="29">
        <f t="shared" si="41"/>
        <v>44.94965492</v>
      </c>
    </row>
    <row r="298" ht="14.25" customHeight="1">
      <c r="A298" s="25"/>
      <c r="B298" s="25"/>
      <c r="C298" s="25" t="s">
        <v>829</v>
      </c>
      <c r="D298" s="26" t="s">
        <v>830</v>
      </c>
      <c r="E298" s="26" t="s">
        <v>831</v>
      </c>
      <c r="F298" s="27">
        <v>12.0</v>
      </c>
      <c r="G298" s="28">
        <v>0.065</v>
      </c>
      <c r="H298" s="3"/>
      <c r="I298" s="29">
        <v>28.136683034999997</v>
      </c>
      <c r="J298" s="29">
        <f t="shared" si="43"/>
        <v>26.16711522</v>
      </c>
      <c r="K298" s="29">
        <f t="shared" si="41"/>
        <v>27.86797771</v>
      </c>
    </row>
    <row r="299" ht="14.25" customHeight="1">
      <c r="A299" s="36"/>
      <c r="B299" s="36"/>
      <c r="C299" s="3"/>
      <c r="D299" s="3"/>
      <c r="E299" s="3"/>
      <c r="F299" s="3"/>
      <c r="G299" s="3"/>
      <c r="H299" s="3"/>
      <c r="I299" s="4"/>
      <c r="J299" s="4" t="str">
        <f t="shared" si="43"/>
        <v/>
      </c>
      <c r="K299" s="4" t="str">
        <f t="shared" si="41"/>
        <v/>
      </c>
    </row>
    <row r="300" ht="14.25" customHeight="1">
      <c r="A300" s="31" t="s">
        <v>786</v>
      </c>
      <c r="B300" s="31"/>
      <c r="C300" s="31" t="s">
        <v>832</v>
      </c>
      <c r="D300" s="32" t="s">
        <v>833</v>
      </c>
      <c r="E300" s="32" t="s">
        <v>834</v>
      </c>
      <c r="F300" s="33">
        <v>6.0</v>
      </c>
      <c r="G300" s="28">
        <v>0.065</v>
      </c>
      <c r="H300" s="3"/>
      <c r="I300" s="34">
        <v>139.79060004457708</v>
      </c>
      <c r="J300" s="34">
        <f t="shared" ref="J300:J303" si="44">IF(I300&lt;&gt;"",I300-(I300*0.05),"")</f>
        <v>132.80107</v>
      </c>
      <c r="K300" s="34">
        <f t="shared" si="41"/>
        <v>141.4331396</v>
      </c>
    </row>
    <row r="301" ht="14.25" customHeight="1">
      <c r="A301" s="31" t="s">
        <v>786</v>
      </c>
      <c r="B301" s="31" t="s">
        <v>835</v>
      </c>
      <c r="C301" s="31" t="s">
        <v>836</v>
      </c>
      <c r="D301" s="32" t="s">
        <v>837</v>
      </c>
      <c r="E301" s="32" t="s">
        <v>838</v>
      </c>
      <c r="F301" s="33">
        <v>6.0</v>
      </c>
      <c r="G301" s="28">
        <v>0.065</v>
      </c>
      <c r="H301" s="3"/>
      <c r="I301" s="34">
        <v>221.82649095303586</v>
      </c>
      <c r="J301" s="34">
        <f t="shared" si="44"/>
        <v>210.7351664</v>
      </c>
      <c r="K301" s="34">
        <f t="shared" si="41"/>
        <v>224.4329522</v>
      </c>
    </row>
    <row r="302" ht="14.25" customHeight="1">
      <c r="A302" s="31" t="s">
        <v>786</v>
      </c>
      <c r="B302" s="31" t="s">
        <v>835</v>
      </c>
      <c r="C302" s="31" t="s">
        <v>839</v>
      </c>
      <c r="D302" s="32" t="s">
        <v>840</v>
      </c>
      <c r="E302" s="32" t="s">
        <v>841</v>
      </c>
      <c r="F302" s="33">
        <v>6.0</v>
      </c>
      <c r="G302" s="28">
        <v>0.065</v>
      </c>
      <c r="H302" s="3"/>
      <c r="I302" s="34">
        <v>430.4051897301765</v>
      </c>
      <c r="J302" s="34">
        <f t="shared" si="44"/>
        <v>408.8849302</v>
      </c>
      <c r="K302" s="34">
        <f t="shared" si="41"/>
        <v>435.4624507</v>
      </c>
    </row>
    <row r="303" ht="14.25" customHeight="1">
      <c r="A303" s="31" t="s">
        <v>786</v>
      </c>
      <c r="B303" s="31" t="s">
        <v>835</v>
      </c>
      <c r="C303" s="31" t="s">
        <v>842</v>
      </c>
      <c r="D303" s="32" t="s">
        <v>843</v>
      </c>
      <c r="E303" s="32" t="s">
        <v>844</v>
      </c>
      <c r="F303" s="33">
        <v>6.0</v>
      </c>
      <c r="G303" s="28">
        <v>0.065</v>
      </c>
      <c r="H303" s="3"/>
      <c r="I303" s="34">
        <v>751.3004472463934</v>
      </c>
      <c r="J303" s="34">
        <f t="shared" si="44"/>
        <v>713.7354249</v>
      </c>
      <c r="K303" s="34">
        <f t="shared" si="41"/>
        <v>760.1282275</v>
      </c>
    </row>
    <row r="304" ht="14.25" customHeight="1">
      <c r="A304" s="36"/>
      <c r="B304" s="36"/>
      <c r="C304" s="3"/>
      <c r="D304" s="3"/>
      <c r="E304" s="3"/>
      <c r="F304" s="3"/>
      <c r="G304" s="3"/>
      <c r="H304" s="3"/>
      <c r="I304" s="4"/>
      <c r="J304" s="4" t="str">
        <f t="shared" ref="J304:J315" si="45">IF(I304&lt;&gt;"",I304-(I304*0.07),"")</f>
        <v/>
      </c>
      <c r="K304" s="4" t="str">
        <f t="shared" si="41"/>
        <v/>
      </c>
    </row>
    <row r="305" ht="14.25" customHeight="1">
      <c r="A305" s="25" t="s">
        <v>805</v>
      </c>
      <c r="B305" s="25"/>
      <c r="C305" s="25" t="s">
        <v>845</v>
      </c>
      <c r="D305" s="26" t="s">
        <v>846</v>
      </c>
      <c r="E305" s="26" t="s">
        <v>847</v>
      </c>
      <c r="F305" s="27">
        <v>12.0</v>
      </c>
      <c r="G305" s="28">
        <v>0.065</v>
      </c>
      <c r="H305" s="3"/>
      <c r="I305" s="29">
        <v>38.43949085649911</v>
      </c>
      <c r="J305" s="29">
        <f t="shared" si="45"/>
        <v>35.7487265</v>
      </c>
      <c r="K305" s="29">
        <f t="shared" si="41"/>
        <v>38.07239372</v>
      </c>
    </row>
    <row r="306" ht="14.25" customHeight="1">
      <c r="A306" s="25" t="s">
        <v>805</v>
      </c>
      <c r="B306" s="25"/>
      <c r="C306" s="25" t="s">
        <v>848</v>
      </c>
      <c r="D306" s="26" t="s">
        <v>849</v>
      </c>
      <c r="E306" s="26" t="s">
        <v>850</v>
      </c>
      <c r="F306" s="27">
        <v>12.0</v>
      </c>
      <c r="G306" s="28">
        <v>0.065</v>
      </c>
      <c r="H306" s="3"/>
      <c r="I306" s="29">
        <v>38.43949085649911</v>
      </c>
      <c r="J306" s="29">
        <f t="shared" si="45"/>
        <v>35.7487265</v>
      </c>
      <c r="K306" s="29">
        <f t="shared" si="41"/>
        <v>38.07239372</v>
      </c>
    </row>
    <row r="307" ht="14.25" customHeight="1">
      <c r="A307" s="25" t="s">
        <v>805</v>
      </c>
      <c r="B307" s="25"/>
      <c r="C307" s="25" t="s">
        <v>75</v>
      </c>
      <c r="D307" s="26" t="s">
        <v>851</v>
      </c>
      <c r="E307" s="26" t="s">
        <v>852</v>
      </c>
      <c r="F307" s="27">
        <v>6.0</v>
      </c>
      <c r="G307" s="28">
        <v>0.065</v>
      </c>
      <c r="H307" s="3"/>
      <c r="I307" s="29">
        <v>59.65685721450467</v>
      </c>
      <c r="J307" s="29">
        <f t="shared" si="45"/>
        <v>55.48087721</v>
      </c>
      <c r="K307" s="29">
        <f t="shared" si="41"/>
        <v>59.08713423</v>
      </c>
    </row>
    <row r="308" ht="14.25" customHeight="1">
      <c r="A308" s="25" t="s">
        <v>805</v>
      </c>
      <c r="B308" s="25"/>
      <c r="C308" s="25" t="s">
        <v>853</v>
      </c>
      <c r="D308" s="26" t="s">
        <v>854</v>
      </c>
      <c r="E308" s="26" t="s">
        <v>855</v>
      </c>
      <c r="F308" s="27">
        <v>6.0</v>
      </c>
      <c r="G308" s="28">
        <v>0.065</v>
      </c>
      <c r="H308" s="3"/>
      <c r="I308" s="29">
        <v>59.65685721450467</v>
      </c>
      <c r="J308" s="29">
        <f t="shared" si="45"/>
        <v>55.48087721</v>
      </c>
      <c r="K308" s="29">
        <f t="shared" si="41"/>
        <v>59.08713423</v>
      </c>
    </row>
    <row r="309" ht="14.25" customHeight="1">
      <c r="A309" s="25" t="s">
        <v>805</v>
      </c>
      <c r="B309" s="25"/>
      <c r="C309" s="25" t="s">
        <v>856</v>
      </c>
      <c r="D309" s="26" t="s">
        <v>857</v>
      </c>
      <c r="E309" s="26" t="s">
        <v>858</v>
      </c>
      <c r="F309" s="27">
        <v>12.0</v>
      </c>
      <c r="G309" s="28">
        <v>0.065</v>
      </c>
      <c r="H309" s="3"/>
      <c r="I309" s="29">
        <v>59.65685721450467</v>
      </c>
      <c r="J309" s="29">
        <f t="shared" si="45"/>
        <v>55.48087721</v>
      </c>
      <c r="K309" s="29">
        <f t="shared" si="41"/>
        <v>59.08713423</v>
      </c>
    </row>
    <row r="310" ht="14.25" customHeight="1">
      <c r="A310" s="25" t="s">
        <v>805</v>
      </c>
      <c r="B310" s="25"/>
      <c r="C310" s="25" t="s">
        <v>75</v>
      </c>
      <c r="D310" s="26" t="s">
        <v>859</v>
      </c>
      <c r="E310" s="26" t="s">
        <v>860</v>
      </c>
      <c r="F310" s="27">
        <v>6.0</v>
      </c>
      <c r="G310" s="28">
        <v>0.06500000000000002</v>
      </c>
      <c r="H310" s="3"/>
      <c r="I310" s="29">
        <v>59.65685721450467</v>
      </c>
      <c r="J310" s="29">
        <f t="shared" si="45"/>
        <v>55.48087721</v>
      </c>
      <c r="K310" s="29">
        <f t="shared" si="41"/>
        <v>59.08713423</v>
      </c>
    </row>
    <row r="311" ht="14.25" customHeight="1">
      <c r="A311" s="36"/>
      <c r="B311" s="36"/>
      <c r="C311" s="3"/>
      <c r="D311" s="3"/>
      <c r="E311" s="3"/>
      <c r="F311" s="3"/>
      <c r="G311" s="3"/>
      <c r="H311" s="3"/>
      <c r="I311" s="4"/>
      <c r="J311" s="4" t="str">
        <f t="shared" si="45"/>
        <v/>
      </c>
      <c r="K311" s="4" t="str">
        <f t="shared" si="41"/>
        <v/>
      </c>
    </row>
    <row r="312" ht="14.25" customHeight="1">
      <c r="A312" s="25" t="s">
        <v>805</v>
      </c>
      <c r="B312" s="25"/>
      <c r="C312" s="25" t="s">
        <v>75</v>
      </c>
      <c r="D312" s="26" t="s">
        <v>861</v>
      </c>
      <c r="E312" s="26" t="s">
        <v>862</v>
      </c>
      <c r="F312" s="27">
        <v>6.0</v>
      </c>
      <c r="G312" s="28">
        <v>0.06500000000000002</v>
      </c>
      <c r="H312" s="3"/>
      <c r="I312" s="29">
        <v>74.75783628619618</v>
      </c>
      <c r="J312" s="29">
        <f t="shared" si="45"/>
        <v>69.52478775</v>
      </c>
      <c r="K312" s="29">
        <f t="shared" si="41"/>
        <v>74.04389895</v>
      </c>
    </row>
    <row r="313" ht="14.25" customHeight="1">
      <c r="A313" s="25" t="s">
        <v>805</v>
      </c>
      <c r="B313" s="25"/>
      <c r="C313" s="25" t="s">
        <v>75</v>
      </c>
      <c r="D313" s="26" t="s">
        <v>863</v>
      </c>
      <c r="E313" s="26" t="s">
        <v>864</v>
      </c>
      <c r="F313" s="27">
        <v>6.0</v>
      </c>
      <c r="G313" s="28">
        <v>0.06500000000000002</v>
      </c>
      <c r="H313" s="3"/>
      <c r="I313" s="29">
        <v>74.75783628619618</v>
      </c>
      <c r="J313" s="29">
        <f t="shared" si="45"/>
        <v>69.52478775</v>
      </c>
      <c r="K313" s="29">
        <f t="shared" si="41"/>
        <v>74.04389895</v>
      </c>
    </row>
    <row r="314" ht="14.25" customHeight="1">
      <c r="A314" s="25" t="s">
        <v>805</v>
      </c>
      <c r="B314" s="25"/>
      <c r="C314" s="25" t="s">
        <v>75</v>
      </c>
      <c r="D314" s="26" t="s">
        <v>865</v>
      </c>
      <c r="E314" s="26" t="s">
        <v>866</v>
      </c>
      <c r="F314" s="27">
        <v>6.0</v>
      </c>
      <c r="G314" s="28">
        <v>0.06500000000000002</v>
      </c>
      <c r="H314" s="3"/>
      <c r="I314" s="29">
        <v>74.75783628619618</v>
      </c>
      <c r="J314" s="29">
        <f t="shared" si="45"/>
        <v>69.52478775</v>
      </c>
      <c r="K314" s="29">
        <f t="shared" si="41"/>
        <v>74.04389895</v>
      </c>
    </row>
    <row r="315" ht="14.25" customHeight="1">
      <c r="A315" s="36"/>
      <c r="B315" s="36"/>
      <c r="C315" s="3"/>
      <c r="D315" s="3"/>
      <c r="E315" s="3"/>
      <c r="F315" s="3"/>
      <c r="G315" s="3"/>
      <c r="H315" s="3"/>
      <c r="I315" s="4"/>
      <c r="J315" s="4" t="str">
        <f t="shared" si="45"/>
        <v/>
      </c>
      <c r="K315" s="4" t="str">
        <f t="shared" si="41"/>
        <v/>
      </c>
    </row>
    <row r="316" ht="14.25" customHeight="1">
      <c r="A316" s="31" t="s">
        <v>805</v>
      </c>
      <c r="B316" s="31"/>
      <c r="C316" s="31" t="s">
        <v>867</v>
      </c>
      <c r="D316" s="32" t="s">
        <v>868</v>
      </c>
      <c r="E316" s="32" t="s">
        <v>869</v>
      </c>
      <c r="F316" s="33">
        <v>6.0</v>
      </c>
      <c r="G316" s="28">
        <v>0.065</v>
      </c>
      <c r="H316" s="3"/>
      <c r="I316" s="34">
        <v>121.32866226009341</v>
      </c>
      <c r="J316" s="34">
        <f t="shared" ref="J316:J318" si="46">IF(I316&lt;&gt;"",I316-(I316*0.05),"")</f>
        <v>115.2622291</v>
      </c>
      <c r="K316" s="34">
        <f t="shared" si="41"/>
        <v>122.754274</v>
      </c>
    </row>
    <row r="317" ht="14.25" customHeight="1">
      <c r="A317" s="31" t="s">
        <v>805</v>
      </c>
      <c r="B317" s="31" t="s">
        <v>870</v>
      </c>
      <c r="C317" s="31" t="s">
        <v>871</v>
      </c>
      <c r="D317" s="32" t="s">
        <v>872</v>
      </c>
      <c r="E317" s="32" t="s">
        <v>873</v>
      </c>
      <c r="F317" s="33">
        <v>6.0</v>
      </c>
      <c r="G317" s="28">
        <v>0.065</v>
      </c>
      <c r="H317" s="3"/>
      <c r="I317" s="34">
        <v>177.01417159834426</v>
      </c>
      <c r="J317" s="34">
        <f t="shared" si="46"/>
        <v>168.163463</v>
      </c>
      <c r="K317" s="34">
        <f t="shared" si="41"/>
        <v>179.0940881</v>
      </c>
    </row>
    <row r="318" ht="14.25" customHeight="1">
      <c r="A318" s="31" t="s">
        <v>805</v>
      </c>
      <c r="B318" s="31" t="s">
        <v>874</v>
      </c>
      <c r="C318" s="31" t="s">
        <v>875</v>
      </c>
      <c r="D318" s="32" t="s">
        <v>876</v>
      </c>
      <c r="E318" s="32" t="s">
        <v>877</v>
      </c>
      <c r="F318" s="33">
        <v>6.0</v>
      </c>
      <c r="G318" s="28">
        <v>0.065</v>
      </c>
      <c r="H318" s="3"/>
      <c r="I318" s="34">
        <v>420.1430377164439</v>
      </c>
      <c r="J318" s="34">
        <f t="shared" si="46"/>
        <v>399.1358858</v>
      </c>
      <c r="K318" s="34">
        <f t="shared" si="41"/>
        <v>425.0797184</v>
      </c>
    </row>
    <row r="319" ht="14.25" customHeight="1">
      <c r="A319" s="25" t="s">
        <v>805</v>
      </c>
      <c r="B319" s="25" t="s">
        <v>878</v>
      </c>
      <c r="C319" s="25" t="s">
        <v>879</v>
      </c>
      <c r="D319" s="26" t="s">
        <v>880</v>
      </c>
      <c r="E319" s="26" t="s">
        <v>881</v>
      </c>
      <c r="F319" s="27">
        <v>6.0</v>
      </c>
      <c r="G319" s="28">
        <v>0.065</v>
      </c>
      <c r="H319" s="3"/>
      <c r="I319" s="29">
        <v>81.05223183041791</v>
      </c>
      <c r="J319" s="29">
        <f>IF(I319&lt;&gt;"",I319-(I319*0.07),"")</f>
        <v>75.3785756</v>
      </c>
      <c r="K319" s="29">
        <f t="shared" si="41"/>
        <v>80.27818302</v>
      </c>
    </row>
    <row r="320" ht="14.25" customHeight="1">
      <c r="A320" s="31" t="s">
        <v>805</v>
      </c>
      <c r="B320" s="31"/>
      <c r="C320" s="31" t="s">
        <v>75</v>
      </c>
      <c r="D320" s="32" t="s">
        <v>882</v>
      </c>
      <c r="E320" s="32" t="s">
        <v>883</v>
      </c>
      <c r="F320" s="33">
        <v>6.0</v>
      </c>
      <c r="G320" s="28">
        <v>0.06500000000000002</v>
      </c>
      <c r="H320" s="3"/>
      <c r="I320" s="34">
        <v>83.73531614385055</v>
      </c>
      <c r="J320" s="34">
        <f t="shared" ref="J320:J323" si="47">IF(I320&lt;&gt;"",I320-(I320*0.05),"")</f>
        <v>79.54855034</v>
      </c>
      <c r="K320" s="34">
        <f t="shared" si="41"/>
        <v>84.71920611</v>
      </c>
    </row>
    <row r="321" ht="14.25" customHeight="1">
      <c r="A321" s="31" t="s">
        <v>805</v>
      </c>
      <c r="B321" s="31"/>
      <c r="C321" s="31" t="s">
        <v>75</v>
      </c>
      <c r="D321" s="32" t="s">
        <v>884</v>
      </c>
      <c r="E321" s="32" t="s">
        <v>885</v>
      </c>
      <c r="F321" s="33">
        <v>6.0</v>
      </c>
      <c r="G321" s="28">
        <v>0.06500000000000002</v>
      </c>
      <c r="H321" s="3"/>
      <c r="I321" s="34">
        <v>83.73531614385055</v>
      </c>
      <c r="J321" s="34">
        <f t="shared" si="47"/>
        <v>79.54855034</v>
      </c>
      <c r="K321" s="34">
        <f t="shared" si="41"/>
        <v>84.71920611</v>
      </c>
    </row>
    <row r="322" ht="14.25" customHeight="1">
      <c r="A322" s="31" t="s">
        <v>805</v>
      </c>
      <c r="B322" s="31"/>
      <c r="C322" s="31" t="s">
        <v>75</v>
      </c>
      <c r="D322" s="32" t="s">
        <v>886</v>
      </c>
      <c r="E322" s="32" t="s">
        <v>887</v>
      </c>
      <c r="F322" s="33">
        <v>6.0</v>
      </c>
      <c r="G322" s="28">
        <v>0.06500000000000002</v>
      </c>
      <c r="H322" s="3"/>
      <c r="I322" s="34">
        <v>83.73531614385055</v>
      </c>
      <c r="J322" s="34">
        <f t="shared" si="47"/>
        <v>79.54855034</v>
      </c>
      <c r="K322" s="34">
        <f t="shared" si="41"/>
        <v>84.71920611</v>
      </c>
    </row>
    <row r="323" ht="14.25" customHeight="1">
      <c r="A323" s="31" t="s">
        <v>805</v>
      </c>
      <c r="B323" s="31"/>
      <c r="C323" s="31" t="s">
        <v>888</v>
      </c>
      <c r="D323" s="32" t="s">
        <v>889</v>
      </c>
      <c r="E323" s="32" t="s">
        <v>890</v>
      </c>
      <c r="F323" s="33">
        <v>6.0</v>
      </c>
      <c r="G323" s="28">
        <v>0.065</v>
      </c>
      <c r="H323" s="3"/>
      <c r="I323" s="34">
        <v>78.3746472195122</v>
      </c>
      <c r="J323" s="34">
        <f t="shared" si="47"/>
        <v>74.45591486</v>
      </c>
      <c r="K323" s="34">
        <f t="shared" si="41"/>
        <v>79.29554932</v>
      </c>
    </row>
    <row r="324" ht="14.25" customHeight="1">
      <c r="A324" s="36"/>
      <c r="B324" s="36"/>
      <c r="C324" s="3"/>
      <c r="D324" s="3"/>
      <c r="E324" s="3"/>
      <c r="F324" s="3"/>
      <c r="G324" s="3"/>
      <c r="H324" s="3"/>
      <c r="I324" s="4"/>
      <c r="J324" s="4" t="str">
        <f>IF(I324&lt;&gt;"",I324-(I324*0.07),"")</f>
        <v/>
      </c>
      <c r="K324" s="4" t="str">
        <f t="shared" si="41"/>
        <v/>
      </c>
    </row>
    <row r="325" ht="14.25" customHeight="1">
      <c r="A325" s="31" t="s">
        <v>738</v>
      </c>
      <c r="B325" s="31" t="s">
        <v>739</v>
      </c>
      <c r="C325" s="31" t="s">
        <v>891</v>
      </c>
      <c r="D325" s="32" t="s">
        <v>892</v>
      </c>
      <c r="E325" s="32" t="s">
        <v>893</v>
      </c>
      <c r="F325" s="33">
        <v>6.0</v>
      </c>
      <c r="G325" s="28">
        <v>0.065</v>
      </c>
      <c r="H325" s="3"/>
      <c r="I325" s="34">
        <v>128.6299044972332</v>
      </c>
      <c r="J325" s="34">
        <f t="shared" ref="J325:J329" si="48">IF(I325&lt;&gt;"",I325-(I325*0.05),"")</f>
        <v>122.1984093</v>
      </c>
      <c r="K325" s="34">
        <f t="shared" si="41"/>
        <v>130.1413059</v>
      </c>
    </row>
    <row r="326" ht="14.25" customHeight="1">
      <c r="A326" s="31" t="s">
        <v>738</v>
      </c>
      <c r="B326" s="31" t="s">
        <v>894</v>
      </c>
      <c r="C326" s="31" t="s">
        <v>895</v>
      </c>
      <c r="D326" s="32" t="s">
        <v>896</v>
      </c>
      <c r="E326" s="32" t="s">
        <v>897</v>
      </c>
      <c r="F326" s="33">
        <v>6.0</v>
      </c>
      <c r="G326" s="28">
        <v>0.065</v>
      </c>
      <c r="H326" s="3"/>
      <c r="I326" s="34">
        <v>179.32026875532975</v>
      </c>
      <c r="J326" s="34">
        <f t="shared" si="48"/>
        <v>170.3542553</v>
      </c>
      <c r="K326" s="34">
        <f t="shared" si="41"/>
        <v>181.4272819</v>
      </c>
    </row>
    <row r="327" ht="14.25" customHeight="1">
      <c r="A327" s="31" t="s">
        <v>738</v>
      </c>
      <c r="B327" s="31" t="s">
        <v>739</v>
      </c>
      <c r="C327" s="31" t="s">
        <v>898</v>
      </c>
      <c r="D327" s="32" t="s">
        <v>899</v>
      </c>
      <c r="E327" s="32" t="s">
        <v>900</v>
      </c>
      <c r="F327" s="33">
        <v>6.0</v>
      </c>
      <c r="G327" s="28">
        <v>0.065</v>
      </c>
      <c r="H327" s="3"/>
      <c r="I327" s="34">
        <v>256.398129596527</v>
      </c>
      <c r="J327" s="34">
        <f t="shared" si="48"/>
        <v>243.5782231</v>
      </c>
      <c r="K327" s="34">
        <f t="shared" si="41"/>
        <v>259.4108076</v>
      </c>
    </row>
    <row r="328" ht="14.25" customHeight="1">
      <c r="A328" s="31" t="s">
        <v>738</v>
      </c>
      <c r="B328" s="31" t="s">
        <v>901</v>
      </c>
      <c r="C328" s="31" t="s">
        <v>902</v>
      </c>
      <c r="D328" s="32" t="s">
        <v>903</v>
      </c>
      <c r="E328" s="32" t="s">
        <v>904</v>
      </c>
      <c r="F328" s="33">
        <v>6.0</v>
      </c>
      <c r="G328" s="28">
        <v>0.065</v>
      </c>
      <c r="H328" s="3"/>
      <c r="I328" s="34">
        <v>799.6181965526466</v>
      </c>
      <c r="J328" s="34">
        <f t="shared" si="48"/>
        <v>759.6372867</v>
      </c>
      <c r="K328" s="34">
        <f t="shared" si="41"/>
        <v>809.0137104</v>
      </c>
    </row>
    <row r="329" ht="14.25" customHeight="1">
      <c r="A329" s="31" t="s">
        <v>738</v>
      </c>
      <c r="B329" s="31" t="s">
        <v>901</v>
      </c>
      <c r="C329" s="31" t="s">
        <v>905</v>
      </c>
      <c r="D329" s="32" t="s">
        <v>906</v>
      </c>
      <c r="E329" s="32" t="s">
        <v>907</v>
      </c>
      <c r="F329" s="33">
        <v>6.0</v>
      </c>
      <c r="G329" s="28">
        <v>0.065</v>
      </c>
      <c r="H329" s="3"/>
      <c r="I329" s="34">
        <v>799.6181965526466</v>
      </c>
      <c r="J329" s="34">
        <f t="shared" si="48"/>
        <v>759.6372867</v>
      </c>
      <c r="K329" s="34">
        <f t="shared" si="41"/>
        <v>809.0137104</v>
      </c>
    </row>
    <row r="330" ht="14.25" customHeight="1">
      <c r="A330" s="36"/>
      <c r="B330" s="36"/>
      <c r="C330" s="3"/>
      <c r="D330" s="3"/>
      <c r="E330" s="3"/>
      <c r="F330" s="3"/>
      <c r="G330" s="3"/>
      <c r="H330" s="3"/>
      <c r="I330" s="4"/>
      <c r="J330" s="4" t="str">
        <f>IF(I330&lt;&gt;"",I330-(I330*0.07),"")</f>
        <v/>
      </c>
      <c r="K330" s="4" t="str">
        <f t="shared" si="41"/>
        <v/>
      </c>
    </row>
    <row r="331" ht="14.25" customHeight="1">
      <c r="A331" s="31" t="s">
        <v>786</v>
      </c>
      <c r="B331" s="31"/>
      <c r="C331" s="31" t="s">
        <v>908</v>
      </c>
      <c r="D331" s="32" t="s">
        <v>909</v>
      </c>
      <c r="E331" s="32" t="s">
        <v>910</v>
      </c>
      <c r="F331" s="33">
        <v>6.0</v>
      </c>
      <c r="G331" s="28">
        <v>0.065</v>
      </c>
      <c r="H331" s="3"/>
      <c r="I331" s="34">
        <v>88.62760091240268</v>
      </c>
      <c r="J331" s="34">
        <f t="shared" ref="J331:J337" si="49">IF(I331&lt;&gt;"",I331-(I331*0.05),"")</f>
        <v>84.19622087</v>
      </c>
      <c r="K331" s="34">
        <f t="shared" si="41"/>
        <v>89.66897522</v>
      </c>
    </row>
    <row r="332" ht="14.25" customHeight="1">
      <c r="A332" s="31" t="s">
        <v>786</v>
      </c>
      <c r="B332" s="31" t="s">
        <v>911</v>
      </c>
      <c r="C332" s="31" t="s">
        <v>912</v>
      </c>
      <c r="D332" s="32" t="s">
        <v>913</v>
      </c>
      <c r="E332" s="32" t="s">
        <v>914</v>
      </c>
      <c r="F332" s="33">
        <v>6.0</v>
      </c>
      <c r="G332" s="28">
        <v>0.065</v>
      </c>
      <c r="H332" s="3"/>
      <c r="I332" s="34">
        <v>98.96577109436947</v>
      </c>
      <c r="J332" s="34">
        <f t="shared" si="49"/>
        <v>94.01748254</v>
      </c>
      <c r="K332" s="34">
        <f t="shared" si="41"/>
        <v>100.1286189</v>
      </c>
    </row>
    <row r="333" ht="14.25" customHeight="1">
      <c r="A333" s="31" t="s">
        <v>786</v>
      </c>
      <c r="B333" s="31" t="s">
        <v>835</v>
      </c>
      <c r="C333" s="31" t="s">
        <v>915</v>
      </c>
      <c r="D333" s="32" t="s">
        <v>916</v>
      </c>
      <c r="E333" s="32" t="s">
        <v>917</v>
      </c>
      <c r="F333" s="33">
        <v>6.0</v>
      </c>
      <c r="G333" s="28">
        <v>0.065</v>
      </c>
      <c r="H333" s="3"/>
      <c r="I333" s="34">
        <v>149.17606214003635</v>
      </c>
      <c r="J333" s="34">
        <f t="shared" si="49"/>
        <v>141.717259</v>
      </c>
      <c r="K333" s="34">
        <f t="shared" si="41"/>
        <v>150.9288809</v>
      </c>
    </row>
    <row r="334" ht="14.25" customHeight="1">
      <c r="A334" s="31" t="s">
        <v>786</v>
      </c>
      <c r="B334" s="31" t="s">
        <v>835</v>
      </c>
      <c r="C334" s="31" t="s">
        <v>918</v>
      </c>
      <c r="D334" s="32" t="s">
        <v>919</v>
      </c>
      <c r="E334" s="32" t="s">
        <v>920</v>
      </c>
      <c r="F334" s="33">
        <v>6.0</v>
      </c>
      <c r="G334" s="28">
        <v>0.065</v>
      </c>
      <c r="H334" s="3"/>
      <c r="I334" s="34">
        <v>363.4323861354178</v>
      </c>
      <c r="J334" s="34">
        <f t="shared" si="49"/>
        <v>345.2607668</v>
      </c>
      <c r="K334" s="34">
        <f t="shared" si="41"/>
        <v>367.7027167</v>
      </c>
    </row>
    <row r="335" ht="14.25" customHeight="1">
      <c r="A335" s="31" t="s">
        <v>786</v>
      </c>
      <c r="B335" s="31" t="s">
        <v>835</v>
      </c>
      <c r="C335" s="31" t="s">
        <v>921</v>
      </c>
      <c r="D335" s="32" t="s">
        <v>922</v>
      </c>
      <c r="E335" s="32" t="s">
        <v>923</v>
      </c>
      <c r="F335" s="33">
        <v>6.0</v>
      </c>
      <c r="G335" s="28">
        <v>0.065</v>
      </c>
      <c r="H335" s="3"/>
      <c r="I335" s="34">
        <v>860.5142674875196</v>
      </c>
      <c r="J335" s="34">
        <f t="shared" si="49"/>
        <v>817.4885541</v>
      </c>
      <c r="K335" s="34">
        <f t="shared" si="41"/>
        <v>870.6253101</v>
      </c>
    </row>
    <row r="336" ht="14.25" customHeight="1">
      <c r="A336" s="31" t="s">
        <v>786</v>
      </c>
      <c r="B336" s="31"/>
      <c r="C336" s="31" t="s">
        <v>75</v>
      </c>
      <c r="D336" s="32" t="s">
        <v>924</v>
      </c>
      <c r="E336" s="32" t="s">
        <v>925</v>
      </c>
      <c r="F336" s="33">
        <v>6.0</v>
      </c>
      <c r="G336" s="28">
        <v>0.06500000000000002</v>
      </c>
      <c r="H336" s="3"/>
      <c r="I336" s="34">
        <v>177.6028115320446</v>
      </c>
      <c r="J336" s="34">
        <f t="shared" si="49"/>
        <v>168.722671</v>
      </c>
      <c r="K336" s="34">
        <f t="shared" si="41"/>
        <v>179.6896446</v>
      </c>
    </row>
    <row r="337" ht="14.25" customHeight="1">
      <c r="A337" s="31" t="s">
        <v>786</v>
      </c>
      <c r="B337" s="31" t="s">
        <v>835</v>
      </c>
      <c r="C337" s="31" t="s">
        <v>926</v>
      </c>
      <c r="D337" s="32" t="s">
        <v>927</v>
      </c>
      <c r="E337" s="32" t="s">
        <v>928</v>
      </c>
      <c r="F337" s="33">
        <v>6.0</v>
      </c>
      <c r="G337" s="28">
        <v>0.06500000000000002</v>
      </c>
      <c r="H337" s="3"/>
      <c r="I337" s="34">
        <v>845.2966869706021</v>
      </c>
      <c r="J337" s="34">
        <f t="shared" si="49"/>
        <v>803.0318526</v>
      </c>
      <c r="K337" s="34">
        <f t="shared" si="41"/>
        <v>855.228923</v>
      </c>
    </row>
    <row r="338" ht="14.25" customHeight="1">
      <c r="A338" s="36"/>
      <c r="B338" s="36"/>
      <c r="C338" s="3"/>
      <c r="D338" s="3"/>
      <c r="E338" s="3"/>
      <c r="F338" s="3"/>
      <c r="G338" s="3"/>
      <c r="H338" s="3"/>
      <c r="I338" s="4"/>
      <c r="J338" s="4" t="str">
        <f>IF(I338&lt;&gt;"",I338-(I338*0.07),"")</f>
        <v/>
      </c>
      <c r="K338" s="4" t="str">
        <f t="shared" si="41"/>
        <v/>
      </c>
    </row>
    <row r="339" ht="14.25" customHeight="1">
      <c r="A339" s="31" t="s">
        <v>786</v>
      </c>
      <c r="B339" s="31" t="s">
        <v>787</v>
      </c>
      <c r="C339" s="31" t="s">
        <v>929</v>
      </c>
      <c r="D339" s="32" t="s">
        <v>930</v>
      </c>
      <c r="E339" s="32" t="s">
        <v>931</v>
      </c>
      <c r="F339" s="33">
        <v>12.0</v>
      </c>
      <c r="G339" s="28">
        <v>0.065</v>
      </c>
      <c r="H339" s="3"/>
      <c r="I339" s="34">
        <v>83.19458993258952</v>
      </c>
      <c r="J339" s="34">
        <f t="shared" ref="J339:J342" si="50">IF(I339&lt;&gt;"",I339-(I339*0.05),"")</f>
        <v>79.03486044</v>
      </c>
      <c r="K339" s="34">
        <f t="shared" si="41"/>
        <v>84.17212636</v>
      </c>
    </row>
    <row r="340" ht="14.25" customHeight="1">
      <c r="A340" s="31" t="s">
        <v>757</v>
      </c>
      <c r="B340" s="31"/>
      <c r="C340" s="31" t="s">
        <v>932</v>
      </c>
      <c r="D340" s="32" t="s">
        <v>933</v>
      </c>
      <c r="E340" s="32" t="s">
        <v>934</v>
      </c>
      <c r="F340" s="33">
        <v>6.0</v>
      </c>
      <c r="G340" s="28">
        <v>0.065</v>
      </c>
      <c r="H340" s="3"/>
      <c r="I340" s="34">
        <v>114.15760274408409</v>
      </c>
      <c r="J340" s="34">
        <f t="shared" si="50"/>
        <v>108.4497226</v>
      </c>
      <c r="K340" s="34">
        <f t="shared" si="41"/>
        <v>115.4989546</v>
      </c>
    </row>
    <row r="341" ht="14.25" customHeight="1">
      <c r="A341" s="31" t="s">
        <v>786</v>
      </c>
      <c r="B341" s="31"/>
      <c r="C341" s="31" t="s">
        <v>935</v>
      </c>
      <c r="D341" s="32" t="s">
        <v>936</v>
      </c>
      <c r="E341" s="32" t="s">
        <v>937</v>
      </c>
      <c r="F341" s="33">
        <v>6.0</v>
      </c>
      <c r="G341" s="28">
        <v>0.065</v>
      </c>
      <c r="H341" s="3"/>
      <c r="I341" s="34">
        <v>134.55600363120357</v>
      </c>
      <c r="J341" s="34">
        <f t="shared" si="50"/>
        <v>127.8282034</v>
      </c>
      <c r="K341" s="34">
        <f t="shared" si="41"/>
        <v>136.1370367</v>
      </c>
    </row>
    <row r="342" ht="14.25" customHeight="1">
      <c r="A342" s="31" t="s">
        <v>786</v>
      </c>
      <c r="B342" s="31" t="s">
        <v>794</v>
      </c>
      <c r="C342" s="31" t="s">
        <v>938</v>
      </c>
      <c r="D342" s="32" t="s">
        <v>939</v>
      </c>
      <c r="E342" s="32" t="s">
        <v>940</v>
      </c>
      <c r="F342" s="33">
        <v>6.0</v>
      </c>
      <c r="G342" s="28">
        <v>0.065</v>
      </c>
      <c r="H342" s="3"/>
      <c r="I342" s="34">
        <v>153.20067005566932</v>
      </c>
      <c r="J342" s="34">
        <f t="shared" si="50"/>
        <v>145.5406366</v>
      </c>
      <c r="K342" s="34">
        <f t="shared" si="41"/>
        <v>155.0007779</v>
      </c>
    </row>
    <row r="343" ht="14.25" customHeight="1">
      <c r="A343" s="25" t="s">
        <v>786</v>
      </c>
      <c r="B343" s="25" t="s">
        <v>787</v>
      </c>
      <c r="C343" s="25" t="s">
        <v>941</v>
      </c>
      <c r="D343" s="26" t="s">
        <v>942</v>
      </c>
      <c r="E343" s="26" t="s">
        <v>943</v>
      </c>
      <c r="F343" s="27">
        <v>24.0</v>
      </c>
      <c r="G343" s="28">
        <v>0.065</v>
      </c>
      <c r="H343" s="3"/>
      <c r="I343" s="29">
        <v>50.64177616235802</v>
      </c>
      <c r="J343" s="29">
        <f t="shared" ref="J343:J347" si="51">IF(I343&lt;&gt;"",I343-(I343*0.07),"")</f>
        <v>47.09685183</v>
      </c>
      <c r="K343" s="29">
        <f t="shared" si="41"/>
        <v>50.1581472</v>
      </c>
    </row>
    <row r="344" ht="14.25" customHeight="1">
      <c r="A344" s="25" t="s">
        <v>944</v>
      </c>
      <c r="B344" s="25" t="s">
        <v>945</v>
      </c>
      <c r="C344" s="25" t="s">
        <v>946</v>
      </c>
      <c r="D344" s="26" t="s">
        <v>947</v>
      </c>
      <c r="E344" s="26" t="s">
        <v>948</v>
      </c>
      <c r="F344" s="27">
        <v>6.0</v>
      </c>
      <c r="G344" s="28">
        <v>0.065</v>
      </c>
      <c r="H344" s="3"/>
      <c r="I344" s="29">
        <v>62.09007375291906</v>
      </c>
      <c r="J344" s="29">
        <f t="shared" si="51"/>
        <v>57.74376859</v>
      </c>
      <c r="K344" s="29">
        <f t="shared" si="41"/>
        <v>61.49711355</v>
      </c>
    </row>
    <row r="345" ht="14.25" customHeight="1">
      <c r="A345" s="25" t="s">
        <v>786</v>
      </c>
      <c r="B345" s="25" t="s">
        <v>787</v>
      </c>
      <c r="C345" s="25" t="s">
        <v>949</v>
      </c>
      <c r="D345" s="26" t="s">
        <v>950</v>
      </c>
      <c r="E345" s="26" t="s">
        <v>951</v>
      </c>
      <c r="F345" s="27">
        <v>6.0</v>
      </c>
      <c r="G345" s="28">
        <v>0.065</v>
      </c>
      <c r="H345" s="3"/>
      <c r="I345" s="29">
        <v>67.0017801458874</v>
      </c>
      <c r="J345" s="29">
        <f t="shared" si="51"/>
        <v>62.31165554</v>
      </c>
      <c r="K345" s="29">
        <f t="shared" si="41"/>
        <v>66.36191315</v>
      </c>
    </row>
    <row r="346" ht="14.25" customHeight="1">
      <c r="A346" s="25" t="s">
        <v>757</v>
      </c>
      <c r="B346" s="25" t="s">
        <v>758</v>
      </c>
      <c r="C346" s="25" t="s">
        <v>952</v>
      </c>
      <c r="D346" s="26" t="s">
        <v>953</v>
      </c>
      <c r="E346" s="26" t="s">
        <v>954</v>
      </c>
      <c r="F346" s="27">
        <v>6.0</v>
      </c>
      <c r="G346" s="28">
        <v>0.065</v>
      </c>
      <c r="H346" s="3"/>
      <c r="I346" s="29">
        <v>109.9028992618708</v>
      </c>
      <c r="J346" s="29">
        <f t="shared" si="51"/>
        <v>102.2096963</v>
      </c>
      <c r="K346" s="29">
        <f t="shared" si="41"/>
        <v>108.8533266</v>
      </c>
    </row>
    <row r="347" ht="14.25" customHeight="1">
      <c r="A347" s="36"/>
      <c r="B347" s="36"/>
      <c r="C347" s="3"/>
      <c r="D347" s="3"/>
      <c r="E347" s="3"/>
      <c r="F347" s="3"/>
      <c r="G347" s="3"/>
      <c r="H347" s="3"/>
      <c r="I347" s="4"/>
      <c r="J347" s="4" t="str">
        <f t="shared" si="51"/>
        <v/>
      </c>
      <c r="K347" s="4" t="str">
        <f t="shared" si="41"/>
        <v/>
      </c>
    </row>
    <row r="348" ht="14.25" customHeight="1">
      <c r="A348" s="31" t="s">
        <v>805</v>
      </c>
      <c r="B348" s="31" t="s">
        <v>955</v>
      </c>
      <c r="C348" s="31" t="s">
        <v>956</v>
      </c>
      <c r="D348" s="32" t="s">
        <v>957</v>
      </c>
      <c r="E348" s="32" t="s">
        <v>958</v>
      </c>
      <c r="F348" s="33">
        <v>6.0</v>
      </c>
      <c r="G348" s="28">
        <v>0.065</v>
      </c>
      <c r="H348" s="3"/>
      <c r="I348" s="34">
        <v>133.6366207830825</v>
      </c>
      <c r="J348" s="34">
        <f t="shared" ref="J348:J351" si="52">IF(I348&lt;&gt;"",I348-(I348*0.05),"")</f>
        <v>126.9547897</v>
      </c>
      <c r="K348" s="34">
        <f t="shared" si="41"/>
        <v>135.2068511</v>
      </c>
    </row>
    <row r="349" ht="14.25" customHeight="1">
      <c r="A349" s="31" t="s">
        <v>805</v>
      </c>
      <c r="B349" s="31" t="s">
        <v>955</v>
      </c>
      <c r="C349" s="31" t="s">
        <v>959</v>
      </c>
      <c r="D349" s="32" t="s">
        <v>960</v>
      </c>
      <c r="E349" s="32" t="s">
        <v>961</v>
      </c>
      <c r="F349" s="33">
        <v>6.0</v>
      </c>
      <c r="G349" s="28">
        <v>0.065</v>
      </c>
      <c r="H349" s="3"/>
      <c r="I349" s="34">
        <v>204.28660784172286</v>
      </c>
      <c r="J349" s="34">
        <f t="shared" si="52"/>
        <v>194.0722774</v>
      </c>
      <c r="K349" s="34">
        <f t="shared" si="41"/>
        <v>206.6869755</v>
      </c>
    </row>
    <row r="350" ht="14.25" customHeight="1">
      <c r="A350" s="31" t="s">
        <v>805</v>
      </c>
      <c r="B350" s="31" t="s">
        <v>962</v>
      </c>
      <c r="C350" s="31" t="s">
        <v>963</v>
      </c>
      <c r="D350" s="32" t="s">
        <v>964</v>
      </c>
      <c r="E350" s="32" t="s">
        <v>965</v>
      </c>
      <c r="F350" s="33">
        <v>6.0</v>
      </c>
      <c r="G350" s="28">
        <v>0.065</v>
      </c>
      <c r="H350" s="3"/>
      <c r="I350" s="34">
        <v>258.7025471971977</v>
      </c>
      <c r="J350" s="34">
        <f t="shared" si="52"/>
        <v>245.7674198</v>
      </c>
      <c r="K350" s="34">
        <f t="shared" si="41"/>
        <v>261.7423021</v>
      </c>
    </row>
    <row r="351" ht="14.25" customHeight="1">
      <c r="A351" s="31" t="s">
        <v>805</v>
      </c>
      <c r="B351" s="31" t="s">
        <v>962</v>
      </c>
      <c r="C351" s="31" t="s">
        <v>966</v>
      </c>
      <c r="D351" s="32" t="s">
        <v>967</v>
      </c>
      <c r="E351" s="32" t="s">
        <v>968</v>
      </c>
      <c r="F351" s="33">
        <v>6.0</v>
      </c>
      <c r="G351" s="28">
        <v>0.065</v>
      </c>
      <c r="H351" s="3"/>
      <c r="I351" s="34">
        <v>290.88863120083033</v>
      </c>
      <c r="J351" s="34">
        <f t="shared" si="52"/>
        <v>276.3441996</v>
      </c>
      <c r="K351" s="34">
        <f t="shared" si="41"/>
        <v>294.3065726</v>
      </c>
    </row>
    <row r="352" ht="14.25" customHeight="1">
      <c r="A352" s="36"/>
      <c r="B352" s="36"/>
      <c r="C352" s="3"/>
      <c r="D352" s="3"/>
      <c r="E352" s="3"/>
      <c r="F352" s="3"/>
      <c r="G352" s="3"/>
      <c r="H352" s="3"/>
      <c r="I352" s="4"/>
      <c r="J352" s="4" t="str">
        <f t="shared" ref="J352:J354" si="53">IF(I352&lt;&gt;"",I352-(I352*0.07),"")</f>
        <v/>
      </c>
      <c r="K352" s="4" t="str">
        <f t="shared" si="41"/>
        <v/>
      </c>
    </row>
    <row r="353" ht="14.25" customHeight="1">
      <c r="A353" s="25" t="s">
        <v>969</v>
      </c>
      <c r="B353" s="25"/>
      <c r="C353" s="25" t="s">
        <v>970</v>
      </c>
      <c r="D353" s="26" t="s">
        <v>971</v>
      </c>
      <c r="E353" s="26" t="s">
        <v>972</v>
      </c>
      <c r="F353" s="27">
        <v>6.0</v>
      </c>
      <c r="G353" s="28">
        <v>0.065</v>
      </c>
      <c r="H353" s="3"/>
      <c r="I353" s="29">
        <v>75.88170130831604</v>
      </c>
      <c r="J353" s="29">
        <f t="shared" si="53"/>
        <v>70.56998222</v>
      </c>
      <c r="K353" s="29">
        <f t="shared" si="41"/>
        <v>75.15703106</v>
      </c>
    </row>
    <row r="354" ht="14.25" customHeight="1">
      <c r="A354" s="25" t="s">
        <v>969</v>
      </c>
      <c r="B354" s="25"/>
      <c r="C354" s="25" t="s">
        <v>973</v>
      </c>
      <c r="D354" s="26" t="s">
        <v>974</v>
      </c>
      <c r="E354" s="26" t="s">
        <v>975</v>
      </c>
      <c r="F354" s="27">
        <v>6.0</v>
      </c>
      <c r="G354" s="28">
        <v>0.065</v>
      </c>
      <c r="H354" s="3"/>
      <c r="I354" s="29">
        <v>87.3839741890244</v>
      </c>
      <c r="J354" s="29">
        <f t="shared" si="53"/>
        <v>81.267096</v>
      </c>
      <c r="K354" s="29">
        <f t="shared" si="41"/>
        <v>86.54945724</v>
      </c>
    </row>
    <row r="355" ht="14.25" customHeight="1">
      <c r="A355" s="31" t="s">
        <v>969</v>
      </c>
      <c r="B355" s="31" t="s">
        <v>976</v>
      </c>
      <c r="C355" s="31" t="s">
        <v>977</v>
      </c>
      <c r="D355" s="32" t="s">
        <v>978</v>
      </c>
      <c r="E355" s="32" t="s">
        <v>979</v>
      </c>
      <c r="F355" s="33">
        <v>6.0</v>
      </c>
      <c r="G355" s="28">
        <v>0.065</v>
      </c>
      <c r="H355" s="3"/>
      <c r="I355" s="34">
        <v>114.90061132870093</v>
      </c>
      <c r="J355" s="34">
        <f t="shared" ref="J355:J356" si="54">IF(I355&lt;&gt;"",I355-(I355*0.05),"")</f>
        <v>109.1555808</v>
      </c>
      <c r="K355" s="34">
        <f t="shared" si="41"/>
        <v>116.2506935</v>
      </c>
    </row>
    <row r="356" ht="14.25" customHeight="1">
      <c r="A356" s="31" t="s">
        <v>969</v>
      </c>
      <c r="B356" s="31" t="s">
        <v>980</v>
      </c>
      <c r="C356" s="31" t="s">
        <v>981</v>
      </c>
      <c r="D356" s="32" t="s">
        <v>982</v>
      </c>
      <c r="E356" s="32" t="s">
        <v>983</v>
      </c>
      <c r="F356" s="33">
        <v>6.0</v>
      </c>
      <c r="G356" s="28">
        <v>0.065</v>
      </c>
      <c r="H356" s="3"/>
      <c r="I356" s="34">
        <v>165.5008439466788</v>
      </c>
      <c r="J356" s="34">
        <f t="shared" si="54"/>
        <v>157.2258017</v>
      </c>
      <c r="K356" s="34">
        <f t="shared" si="41"/>
        <v>167.4454789</v>
      </c>
    </row>
    <row r="357" ht="14.25" customHeight="1">
      <c r="A357" s="36"/>
      <c r="B357" s="36"/>
      <c r="C357" s="3"/>
      <c r="D357" s="3"/>
      <c r="E357" s="3"/>
      <c r="F357" s="3"/>
      <c r="G357" s="3"/>
      <c r="H357" s="3"/>
      <c r="I357" s="4"/>
      <c r="J357" s="4" t="str">
        <f t="shared" ref="J357:J368" si="55">IF(I357&lt;&gt;"",I357-(I357*0.07),"")</f>
        <v/>
      </c>
      <c r="K357" s="4" t="str">
        <f t="shared" si="41"/>
        <v/>
      </c>
    </row>
    <row r="358" ht="14.25" customHeight="1">
      <c r="A358" s="25" t="s">
        <v>757</v>
      </c>
      <c r="B358" s="25"/>
      <c r="C358" s="25" t="s">
        <v>984</v>
      </c>
      <c r="D358" s="26" t="s">
        <v>985</v>
      </c>
      <c r="E358" s="26" t="s">
        <v>986</v>
      </c>
      <c r="F358" s="27">
        <v>6.0</v>
      </c>
      <c r="G358" s="28">
        <v>0.065</v>
      </c>
      <c r="H358" s="3"/>
      <c r="I358" s="29">
        <v>57.600560040217964</v>
      </c>
      <c r="J358" s="29">
        <f t="shared" si="55"/>
        <v>53.56852084</v>
      </c>
      <c r="K358" s="29">
        <v>86.0</v>
      </c>
    </row>
    <row r="359" ht="14.25" customHeight="1">
      <c r="A359" s="25" t="s">
        <v>738</v>
      </c>
      <c r="B359" s="25"/>
      <c r="C359" s="25" t="s">
        <v>987</v>
      </c>
      <c r="D359" s="26" t="s">
        <v>988</v>
      </c>
      <c r="E359" s="26" t="s">
        <v>989</v>
      </c>
      <c r="F359" s="27">
        <v>12.0</v>
      </c>
      <c r="G359" s="28">
        <v>0.065</v>
      </c>
      <c r="H359" s="3"/>
      <c r="I359" s="29">
        <v>54.57451547742605</v>
      </c>
      <c r="J359" s="29">
        <f t="shared" si="55"/>
        <v>50.75429939</v>
      </c>
      <c r="K359" s="29">
        <f t="shared" ref="K359:K693" si="56">IF(I359&lt;&gt;"",J359*(1+G359),"")</f>
        <v>54.05332885</v>
      </c>
    </row>
    <row r="360" ht="14.25" customHeight="1">
      <c r="A360" s="25" t="s">
        <v>738</v>
      </c>
      <c r="B360" s="25"/>
      <c r="C360" s="25" t="s">
        <v>990</v>
      </c>
      <c r="D360" s="26" t="s">
        <v>991</v>
      </c>
      <c r="E360" s="26" t="s">
        <v>992</v>
      </c>
      <c r="F360" s="27">
        <v>12.0</v>
      </c>
      <c r="G360" s="28">
        <v>0.065</v>
      </c>
      <c r="H360" s="3"/>
      <c r="I360" s="29">
        <v>64.82871015308771</v>
      </c>
      <c r="J360" s="29">
        <f t="shared" si="55"/>
        <v>60.29070044</v>
      </c>
      <c r="K360" s="29">
        <f t="shared" si="56"/>
        <v>64.20959597</v>
      </c>
    </row>
    <row r="361" ht="14.25" customHeight="1">
      <c r="A361" s="36"/>
      <c r="B361" s="36"/>
      <c r="C361" s="3"/>
      <c r="D361" s="3"/>
      <c r="E361" s="3"/>
      <c r="F361" s="3"/>
      <c r="G361" s="3"/>
      <c r="H361" s="3"/>
      <c r="I361" s="4"/>
      <c r="J361" s="4" t="str">
        <f t="shared" si="55"/>
        <v/>
      </c>
      <c r="K361" s="4" t="str">
        <f t="shared" si="56"/>
        <v/>
      </c>
    </row>
    <row r="362" ht="14.25" customHeight="1">
      <c r="A362" s="25" t="s">
        <v>757</v>
      </c>
      <c r="B362" s="25"/>
      <c r="C362" s="25" t="s">
        <v>75</v>
      </c>
      <c r="D362" s="26" t="s">
        <v>993</v>
      </c>
      <c r="E362" s="26" t="s">
        <v>994</v>
      </c>
      <c r="F362" s="27">
        <v>6.0</v>
      </c>
      <c r="G362" s="28">
        <v>0.065</v>
      </c>
      <c r="H362" s="3"/>
      <c r="I362" s="29">
        <v>51.5712234691131</v>
      </c>
      <c r="J362" s="29">
        <f t="shared" si="55"/>
        <v>47.96123783</v>
      </c>
      <c r="K362" s="29">
        <f t="shared" si="56"/>
        <v>51.07871828</v>
      </c>
    </row>
    <row r="363" ht="14.25" customHeight="1">
      <c r="A363" s="25" t="s">
        <v>758</v>
      </c>
      <c r="B363" s="25"/>
      <c r="C363" s="25" t="s">
        <v>75</v>
      </c>
      <c r="D363" s="26" t="s">
        <v>995</v>
      </c>
      <c r="E363" s="26" t="s">
        <v>996</v>
      </c>
      <c r="F363" s="27">
        <v>6.0</v>
      </c>
      <c r="G363" s="28">
        <v>0.065</v>
      </c>
      <c r="H363" s="3"/>
      <c r="I363" s="29">
        <v>74.5653954249504</v>
      </c>
      <c r="J363" s="29">
        <f t="shared" si="55"/>
        <v>69.34581775</v>
      </c>
      <c r="K363" s="29">
        <f t="shared" si="56"/>
        <v>73.8532959</v>
      </c>
    </row>
    <row r="364" ht="14.25" customHeight="1">
      <c r="A364" s="36"/>
      <c r="B364" s="36"/>
      <c r="C364" s="36"/>
      <c r="D364" s="3"/>
      <c r="E364" s="3"/>
      <c r="F364" s="37"/>
      <c r="G364" s="38"/>
      <c r="H364" s="3"/>
      <c r="I364" s="4"/>
      <c r="J364" s="4" t="str">
        <f t="shared" si="55"/>
        <v/>
      </c>
      <c r="K364" s="4" t="str">
        <f t="shared" si="56"/>
        <v/>
      </c>
    </row>
    <row r="365" ht="14.25" customHeight="1">
      <c r="A365" s="25" t="s">
        <v>786</v>
      </c>
      <c r="B365" s="25"/>
      <c r="C365" s="26"/>
      <c r="D365" s="26" t="s">
        <v>997</v>
      </c>
      <c r="E365" s="26" t="s">
        <v>998</v>
      </c>
      <c r="F365" s="27">
        <v>6.0</v>
      </c>
      <c r="G365" s="28">
        <v>0.065</v>
      </c>
      <c r="H365" s="3"/>
      <c r="I365" s="29">
        <v>47.02835911069342</v>
      </c>
      <c r="J365" s="29">
        <f t="shared" si="55"/>
        <v>43.73637397</v>
      </c>
      <c r="K365" s="29">
        <f t="shared" si="56"/>
        <v>46.57923828</v>
      </c>
    </row>
    <row r="366" ht="14.25" customHeight="1">
      <c r="A366" s="25" t="s">
        <v>786</v>
      </c>
      <c r="B366" s="25" t="s">
        <v>787</v>
      </c>
      <c r="C366" s="26"/>
      <c r="D366" s="26" t="s">
        <v>999</v>
      </c>
      <c r="E366" s="26" t="s">
        <v>1000</v>
      </c>
      <c r="F366" s="27">
        <v>6.0</v>
      </c>
      <c r="G366" s="28">
        <v>0.065</v>
      </c>
      <c r="H366" s="3"/>
      <c r="I366" s="29">
        <v>51.57314057810251</v>
      </c>
      <c r="J366" s="29">
        <f t="shared" si="55"/>
        <v>47.96302074</v>
      </c>
      <c r="K366" s="29">
        <f t="shared" si="56"/>
        <v>51.08061709</v>
      </c>
    </row>
    <row r="367" ht="14.25" customHeight="1">
      <c r="A367" s="25" t="s">
        <v>786</v>
      </c>
      <c r="B367" s="25" t="s">
        <v>794</v>
      </c>
      <c r="C367" s="26"/>
      <c r="D367" s="26" t="s">
        <v>1001</v>
      </c>
      <c r="E367" s="26" t="s">
        <v>1002</v>
      </c>
      <c r="F367" s="27">
        <v>6.0</v>
      </c>
      <c r="G367" s="28">
        <v>0.065</v>
      </c>
      <c r="H367" s="3"/>
      <c r="I367" s="29">
        <v>96.91187508484722</v>
      </c>
      <c r="J367" s="29">
        <f t="shared" si="55"/>
        <v>90.12804383</v>
      </c>
      <c r="K367" s="29">
        <f t="shared" si="56"/>
        <v>95.98636668</v>
      </c>
    </row>
    <row r="368" ht="14.25" customHeight="1">
      <c r="A368" s="36"/>
      <c r="B368" s="36"/>
      <c r="C368" s="3"/>
      <c r="D368" s="3"/>
      <c r="E368" s="3"/>
      <c r="F368" s="3"/>
      <c r="G368" s="3"/>
      <c r="H368" s="3"/>
      <c r="I368" s="4"/>
      <c r="J368" s="4" t="str">
        <f t="shared" si="55"/>
        <v/>
      </c>
      <c r="K368" s="4" t="str">
        <f t="shared" si="56"/>
        <v/>
      </c>
    </row>
    <row r="369" ht="14.25" customHeight="1">
      <c r="A369" s="31" t="s">
        <v>738</v>
      </c>
      <c r="B369" s="31" t="s">
        <v>1003</v>
      </c>
      <c r="C369" s="32"/>
      <c r="D369" s="32" t="s">
        <v>1004</v>
      </c>
      <c r="E369" s="32" t="s">
        <v>1005</v>
      </c>
      <c r="F369" s="33">
        <v>6.0</v>
      </c>
      <c r="G369" s="28">
        <v>0.065</v>
      </c>
      <c r="H369" s="3"/>
      <c r="I369" s="34">
        <v>72.01827978236314</v>
      </c>
      <c r="J369" s="34">
        <f t="shared" ref="J369:J376" si="57">IF(I369&lt;&gt;"",I369-(I369*0.05),"")</f>
        <v>68.41736579</v>
      </c>
      <c r="K369" s="34">
        <f t="shared" si="56"/>
        <v>72.86449457</v>
      </c>
    </row>
    <row r="370" ht="14.25" customHeight="1">
      <c r="A370" s="31" t="s">
        <v>738</v>
      </c>
      <c r="B370" s="31" t="s">
        <v>1006</v>
      </c>
      <c r="C370" s="32"/>
      <c r="D370" s="32" t="s">
        <v>1007</v>
      </c>
      <c r="E370" s="32" t="s">
        <v>1008</v>
      </c>
      <c r="F370" s="33">
        <v>6.0</v>
      </c>
      <c r="G370" s="28">
        <v>0.065</v>
      </c>
      <c r="H370" s="3"/>
      <c r="I370" s="34">
        <v>71.47445429478572</v>
      </c>
      <c r="J370" s="34">
        <f t="shared" si="57"/>
        <v>67.90073158</v>
      </c>
      <c r="K370" s="34">
        <f t="shared" si="56"/>
        <v>72.31427913</v>
      </c>
    </row>
    <row r="371" ht="14.25" customHeight="1">
      <c r="A371" s="31" t="s">
        <v>738</v>
      </c>
      <c r="B371" s="31" t="s">
        <v>1006</v>
      </c>
      <c r="C371" s="32"/>
      <c r="D371" s="32" t="s">
        <v>1009</v>
      </c>
      <c r="E371" s="32" t="s">
        <v>1010</v>
      </c>
      <c r="F371" s="33">
        <v>6.0</v>
      </c>
      <c r="G371" s="28">
        <v>0.065</v>
      </c>
      <c r="H371" s="3"/>
      <c r="I371" s="34">
        <v>83.42253249379122</v>
      </c>
      <c r="J371" s="34">
        <f t="shared" si="57"/>
        <v>79.25140587</v>
      </c>
      <c r="K371" s="34">
        <f t="shared" si="56"/>
        <v>84.40274725</v>
      </c>
    </row>
    <row r="372" ht="14.25" customHeight="1">
      <c r="A372" s="31" t="s">
        <v>738</v>
      </c>
      <c r="B372" s="31" t="s">
        <v>1011</v>
      </c>
      <c r="C372" s="32"/>
      <c r="D372" s="32" t="s">
        <v>1012</v>
      </c>
      <c r="E372" s="32" t="s">
        <v>1013</v>
      </c>
      <c r="F372" s="33">
        <v>6.0</v>
      </c>
      <c r="G372" s="28">
        <v>0.065</v>
      </c>
      <c r="H372" s="3"/>
      <c r="I372" s="34">
        <v>92.10672307797788</v>
      </c>
      <c r="J372" s="34">
        <f t="shared" si="57"/>
        <v>87.50138692</v>
      </c>
      <c r="K372" s="34">
        <f t="shared" si="56"/>
        <v>93.18897707</v>
      </c>
    </row>
    <row r="373" ht="14.25" customHeight="1">
      <c r="A373" s="31" t="s">
        <v>738</v>
      </c>
      <c r="B373" s="31" t="s">
        <v>1006</v>
      </c>
      <c r="C373" s="32"/>
      <c r="D373" s="32" t="s">
        <v>1014</v>
      </c>
      <c r="E373" s="32" t="s">
        <v>1015</v>
      </c>
      <c r="F373" s="33">
        <v>6.0</v>
      </c>
      <c r="G373" s="28">
        <v>0.065</v>
      </c>
      <c r="H373" s="3"/>
      <c r="I373" s="34">
        <v>86.5682500184195</v>
      </c>
      <c r="J373" s="34">
        <f t="shared" si="57"/>
        <v>82.23983752</v>
      </c>
      <c r="K373" s="34">
        <f t="shared" si="56"/>
        <v>87.58542696</v>
      </c>
    </row>
    <row r="374" ht="14.25" customHeight="1">
      <c r="A374" s="31" t="s">
        <v>738</v>
      </c>
      <c r="B374" s="31" t="s">
        <v>1016</v>
      </c>
      <c r="C374" s="32"/>
      <c r="D374" s="32" t="s">
        <v>1017</v>
      </c>
      <c r="E374" s="32" t="s">
        <v>1018</v>
      </c>
      <c r="F374" s="33">
        <v>6.0</v>
      </c>
      <c r="G374" s="28">
        <v>0.065</v>
      </c>
      <c r="H374" s="3"/>
      <c r="I374" s="34">
        <v>93.47588950022539</v>
      </c>
      <c r="J374" s="34">
        <f t="shared" si="57"/>
        <v>88.80209503</v>
      </c>
      <c r="K374" s="34">
        <f t="shared" si="56"/>
        <v>94.5742312</v>
      </c>
    </row>
    <row r="375" ht="14.25" customHeight="1">
      <c r="A375" s="31" t="s">
        <v>738</v>
      </c>
      <c r="B375" s="31" t="s">
        <v>894</v>
      </c>
      <c r="C375" s="32"/>
      <c r="D375" s="32" t="s">
        <v>1019</v>
      </c>
      <c r="E375" s="32" t="s">
        <v>1020</v>
      </c>
      <c r="F375" s="33">
        <v>6.0</v>
      </c>
      <c r="G375" s="28">
        <v>0.065</v>
      </c>
      <c r="H375" s="3"/>
      <c r="I375" s="34">
        <v>112.48142811490494</v>
      </c>
      <c r="J375" s="34">
        <f t="shared" si="57"/>
        <v>106.8573567</v>
      </c>
      <c r="K375" s="34">
        <f t="shared" si="56"/>
        <v>113.8030849</v>
      </c>
    </row>
    <row r="376" ht="14.25" customHeight="1">
      <c r="A376" s="31" t="s">
        <v>738</v>
      </c>
      <c r="B376" s="31" t="s">
        <v>901</v>
      </c>
      <c r="C376" s="32"/>
      <c r="D376" s="32" t="s">
        <v>1021</v>
      </c>
      <c r="E376" s="32" t="s">
        <v>1022</v>
      </c>
      <c r="F376" s="33">
        <v>6.0</v>
      </c>
      <c r="G376" s="28">
        <v>0.065</v>
      </c>
      <c r="H376" s="3"/>
      <c r="I376" s="34">
        <v>289.2013871747042</v>
      </c>
      <c r="J376" s="34">
        <f t="shared" si="57"/>
        <v>274.7413178</v>
      </c>
      <c r="K376" s="34">
        <f t="shared" si="56"/>
        <v>292.5995035</v>
      </c>
    </row>
    <row r="377" ht="14.25" customHeight="1">
      <c r="A377" s="36"/>
      <c r="B377" s="36"/>
      <c r="C377" s="3"/>
      <c r="D377" s="3"/>
      <c r="E377" s="3"/>
      <c r="F377" s="37"/>
      <c r="G377" s="38"/>
      <c r="H377" s="3"/>
      <c r="I377" s="4"/>
      <c r="J377" s="4" t="str">
        <f t="shared" ref="J377:J386" si="58">IF(I377&lt;&gt;"",I377-(I377*0.07),"")</f>
        <v/>
      </c>
      <c r="K377" s="4" t="str">
        <f t="shared" si="56"/>
        <v/>
      </c>
    </row>
    <row r="378" ht="14.25" customHeight="1">
      <c r="A378" s="25" t="s">
        <v>798</v>
      </c>
      <c r="B378" s="25"/>
      <c r="C378" s="25" t="s">
        <v>1023</v>
      </c>
      <c r="D378" s="26" t="s">
        <v>1024</v>
      </c>
      <c r="E378" s="26" t="s">
        <v>1025</v>
      </c>
      <c r="F378" s="27">
        <v>6.0</v>
      </c>
      <c r="G378" s="28">
        <v>0.065</v>
      </c>
      <c r="H378" s="3"/>
      <c r="I378" s="29">
        <v>35.089144994181545</v>
      </c>
      <c r="J378" s="29">
        <f t="shared" si="58"/>
        <v>32.63290484</v>
      </c>
      <c r="K378" s="29">
        <f t="shared" si="56"/>
        <v>34.75404366</v>
      </c>
    </row>
    <row r="379" ht="14.25" customHeight="1">
      <c r="A379" s="25" t="s">
        <v>809</v>
      </c>
      <c r="B379" s="25"/>
      <c r="C379" s="25" t="s">
        <v>1026</v>
      </c>
      <c r="D379" s="26" t="s">
        <v>1027</v>
      </c>
      <c r="E379" s="26" t="s">
        <v>1028</v>
      </c>
      <c r="F379" s="27">
        <v>6.0</v>
      </c>
      <c r="G379" s="28">
        <v>0.065</v>
      </c>
      <c r="H379" s="3"/>
      <c r="I379" s="29">
        <v>36.845662480050066</v>
      </c>
      <c r="J379" s="29">
        <f t="shared" si="58"/>
        <v>34.26646611</v>
      </c>
      <c r="K379" s="29">
        <f t="shared" si="56"/>
        <v>36.4937864</v>
      </c>
    </row>
    <row r="380" ht="14.25" customHeight="1">
      <c r="A380" s="25" t="s">
        <v>805</v>
      </c>
      <c r="B380" s="25"/>
      <c r="C380" s="25" t="s">
        <v>1029</v>
      </c>
      <c r="D380" s="26" t="s">
        <v>1030</v>
      </c>
      <c r="E380" s="26" t="s">
        <v>1031</v>
      </c>
      <c r="F380" s="27">
        <v>6.0</v>
      </c>
      <c r="G380" s="28">
        <v>0.065</v>
      </c>
      <c r="H380" s="3"/>
      <c r="I380" s="29">
        <v>38.4752001138225</v>
      </c>
      <c r="J380" s="29">
        <f t="shared" si="58"/>
        <v>35.78193611</v>
      </c>
      <c r="K380" s="29">
        <f t="shared" si="56"/>
        <v>38.10776195</v>
      </c>
    </row>
    <row r="381" ht="14.25" customHeight="1">
      <c r="A381" s="25" t="s">
        <v>814</v>
      </c>
      <c r="B381" s="25"/>
      <c r="C381" s="25" t="s">
        <v>1032</v>
      </c>
      <c r="D381" s="26" t="s">
        <v>1033</v>
      </c>
      <c r="E381" s="26" t="s">
        <v>1034</v>
      </c>
      <c r="F381" s="27">
        <v>6.0</v>
      </c>
      <c r="G381" s="28">
        <v>0.065</v>
      </c>
      <c r="H381" s="3"/>
      <c r="I381" s="29">
        <v>40.500940905967504</v>
      </c>
      <c r="J381" s="29">
        <f t="shared" si="58"/>
        <v>37.66587504</v>
      </c>
      <c r="K381" s="29">
        <f t="shared" si="56"/>
        <v>40.11415692</v>
      </c>
    </row>
    <row r="382" ht="14.25" customHeight="1">
      <c r="A382" s="25" t="s">
        <v>814</v>
      </c>
      <c r="B382" s="25" t="s">
        <v>815</v>
      </c>
      <c r="C382" s="25" t="s">
        <v>1035</v>
      </c>
      <c r="D382" s="26" t="s">
        <v>1036</v>
      </c>
      <c r="E382" s="26" t="s">
        <v>1037</v>
      </c>
      <c r="F382" s="27">
        <v>6.0</v>
      </c>
      <c r="G382" s="28">
        <v>0.065</v>
      </c>
      <c r="H382" s="3"/>
      <c r="I382" s="29">
        <v>45.482043264735</v>
      </c>
      <c r="J382" s="29">
        <f t="shared" si="58"/>
        <v>42.29830024</v>
      </c>
      <c r="K382" s="29">
        <f t="shared" si="56"/>
        <v>45.04768975</v>
      </c>
    </row>
    <row r="383" ht="14.25" customHeight="1">
      <c r="A383" s="36"/>
      <c r="B383" s="36"/>
      <c r="C383" s="36"/>
      <c r="D383" s="3"/>
      <c r="E383" s="3"/>
      <c r="F383" s="37"/>
      <c r="G383" s="38"/>
      <c r="H383" s="3"/>
      <c r="I383" s="4"/>
      <c r="J383" s="4" t="str">
        <f t="shared" si="58"/>
        <v/>
      </c>
      <c r="K383" s="4" t="str">
        <f t="shared" si="56"/>
        <v/>
      </c>
    </row>
    <row r="384" ht="14.25" customHeight="1">
      <c r="A384" s="45" t="s">
        <v>805</v>
      </c>
      <c r="B384" s="45"/>
      <c r="C384" s="45"/>
      <c r="D384" s="46" t="s">
        <v>1038</v>
      </c>
      <c r="E384" s="46" t="s">
        <v>1039</v>
      </c>
      <c r="F384" s="47">
        <v>6.0</v>
      </c>
      <c r="G384" s="48">
        <v>0.06500000000000002</v>
      </c>
      <c r="H384" s="3"/>
      <c r="I384" s="29">
        <v>27.21999371204049</v>
      </c>
      <c r="J384" s="29">
        <f t="shared" si="58"/>
        <v>25.31459415</v>
      </c>
      <c r="K384" s="29">
        <f t="shared" si="56"/>
        <v>26.96004277</v>
      </c>
    </row>
    <row r="385" ht="14.25" customHeight="1">
      <c r="A385" s="36"/>
      <c r="B385" s="36"/>
      <c r="C385" s="49"/>
      <c r="D385" s="3"/>
      <c r="E385" s="3"/>
      <c r="F385" s="37"/>
      <c r="G385" s="39"/>
      <c r="H385" s="3"/>
      <c r="I385" s="4"/>
      <c r="J385" s="4" t="str">
        <f t="shared" si="58"/>
        <v/>
      </c>
      <c r="K385" s="4" t="str">
        <f t="shared" si="56"/>
        <v/>
      </c>
    </row>
    <row r="386" ht="14.25" customHeight="1">
      <c r="A386" s="40"/>
      <c r="B386" s="40"/>
      <c r="C386" s="40"/>
      <c r="D386" s="40"/>
      <c r="E386" s="40"/>
      <c r="F386" s="40"/>
      <c r="G386" s="40"/>
      <c r="H386" s="3"/>
      <c r="I386" s="4"/>
      <c r="J386" s="4" t="str">
        <f t="shared" si="58"/>
        <v/>
      </c>
      <c r="K386" s="4" t="str">
        <f t="shared" si="56"/>
        <v/>
      </c>
    </row>
    <row r="387" ht="14.25" customHeight="1">
      <c r="A387" s="31" t="s">
        <v>1040</v>
      </c>
      <c r="B387" s="31"/>
      <c r="C387" s="31" t="s">
        <v>1041</v>
      </c>
      <c r="D387" s="32" t="s">
        <v>1042</v>
      </c>
      <c r="E387" s="32" t="s">
        <v>1043</v>
      </c>
      <c r="F387" s="33">
        <v>24.0</v>
      </c>
      <c r="G387" s="28">
        <v>0.065</v>
      </c>
      <c r="H387" s="3"/>
      <c r="I387" s="34">
        <v>49.30908069356513</v>
      </c>
      <c r="J387" s="34">
        <f t="shared" ref="J387:J391" si="59">IF(I387&lt;&gt;"",I387-(I387*0.05),"")</f>
        <v>46.84362666</v>
      </c>
      <c r="K387" s="34">
        <f t="shared" si="56"/>
        <v>49.88846239</v>
      </c>
    </row>
    <row r="388" ht="14.25" customHeight="1">
      <c r="A388" s="31" t="s">
        <v>1040</v>
      </c>
      <c r="B388" s="31"/>
      <c r="C388" s="31" t="s">
        <v>1044</v>
      </c>
      <c r="D388" s="32" t="s">
        <v>1045</v>
      </c>
      <c r="E388" s="32" t="s">
        <v>1046</v>
      </c>
      <c r="F388" s="33">
        <v>12.0</v>
      </c>
      <c r="G388" s="28">
        <v>0.065</v>
      </c>
      <c r="H388" s="3"/>
      <c r="I388" s="34">
        <v>57.136736323248584</v>
      </c>
      <c r="J388" s="34">
        <f t="shared" si="59"/>
        <v>54.27989951</v>
      </c>
      <c r="K388" s="34">
        <f t="shared" si="56"/>
        <v>57.80809298</v>
      </c>
    </row>
    <row r="389" ht="14.25" customHeight="1">
      <c r="A389" s="31" t="s">
        <v>1040</v>
      </c>
      <c r="B389" s="31"/>
      <c r="C389" s="31" t="s">
        <v>1047</v>
      </c>
      <c r="D389" s="32" t="s">
        <v>1048</v>
      </c>
      <c r="E389" s="32" t="s">
        <v>1049</v>
      </c>
      <c r="F389" s="33">
        <v>12.0</v>
      </c>
      <c r="G389" s="28">
        <v>0.065</v>
      </c>
      <c r="H389" s="3"/>
      <c r="I389" s="34">
        <v>69.72793238546964</v>
      </c>
      <c r="J389" s="34">
        <f t="shared" si="59"/>
        <v>66.24153577</v>
      </c>
      <c r="K389" s="34">
        <f t="shared" si="56"/>
        <v>70.54723559</v>
      </c>
    </row>
    <row r="390" ht="14.25" customHeight="1">
      <c r="A390" s="31" t="s">
        <v>1040</v>
      </c>
      <c r="B390" s="31"/>
      <c r="C390" s="31" t="s">
        <v>1050</v>
      </c>
      <c r="D390" s="32" t="s">
        <v>1051</v>
      </c>
      <c r="E390" s="32" t="s">
        <v>1052</v>
      </c>
      <c r="F390" s="33">
        <v>12.0</v>
      </c>
      <c r="G390" s="28">
        <v>0.065</v>
      </c>
      <c r="H390" s="3"/>
      <c r="I390" s="34">
        <v>71.272864417644</v>
      </c>
      <c r="J390" s="34">
        <f t="shared" si="59"/>
        <v>67.7092212</v>
      </c>
      <c r="K390" s="34">
        <f t="shared" si="56"/>
        <v>72.11032057</v>
      </c>
    </row>
    <row r="391" ht="14.25" customHeight="1">
      <c r="A391" s="31" t="s">
        <v>1040</v>
      </c>
      <c r="B391" s="31"/>
      <c r="C391" s="31" t="s">
        <v>1053</v>
      </c>
      <c r="D391" s="32" t="s">
        <v>1054</v>
      </c>
      <c r="E391" s="32" t="s">
        <v>1055</v>
      </c>
      <c r="F391" s="33">
        <v>12.0</v>
      </c>
      <c r="G391" s="28">
        <v>0.065</v>
      </c>
      <c r="H391" s="3"/>
      <c r="I391" s="34">
        <v>126.27244476305138</v>
      </c>
      <c r="J391" s="34">
        <f t="shared" si="59"/>
        <v>119.9588225</v>
      </c>
      <c r="K391" s="34">
        <f t="shared" si="56"/>
        <v>127.756146</v>
      </c>
    </row>
    <row r="392" ht="14.25" customHeight="1">
      <c r="A392" s="36"/>
      <c r="B392" s="36"/>
      <c r="C392" s="3"/>
      <c r="D392" s="3"/>
      <c r="E392" s="3"/>
      <c r="F392" s="3"/>
      <c r="G392" s="3"/>
      <c r="H392" s="3"/>
      <c r="I392" s="4"/>
      <c r="J392" s="4" t="str">
        <f t="shared" ref="J392:J393" si="60">IF(I392&lt;&gt;"",I392-(I392*0.07),"")</f>
        <v/>
      </c>
      <c r="K392" s="4" t="str">
        <f t="shared" si="56"/>
        <v/>
      </c>
    </row>
    <row r="393" ht="14.25" customHeight="1">
      <c r="A393" s="40"/>
      <c r="B393" s="40"/>
      <c r="C393" s="40"/>
      <c r="D393" s="40"/>
      <c r="E393" s="40"/>
      <c r="F393" s="40"/>
      <c r="G393" s="40"/>
      <c r="H393" s="3"/>
      <c r="I393" s="4"/>
      <c r="J393" s="4" t="str">
        <f t="shared" si="60"/>
        <v/>
      </c>
      <c r="K393" s="4" t="str">
        <f t="shared" si="56"/>
        <v/>
      </c>
    </row>
    <row r="394" ht="14.25" customHeight="1">
      <c r="A394" s="31" t="s">
        <v>1056</v>
      </c>
      <c r="B394" s="31"/>
      <c r="C394" s="31" t="s">
        <v>1057</v>
      </c>
      <c r="D394" s="32" t="s">
        <v>1058</v>
      </c>
      <c r="E394" s="32" t="s">
        <v>1059</v>
      </c>
      <c r="F394" s="33">
        <v>6.0</v>
      </c>
      <c r="G394" s="28">
        <v>0.065</v>
      </c>
      <c r="H394" s="3"/>
      <c r="I394" s="34">
        <v>63.528633207575055</v>
      </c>
      <c r="J394" s="34">
        <f>IF(I394&lt;&gt;"",I394-(I394*0.05),"")</f>
        <v>60.35220155</v>
      </c>
      <c r="K394" s="34">
        <f t="shared" si="56"/>
        <v>64.27509465</v>
      </c>
    </row>
    <row r="395" ht="14.25" customHeight="1">
      <c r="A395" s="25" t="s">
        <v>1060</v>
      </c>
      <c r="B395" s="25"/>
      <c r="C395" s="25" t="s">
        <v>75</v>
      </c>
      <c r="D395" s="26" t="s">
        <v>1061</v>
      </c>
      <c r="E395" s="26" t="s">
        <v>1062</v>
      </c>
      <c r="F395" s="27">
        <v>24.0</v>
      </c>
      <c r="G395" s="28">
        <v>0.06500000000000002</v>
      </c>
      <c r="H395" s="3"/>
      <c r="I395" s="29">
        <v>20.1185713836274</v>
      </c>
      <c r="J395" s="29">
        <f t="shared" ref="J395:J407" si="61">IF(I395&lt;&gt;"",I395-(I395*0.07),"")</f>
        <v>18.71027139</v>
      </c>
      <c r="K395" s="29">
        <f t="shared" si="56"/>
        <v>19.92643903</v>
      </c>
    </row>
    <row r="396" ht="14.25" customHeight="1">
      <c r="A396" s="25" t="s">
        <v>1060</v>
      </c>
      <c r="B396" s="25"/>
      <c r="C396" s="25" t="s">
        <v>1063</v>
      </c>
      <c r="D396" s="26" t="s">
        <v>1064</v>
      </c>
      <c r="E396" s="26" t="s">
        <v>1065</v>
      </c>
      <c r="F396" s="27">
        <v>12.0</v>
      </c>
      <c r="G396" s="28">
        <v>0.065</v>
      </c>
      <c r="H396" s="3"/>
      <c r="I396" s="29">
        <v>26.01699575221906</v>
      </c>
      <c r="J396" s="29">
        <f t="shared" si="61"/>
        <v>24.19580605</v>
      </c>
      <c r="K396" s="29">
        <f t="shared" si="56"/>
        <v>25.76853344</v>
      </c>
    </row>
    <row r="397" ht="14.25" customHeight="1">
      <c r="A397" s="25" t="s">
        <v>1060</v>
      </c>
      <c r="B397" s="25"/>
      <c r="C397" s="25"/>
      <c r="D397" s="26" t="s">
        <v>1066</v>
      </c>
      <c r="E397" s="26" t="s">
        <v>1067</v>
      </c>
      <c r="F397" s="27">
        <v>12.0</v>
      </c>
      <c r="G397" s="50">
        <v>0.0</v>
      </c>
      <c r="H397" s="3"/>
      <c r="I397" s="29">
        <v>26.01699575221906</v>
      </c>
      <c r="J397" s="29">
        <f t="shared" si="61"/>
        <v>24.19580605</v>
      </c>
      <c r="K397" s="29">
        <f t="shared" si="56"/>
        <v>24.19580605</v>
      </c>
    </row>
    <row r="398" ht="14.25" customHeight="1">
      <c r="A398" s="25" t="s">
        <v>1060</v>
      </c>
      <c r="B398" s="25"/>
      <c r="C398" s="25" t="s">
        <v>1068</v>
      </c>
      <c r="D398" s="26" t="s">
        <v>1069</v>
      </c>
      <c r="E398" s="26" t="s">
        <v>1070</v>
      </c>
      <c r="F398" s="27">
        <v>6.0</v>
      </c>
      <c r="G398" s="28">
        <v>0.065</v>
      </c>
      <c r="H398" s="3"/>
      <c r="I398" s="29">
        <v>40.78797644567073</v>
      </c>
      <c r="J398" s="29">
        <f t="shared" si="61"/>
        <v>37.93281809</v>
      </c>
      <c r="K398" s="29">
        <f t="shared" si="56"/>
        <v>40.39845127</v>
      </c>
    </row>
    <row r="399" ht="14.25" customHeight="1">
      <c r="A399" s="25" t="s">
        <v>1060</v>
      </c>
      <c r="B399" s="25"/>
      <c r="C399" s="25" t="s">
        <v>1071</v>
      </c>
      <c r="D399" s="26" t="s">
        <v>1072</v>
      </c>
      <c r="E399" s="26" t="s">
        <v>1073</v>
      </c>
      <c r="F399" s="27">
        <v>6.0</v>
      </c>
      <c r="G399" s="28">
        <v>0.065</v>
      </c>
      <c r="H399" s="3"/>
      <c r="I399" s="29">
        <v>40.78797644567073</v>
      </c>
      <c r="J399" s="29">
        <f t="shared" si="61"/>
        <v>37.93281809</v>
      </c>
      <c r="K399" s="29">
        <f t="shared" si="56"/>
        <v>40.39845127</v>
      </c>
    </row>
    <row r="400" ht="14.25" customHeight="1">
      <c r="A400" s="25" t="s">
        <v>1060</v>
      </c>
      <c r="B400" s="25"/>
      <c r="C400" s="25" t="s">
        <v>1074</v>
      </c>
      <c r="D400" s="26" t="s">
        <v>1075</v>
      </c>
      <c r="E400" s="26" t="s">
        <v>1076</v>
      </c>
      <c r="F400" s="27">
        <v>6.0</v>
      </c>
      <c r="G400" s="28">
        <v>0.065</v>
      </c>
      <c r="H400" s="3"/>
      <c r="I400" s="29">
        <v>40.78797644567073</v>
      </c>
      <c r="J400" s="29">
        <f t="shared" si="61"/>
        <v>37.93281809</v>
      </c>
      <c r="K400" s="29">
        <f t="shared" si="56"/>
        <v>40.39845127</v>
      </c>
    </row>
    <row r="401" ht="14.25" customHeight="1">
      <c r="A401" s="25" t="s">
        <v>1077</v>
      </c>
      <c r="B401" s="25"/>
      <c r="C401" s="25" t="s">
        <v>1078</v>
      </c>
      <c r="D401" s="26" t="s">
        <v>1079</v>
      </c>
      <c r="E401" s="26" t="s">
        <v>1080</v>
      </c>
      <c r="F401" s="27">
        <v>6.0</v>
      </c>
      <c r="G401" s="28">
        <v>0.065</v>
      </c>
      <c r="H401" s="3"/>
      <c r="I401" s="29">
        <v>40.78797644567073</v>
      </c>
      <c r="J401" s="29">
        <f t="shared" si="61"/>
        <v>37.93281809</v>
      </c>
      <c r="K401" s="29">
        <f t="shared" si="56"/>
        <v>40.39845127</v>
      </c>
    </row>
    <row r="402" ht="14.25" customHeight="1">
      <c r="A402" s="25" t="s">
        <v>1060</v>
      </c>
      <c r="B402" s="25"/>
      <c r="C402" s="25" t="s">
        <v>1081</v>
      </c>
      <c r="D402" s="26" t="s">
        <v>1082</v>
      </c>
      <c r="E402" s="26" t="s">
        <v>1083</v>
      </c>
      <c r="F402" s="27">
        <v>6.0</v>
      </c>
      <c r="G402" s="28">
        <v>0.065</v>
      </c>
      <c r="H402" s="3"/>
      <c r="I402" s="29">
        <v>40.78797644567073</v>
      </c>
      <c r="J402" s="29">
        <f t="shared" si="61"/>
        <v>37.93281809</v>
      </c>
      <c r="K402" s="29">
        <f t="shared" si="56"/>
        <v>40.39845127</v>
      </c>
    </row>
    <row r="403" ht="14.25" customHeight="1">
      <c r="A403" s="25" t="s">
        <v>1060</v>
      </c>
      <c r="B403" s="25"/>
      <c r="C403" s="25" t="s">
        <v>1084</v>
      </c>
      <c r="D403" s="26" t="s">
        <v>1085</v>
      </c>
      <c r="E403" s="26" t="s">
        <v>1086</v>
      </c>
      <c r="F403" s="27">
        <v>6.0</v>
      </c>
      <c r="G403" s="28">
        <v>0.065</v>
      </c>
      <c r="H403" s="3"/>
      <c r="I403" s="29">
        <v>40.78797644567073</v>
      </c>
      <c r="J403" s="29">
        <f t="shared" si="61"/>
        <v>37.93281809</v>
      </c>
      <c r="K403" s="29">
        <f t="shared" si="56"/>
        <v>40.39845127</v>
      </c>
    </row>
    <row r="404" ht="14.25" customHeight="1">
      <c r="A404" s="25" t="s">
        <v>1060</v>
      </c>
      <c r="B404" s="25"/>
      <c r="C404" s="25" t="s">
        <v>1087</v>
      </c>
      <c r="D404" s="26" t="s">
        <v>1088</v>
      </c>
      <c r="E404" s="26" t="s">
        <v>1089</v>
      </c>
      <c r="F404" s="27">
        <v>6.0</v>
      </c>
      <c r="G404" s="28">
        <v>0.065</v>
      </c>
      <c r="H404" s="3"/>
      <c r="I404" s="29">
        <v>43.97518310907859</v>
      </c>
      <c r="J404" s="29">
        <f t="shared" si="61"/>
        <v>40.89692029</v>
      </c>
      <c r="K404" s="29">
        <f t="shared" si="56"/>
        <v>43.55522011</v>
      </c>
    </row>
    <row r="405" ht="14.25" customHeight="1">
      <c r="A405" s="25" t="s">
        <v>1060</v>
      </c>
      <c r="B405" s="25"/>
      <c r="C405" s="25" t="s">
        <v>1090</v>
      </c>
      <c r="D405" s="26" t="s">
        <v>1091</v>
      </c>
      <c r="E405" s="26" t="s">
        <v>1092</v>
      </c>
      <c r="F405" s="27">
        <v>6.0</v>
      </c>
      <c r="G405" s="28">
        <v>0.065</v>
      </c>
      <c r="H405" s="3"/>
      <c r="I405" s="29">
        <v>43.97518310907859</v>
      </c>
      <c r="J405" s="29">
        <f t="shared" si="61"/>
        <v>40.89692029</v>
      </c>
      <c r="K405" s="29">
        <f t="shared" si="56"/>
        <v>43.55522011</v>
      </c>
    </row>
    <row r="406" ht="14.25" customHeight="1">
      <c r="A406" s="25" t="s">
        <v>1060</v>
      </c>
      <c r="B406" s="25"/>
      <c r="C406" s="25" t="s">
        <v>1093</v>
      </c>
      <c r="D406" s="26" t="s">
        <v>1094</v>
      </c>
      <c r="E406" s="26" t="s">
        <v>1095</v>
      </c>
      <c r="F406" s="27">
        <v>6.0</v>
      </c>
      <c r="G406" s="28">
        <v>0.065</v>
      </c>
      <c r="H406" s="3"/>
      <c r="I406" s="29">
        <v>46.32245943791618</v>
      </c>
      <c r="J406" s="29">
        <f t="shared" si="61"/>
        <v>43.07988728</v>
      </c>
      <c r="K406" s="29">
        <f t="shared" si="56"/>
        <v>45.88007995</v>
      </c>
    </row>
    <row r="407" ht="14.25" customHeight="1">
      <c r="A407" s="25" t="s">
        <v>146</v>
      </c>
      <c r="B407" s="25"/>
      <c r="C407" s="25" t="s">
        <v>1096</v>
      </c>
      <c r="D407" s="26" t="s">
        <v>1097</v>
      </c>
      <c r="E407" s="26" t="s">
        <v>1098</v>
      </c>
      <c r="F407" s="27">
        <v>6.0</v>
      </c>
      <c r="G407" s="28">
        <v>0.065</v>
      </c>
      <c r="H407" s="3"/>
      <c r="I407" s="29">
        <v>88.20105989022285</v>
      </c>
      <c r="J407" s="29">
        <f t="shared" si="61"/>
        <v>82.0269857</v>
      </c>
      <c r="K407" s="29">
        <f t="shared" si="56"/>
        <v>87.35873977</v>
      </c>
    </row>
    <row r="408" ht="14.25" customHeight="1">
      <c r="A408" s="31" t="s">
        <v>146</v>
      </c>
      <c r="B408" s="31"/>
      <c r="C408" s="31" t="s">
        <v>1099</v>
      </c>
      <c r="D408" s="32" t="s">
        <v>1100</v>
      </c>
      <c r="E408" s="32" t="s">
        <v>1101</v>
      </c>
      <c r="F408" s="33">
        <v>6.0</v>
      </c>
      <c r="G408" s="28">
        <v>0.065</v>
      </c>
      <c r="H408" s="3"/>
      <c r="I408" s="34">
        <v>81.84135284003902</v>
      </c>
      <c r="J408" s="34">
        <f t="shared" ref="J408:J415" si="62">IF(I408&lt;&gt;"",I408-(I408*0.05),"")</f>
        <v>77.7492852</v>
      </c>
      <c r="K408" s="34">
        <f t="shared" si="56"/>
        <v>82.80298874</v>
      </c>
    </row>
    <row r="409" ht="14.25" customHeight="1">
      <c r="A409" s="31" t="s">
        <v>146</v>
      </c>
      <c r="B409" s="31"/>
      <c r="C409" s="31" t="s">
        <v>1102</v>
      </c>
      <c r="D409" s="32" t="s">
        <v>1103</v>
      </c>
      <c r="E409" s="32" t="s">
        <v>1104</v>
      </c>
      <c r="F409" s="33">
        <v>6.0</v>
      </c>
      <c r="G409" s="51">
        <v>0.13</v>
      </c>
      <c r="H409" s="3"/>
      <c r="I409" s="34">
        <v>169.6529157176756</v>
      </c>
      <c r="J409" s="34">
        <f t="shared" si="62"/>
        <v>161.1702699</v>
      </c>
      <c r="K409" s="34">
        <f t="shared" si="56"/>
        <v>182.122405</v>
      </c>
    </row>
    <row r="410" ht="14.25" customHeight="1">
      <c r="A410" s="31" t="s">
        <v>146</v>
      </c>
      <c r="B410" s="31"/>
      <c r="C410" s="31" t="s">
        <v>75</v>
      </c>
      <c r="D410" s="32" t="s">
        <v>1105</v>
      </c>
      <c r="E410" s="32" t="s">
        <v>1106</v>
      </c>
      <c r="F410" s="33">
        <v>6.0</v>
      </c>
      <c r="G410" s="28">
        <v>0.065</v>
      </c>
      <c r="H410" s="3"/>
      <c r="I410" s="34">
        <v>172.23608679498065</v>
      </c>
      <c r="J410" s="34">
        <f t="shared" si="62"/>
        <v>163.6242825</v>
      </c>
      <c r="K410" s="34">
        <f t="shared" si="56"/>
        <v>174.2598608</v>
      </c>
    </row>
    <row r="411" ht="14.25" customHeight="1">
      <c r="A411" s="31" t="s">
        <v>146</v>
      </c>
      <c r="B411" s="31"/>
      <c r="C411" s="31" t="s">
        <v>1107</v>
      </c>
      <c r="D411" s="32" t="s">
        <v>1108</v>
      </c>
      <c r="E411" s="32" t="s">
        <v>1109</v>
      </c>
      <c r="F411" s="33">
        <v>3.0</v>
      </c>
      <c r="G411" s="28">
        <v>0.065</v>
      </c>
      <c r="H411" s="3"/>
      <c r="I411" s="34">
        <v>496.3575917057321</v>
      </c>
      <c r="J411" s="34">
        <f t="shared" si="62"/>
        <v>471.5397121</v>
      </c>
      <c r="K411" s="34">
        <f t="shared" si="56"/>
        <v>502.1897934</v>
      </c>
    </row>
    <row r="412" ht="14.25" customHeight="1">
      <c r="A412" s="31" t="s">
        <v>146</v>
      </c>
      <c r="B412" s="31"/>
      <c r="C412" s="31" t="s">
        <v>1110</v>
      </c>
      <c r="D412" s="32" t="s">
        <v>1111</v>
      </c>
      <c r="E412" s="32" t="s">
        <v>1112</v>
      </c>
      <c r="F412" s="33">
        <v>3.0</v>
      </c>
      <c r="G412" s="28">
        <v>0.065</v>
      </c>
      <c r="H412" s="3"/>
      <c r="I412" s="34">
        <v>662.7260576741618</v>
      </c>
      <c r="J412" s="34">
        <f t="shared" si="62"/>
        <v>629.5897548</v>
      </c>
      <c r="K412" s="34">
        <f t="shared" si="56"/>
        <v>670.5130889</v>
      </c>
    </row>
    <row r="413" ht="14.25" customHeight="1">
      <c r="A413" s="31" t="s">
        <v>146</v>
      </c>
      <c r="B413" s="31"/>
      <c r="C413" s="31" t="s">
        <v>1113</v>
      </c>
      <c r="D413" s="32" t="s">
        <v>1114</v>
      </c>
      <c r="E413" s="32" t="s">
        <v>1115</v>
      </c>
      <c r="F413" s="33">
        <v>3.0</v>
      </c>
      <c r="G413" s="51">
        <v>0.13</v>
      </c>
      <c r="H413" s="3"/>
      <c r="I413" s="34">
        <v>724.0849950322976</v>
      </c>
      <c r="J413" s="34">
        <f t="shared" si="62"/>
        <v>687.8807453</v>
      </c>
      <c r="K413" s="34">
        <f t="shared" si="56"/>
        <v>777.3052422</v>
      </c>
    </row>
    <row r="414" ht="14.25" customHeight="1">
      <c r="A414" s="31" t="s">
        <v>146</v>
      </c>
      <c r="B414" s="31"/>
      <c r="C414" s="31" t="s">
        <v>1116</v>
      </c>
      <c r="D414" s="32" t="s">
        <v>1117</v>
      </c>
      <c r="E414" s="32" t="s">
        <v>1118</v>
      </c>
      <c r="F414" s="33">
        <v>3.0</v>
      </c>
      <c r="G414" s="28">
        <v>0.065</v>
      </c>
      <c r="H414" s="3"/>
      <c r="I414" s="34">
        <v>1177.446436162674</v>
      </c>
      <c r="J414" s="34">
        <f t="shared" si="62"/>
        <v>1118.574114</v>
      </c>
      <c r="K414" s="34">
        <f t="shared" si="56"/>
        <v>1191.281432</v>
      </c>
    </row>
    <row r="415" ht="14.25" customHeight="1">
      <c r="A415" s="31" t="s">
        <v>146</v>
      </c>
      <c r="B415" s="31"/>
      <c r="C415" s="31" t="s">
        <v>75</v>
      </c>
      <c r="D415" s="32" t="s">
        <v>1119</v>
      </c>
      <c r="E415" s="32" t="s">
        <v>1120</v>
      </c>
      <c r="F415" s="33">
        <v>1.0</v>
      </c>
      <c r="G415" s="28">
        <v>0.065</v>
      </c>
      <c r="H415" s="3"/>
      <c r="I415" s="34">
        <v>2260.5317474240946</v>
      </c>
      <c r="J415" s="34">
        <f t="shared" si="62"/>
        <v>2147.50516</v>
      </c>
      <c r="K415" s="34">
        <f t="shared" si="56"/>
        <v>2287.092995</v>
      </c>
    </row>
    <row r="416" ht="14.25" customHeight="1">
      <c r="A416" s="36"/>
      <c r="B416" s="36"/>
      <c r="C416" s="36"/>
      <c r="D416" s="3"/>
      <c r="E416" s="3"/>
      <c r="F416" s="37"/>
      <c r="G416" s="38"/>
      <c r="H416" s="3"/>
      <c r="I416" s="4"/>
      <c r="J416" s="4" t="str">
        <f t="shared" ref="J416:J419" si="63">IF(I416&lt;&gt;"",I416-(I416*0.07),"")</f>
        <v/>
      </c>
      <c r="K416" s="4" t="str">
        <f t="shared" si="56"/>
        <v/>
      </c>
    </row>
    <row r="417" ht="14.25" customHeight="1">
      <c r="A417" s="25" t="s">
        <v>1077</v>
      </c>
      <c r="B417" s="25"/>
      <c r="C417" s="25" t="s">
        <v>75</v>
      </c>
      <c r="D417" s="26" t="s">
        <v>1121</v>
      </c>
      <c r="E417" s="26" t="s">
        <v>1122</v>
      </c>
      <c r="F417" s="27">
        <v>6.0</v>
      </c>
      <c r="G417" s="28">
        <v>0.06500000000000002</v>
      </c>
      <c r="H417" s="3"/>
      <c r="I417" s="29">
        <v>40.78797644567073</v>
      </c>
      <c r="J417" s="29">
        <f t="shared" si="63"/>
        <v>37.93281809</v>
      </c>
      <c r="K417" s="29">
        <f t="shared" si="56"/>
        <v>40.39845127</v>
      </c>
    </row>
    <row r="418" ht="14.25" customHeight="1">
      <c r="A418" s="25" t="s">
        <v>1077</v>
      </c>
      <c r="B418" s="25"/>
      <c r="C418" s="25" t="s">
        <v>75</v>
      </c>
      <c r="D418" s="26" t="s">
        <v>1123</v>
      </c>
      <c r="E418" s="26" t="s">
        <v>1124</v>
      </c>
      <c r="F418" s="27">
        <v>6.0</v>
      </c>
      <c r="G418" s="28">
        <v>0.06500000000000002</v>
      </c>
      <c r="H418" s="3"/>
      <c r="I418" s="29">
        <v>40.78797644567073</v>
      </c>
      <c r="J418" s="29">
        <f t="shared" si="63"/>
        <v>37.93281809</v>
      </c>
      <c r="K418" s="29">
        <f t="shared" si="56"/>
        <v>40.39845127</v>
      </c>
    </row>
    <row r="419" ht="14.25" customHeight="1">
      <c r="A419" s="36"/>
      <c r="B419" s="36"/>
      <c r="C419" s="3"/>
      <c r="D419" s="3"/>
      <c r="E419" s="3"/>
      <c r="F419" s="3"/>
      <c r="G419" s="3"/>
      <c r="H419" s="3"/>
      <c r="I419" s="4"/>
      <c r="J419" s="4" t="str">
        <f t="shared" si="63"/>
        <v/>
      </c>
      <c r="K419" s="4" t="str">
        <f t="shared" si="56"/>
        <v/>
      </c>
    </row>
    <row r="420" ht="14.25" customHeight="1">
      <c r="A420" s="31" t="s">
        <v>146</v>
      </c>
      <c r="B420" s="31"/>
      <c r="C420" s="31" t="s">
        <v>1125</v>
      </c>
      <c r="D420" s="32" t="s">
        <v>1126</v>
      </c>
      <c r="E420" s="32" t="s">
        <v>1127</v>
      </c>
      <c r="F420" s="33">
        <v>6.0</v>
      </c>
      <c r="G420" s="51">
        <v>0.13</v>
      </c>
      <c r="H420" s="3"/>
      <c r="I420" s="34">
        <v>281.8728492702127</v>
      </c>
      <c r="J420" s="34">
        <f t="shared" ref="J420:J424" si="64">IF(I420&lt;&gt;"",I420-(I420*0.05),"")</f>
        <v>267.7792068</v>
      </c>
      <c r="K420" s="34">
        <f t="shared" si="56"/>
        <v>302.5905037</v>
      </c>
    </row>
    <row r="421" ht="14.25" customHeight="1">
      <c r="A421" s="31" t="s">
        <v>146</v>
      </c>
      <c r="B421" s="31"/>
      <c r="C421" s="31" t="s">
        <v>1128</v>
      </c>
      <c r="D421" s="32" t="s">
        <v>1129</v>
      </c>
      <c r="E421" s="32" t="s">
        <v>1130</v>
      </c>
      <c r="F421" s="33">
        <v>6.0</v>
      </c>
      <c r="G421" s="51">
        <v>0.13</v>
      </c>
      <c r="H421" s="3"/>
      <c r="I421" s="34">
        <v>297.25779742394917</v>
      </c>
      <c r="J421" s="34">
        <f t="shared" si="64"/>
        <v>282.3949076</v>
      </c>
      <c r="K421" s="34">
        <f t="shared" si="56"/>
        <v>319.1062455</v>
      </c>
    </row>
    <row r="422" ht="14.25" customHeight="1">
      <c r="A422" s="31" t="s">
        <v>146</v>
      </c>
      <c r="B422" s="31"/>
      <c r="C422" s="31" t="s">
        <v>1131</v>
      </c>
      <c r="D422" s="32" t="s">
        <v>1132</v>
      </c>
      <c r="E422" s="32" t="s">
        <v>1133</v>
      </c>
      <c r="F422" s="33">
        <v>6.0</v>
      </c>
      <c r="G422" s="51">
        <v>0.13</v>
      </c>
      <c r="H422" s="3"/>
      <c r="I422" s="34">
        <v>498.21483150902964</v>
      </c>
      <c r="J422" s="34">
        <f t="shared" si="64"/>
        <v>473.3040899</v>
      </c>
      <c r="K422" s="34">
        <f t="shared" si="56"/>
        <v>534.8336216</v>
      </c>
    </row>
    <row r="423" ht="14.25" customHeight="1">
      <c r="A423" s="31" t="s">
        <v>146</v>
      </c>
      <c r="B423" s="31"/>
      <c r="C423" s="31" t="s">
        <v>1134</v>
      </c>
      <c r="D423" s="32" t="s">
        <v>1135</v>
      </c>
      <c r="E423" s="32" t="s">
        <v>1136</v>
      </c>
      <c r="F423" s="33">
        <v>6.0</v>
      </c>
      <c r="G423" s="51">
        <v>0.13</v>
      </c>
      <c r="H423" s="3"/>
      <c r="I423" s="34">
        <v>554.0126267377269</v>
      </c>
      <c r="J423" s="34">
        <f t="shared" si="64"/>
        <v>526.3119954</v>
      </c>
      <c r="K423" s="34">
        <f t="shared" si="56"/>
        <v>594.7325548</v>
      </c>
    </row>
    <row r="424" ht="14.25" customHeight="1">
      <c r="A424" s="31" t="s">
        <v>146</v>
      </c>
      <c r="B424" s="31"/>
      <c r="C424" s="31" t="s">
        <v>1137</v>
      </c>
      <c r="D424" s="32" t="s">
        <v>1138</v>
      </c>
      <c r="E424" s="32" t="s">
        <v>1139</v>
      </c>
      <c r="F424" s="33">
        <v>6.0</v>
      </c>
      <c r="G424" s="51">
        <v>0.13</v>
      </c>
      <c r="H424" s="3"/>
      <c r="I424" s="34">
        <v>869.3075056373119</v>
      </c>
      <c r="J424" s="34">
        <f t="shared" si="64"/>
        <v>825.8421304</v>
      </c>
      <c r="K424" s="34">
        <f t="shared" si="56"/>
        <v>933.2016073</v>
      </c>
    </row>
    <row r="425" ht="14.25" customHeight="1">
      <c r="A425" s="25" t="s">
        <v>146</v>
      </c>
      <c r="B425" s="25"/>
      <c r="C425" s="25" t="s">
        <v>75</v>
      </c>
      <c r="D425" s="26" t="s">
        <v>1140</v>
      </c>
      <c r="E425" s="26" t="s">
        <v>1141</v>
      </c>
      <c r="F425" s="27">
        <v>6.0</v>
      </c>
      <c r="G425" s="51">
        <v>0.06500000000000002</v>
      </c>
      <c r="H425" s="3"/>
      <c r="I425" s="29">
        <v>51.031796930332135</v>
      </c>
      <c r="J425" s="29">
        <f t="shared" ref="J425:J431" si="65">IF(I425&lt;&gt;"",I425-(I425*0.07),"")</f>
        <v>47.45957115</v>
      </c>
      <c r="K425" s="29">
        <f t="shared" si="56"/>
        <v>50.54444327</v>
      </c>
    </row>
    <row r="426" ht="14.25" customHeight="1">
      <c r="A426" s="25"/>
      <c r="B426" s="25"/>
      <c r="C426" s="25" t="s">
        <v>75</v>
      </c>
      <c r="D426" s="26" t="s">
        <v>1142</v>
      </c>
      <c r="E426" s="26" t="s">
        <v>1143</v>
      </c>
      <c r="F426" s="27">
        <v>6.0</v>
      </c>
      <c r="G426" s="51">
        <v>0.06500000000000002</v>
      </c>
      <c r="H426" s="3"/>
      <c r="I426" s="29">
        <v>51.031796930332135</v>
      </c>
      <c r="J426" s="29">
        <f t="shared" si="65"/>
        <v>47.45957115</v>
      </c>
      <c r="K426" s="29">
        <f t="shared" si="56"/>
        <v>50.54444327</v>
      </c>
    </row>
    <row r="427" ht="14.25" customHeight="1">
      <c r="A427" s="25" t="s">
        <v>146</v>
      </c>
      <c r="B427" s="25"/>
      <c r="C427" s="25" t="s">
        <v>1144</v>
      </c>
      <c r="D427" s="26" t="s">
        <v>1145</v>
      </c>
      <c r="E427" s="26" t="s">
        <v>1146</v>
      </c>
      <c r="F427" s="27">
        <v>6.0</v>
      </c>
      <c r="G427" s="51">
        <v>0.13</v>
      </c>
      <c r="H427" s="3"/>
      <c r="I427" s="29">
        <v>69.19401068286197</v>
      </c>
      <c r="J427" s="29">
        <f t="shared" si="65"/>
        <v>64.35042994</v>
      </c>
      <c r="K427" s="29">
        <f t="shared" si="56"/>
        <v>72.71598583</v>
      </c>
    </row>
    <row r="428" ht="14.25" customHeight="1">
      <c r="A428" s="25" t="s">
        <v>146</v>
      </c>
      <c r="B428" s="25"/>
      <c r="C428" s="25" t="s">
        <v>1147</v>
      </c>
      <c r="D428" s="26" t="s">
        <v>1148</v>
      </c>
      <c r="E428" s="26" t="s">
        <v>1149</v>
      </c>
      <c r="F428" s="27">
        <v>6.0</v>
      </c>
      <c r="G428" s="51">
        <v>0.13</v>
      </c>
      <c r="H428" s="3"/>
      <c r="I428" s="29">
        <v>69.19401068286197</v>
      </c>
      <c r="J428" s="29">
        <f t="shared" si="65"/>
        <v>64.35042994</v>
      </c>
      <c r="K428" s="29">
        <f t="shared" si="56"/>
        <v>72.71598583</v>
      </c>
    </row>
    <row r="429" ht="14.25" customHeight="1">
      <c r="A429" s="25" t="s">
        <v>146</v>
      </c>
      <c r="B429" s="25"/>
      <c r="C429" s="25" t="s">
        <v>1150</v>
      </c>
      <c r="D429" s="26" t="s">
        <v>1151</v>
      </c>
      <c r="E429" s="26" t="s">
        <v>1152</v>
      </c>
      <c r="F429" s="27">
        <v>6.0</v>
      </c>
      <c r="G429" s="51">
        <v>0.13</v>
      </c>
      <c r="H429" s="3"/>
      <c r="I429" s="29">
        <v>69.19401068286197</v>
      </c>
      <c r="J429" s="29">
        <f t="shared" si="65"/>
        <v>64.35042994</v>
      </c>
      <c r="K429" s="29">
        <f t="shared" si="56"/>
        <v>72.71598583</v>
      </c>
    </row>
    <row r="430" ht="14.25" customHeight="1">
      <c r="A430" s="25" t="s">
        <v>146</v>
      </c>
      <c r="B430" s="25"/>
      <c r="C430" s="25" t="s">
        <v>1153</v>
      </c>
      <c r="D430" s="26" t="s">
        <v>1154</v>
      </c>
      <c r="E430" s="26" t="s">
        <v>1155</v>
      </c>
      <c r="F430" s="27">
        <v>6.0</v>
      </c>
      <c r="G430" s="51">
        <v>0.13</v>
      </c>
      <c r="H430" s="3"/>
      <c r="I430" s="29">
        <v>60.779993084999994</v>
      </c>
      <c r="J430" s="29">
        <f t="shared" si="65"/>
        <v>56.52539357</v>
      </c>
      <c r="K430" s="29">
        <f t="shared" si="56"/>
        <v>63.87369473</v>
      </c>
    </row>
    <row r="431" ht="14.25" customHeight="1">
      <c r="A431" s="36"/>
      <c r="B431" s="36"/>
      <c r="C431" s="3"/>
      <c r="D431" s="3"/>
      <c r="E431" s="3"/>
      <c r="F431" s="3"/>
      <c r="G431" s="3"/>
      <c r="H431" s="3"/>
      <c r="I431" s="4"/>
      <c r="J431" s="4" t="str">
        <f t="shared" si="65"/>
        <v/>
      </c>
      <c r="K431" s="4" t="str">
        <f t="shared" si="56"/>
        <v/>
      </c>
    </row>
    <row r="432" ht="14.25" customHeight="1">
      <c r="A432" s="31" t="s">
        <v>127</v>
      </c>
      <c r="B432" s="31"/>
      <c r="C432" s="31" t="s">
        <v>1156</v>
      </c>
      <c r="D432" s="32" t="s">
        <v>1157</v>
      </c>
      <c r="E432" s="32" t="s">
        <v>1158</v>
      </c>
      <c r="F432" s="33">
        <v>6.0</v>
      </c>
      <c r="G432" s="28">
        <v>0.065</v>
      </c>
      <c r="H432" s="3"/>
      <c r="I432" s="34">
        <v>54.782028691897104</v>
      </c>
      <c r="J432" s="34">
        <f>IF(I432&lt;&gt;"",I432-(I432*0.05),"")</f>
        <v>52.04292726</v>
      </c>
      <c r="K432" s="34">
        <f t="shared" si="56"/>
        <v>55.42571753</v>
      </c>
    </row>
    <row r="433" ht="14.25" customHeight="1">
      <c r="A433" s="25" t="s">
        <v>127</v>
      </c>
      <c r="B433" s="25"/>
      <c r="C433" s="25" t="s">
        <v>1159</v>
      </c>
      <c r="D433" s="26" t="s">
        <v>1160</v>
      </c>
      <c r="E433" s="26" t="s">
        <v>1161</v>
      </c>
      <c r="F433" s="27">
        <v>24.0</v>
      </c>
      <c r="G433" s="28">
        <v>0.065</v>
      </c>
      <c r="H433" s="3"/>
      <c r="I433" s="29">
        <v>26.85795583584846</v>
      </c>
      <c r="J433" s="29">
        <f t="shared" ref="J433:J439" si="66">IF(I433&lt;&gt;"",I433-(I433*0.07),"")</f>
        <v>24.97789893</v>
      </c>
      <c r="K433" s="29">
        <f t="shared" si="56"/>
        <v>26.60146236</v>
      </c>
    </row>
    <row r="434" ht="14.25" customHeight="1">
      <c r="A434" s="25" t="s">
        <v>127</v>
      </c>
      <c r="B434" s="25"/>
      <c r="C434" s="25" t="s">
        <v>1162</v>
      </c>
      <c r="D434" s="26" t="s">
        <v>1163</v>
      </c>
      <c r="E434" s="26" t="s">
        <v>1164</v>
      </c>
      <c r="F434" s="27">
        <v>6.0</v>
      </c>
      <c r="G434" s="28">
        <v>0.065</v>
      </c>
      <c r="H434" s="3"/>
      <c r="I434" s="29">
        <v>43.90963491467012</v>
      </c>
      <c r="J434" s="29">
        <f t="shared" si="66"/>
        <v>40.83596047</v>
      </c>
      <c r="K434" s="29">
        <f t="shared" si="56"/>
        <v>43.4902979</v>
      </c>
    </row>
    <row r="435" ht="14.25" customHeight="1">
      <c r="A435" s="25" t="s">
        <v>127</v>
      </c>
      <c r="B435" s="25"/>
      <c r="C435" s="25" t="s">
        <v>1165</v>
      </c>
      <c r="D435" s="26" t="s">
        <v>1166</v>
      </c>
      <c r="E435" s="26" t="s">
        <v>1167</v>
      </c>
      <c r="F435" s="27">
        <v>6.0</v>
      </c>
      <c r="G435" s="28">
        <v>0.065</v>
      </c>
      <c r="H435" s="3"/>
      <c r="I435" s="29">
        <v>43.90963491467012</v>
      </c>
      <c r="J435" s="29">
        <f t="shared" si="66"/>
        <v>40.83596047</v>
      </c>
      <c r="K435" s="29">
        <f t="shared" si="56"/>
        <v>43.4902979</v>
      </c>
    </row>
    <row r="436" ht="14.25" customHeight="1">
      <c r="A436" s="25" t="s">
        <v>127</v>
      </c>
      <c r="B436" s="25"/>
      <c r="C436" s="25" t="s">
        <v>1168</v>
      </c>
      <c r="D436" s="26" t="s">
        <v>1169</v>
      </c>
      <c r="E436" s="26" t="s">
        <v>1170</v>
      </c>
      <c r="F436" s="27">
        <v>6.0</v>
      </c>
      <c r="G436" s="28">
        <v>0.065</v>
      </c>
      <c r="H436" s="3"/>
      <c r="I436" s="29">
        <v>43.90963491467012</v>
      </c>
      <c r="J436" s="29">
        <f t="shared" si="66"/>
        <v>40.83596047</v>
      </c>
      <c r="K436" s="29">
        <f t="shared" si="56"/>
        <v>43.4902979</v>
      </c>
    </row>
    <row r="437" ht="14.25" customHeight="1">
      <c r="A437" s="25" t="s">
        <v>127</v>
      </c>
      <c r="B437" s="25"/>
      <c r="C437" s="25" t="s">
        <v>1171</v>
      </c>
      <c r="D437" s="26" t="s">
        <v>1172</v>
      </c>
      <c r="E437" s="26" t="s">
        <v>1173</v>
      </c>
      <c r="F437" s="27">
        <v>6.0</v>
      </c>
      <c r="G437" s="28">
        <v>0.065</v>
      </c>
      <c r="H437" s="3"/>
      <c r="I437" s="29">
        <v>43.90963491467012</v>
      </c>
      <c r="J437" s="29">
        <f t="shared" si="66"/>
        <v>40.83596047</v>
      </c>
      <c r="K437" s="29">
        <f t="shared" si="56"/>
        <v>43.4902979</v>
      </c>
    </row>
    <row r="438" ht="14.25" customHeight="1">
      <c r="A438" s="25" t="s">
        <v>127</v>
      </c>
      <c r="B438" s="25"/>
      <c r="C438" s="25" t="s">
        <v>1174</v>
      </c>
      <c r="D438" s="26" t="s">
        <v>1175</v>
      </c>
      <c r="E438" s="26" t="s">
        <v>1176</v>
      </c>
      <c r="F438" s="27">
        <v>6.0</v>
      </c>
      <c r="G438" s="28">
        <v>0.065</v>
      </c>
      <c r="H438" s="3"/>
      <c r="I438" s="29">
        <v>87.28685005131032</v>
      </c>
      <c r="J438" s="29">
        <f t="shared" si="66"/>
        <v>81.17677055</v>
      </c>
      <c r="K438" s="29">
        <f t="shared" si="56"/>
        <v>86.45326063</v>
      </c>
    </row>
    <row r="439" ht="14.25" customHeight="1">
      <c r="A439" s="25" t="s">
        <v>127</v>
      </c>
      <c r="B439" s="25"/>
      <c r="C439" s="25" t="s">
        <v>1177</v>
      </c>
      <c r="D439" s="26" t="s">
        <v>1178</v>
      </c>
      <c r="E439" s="26" t="s">
        <v>1179</v>
      </c>
      <c r="F439" s="27">
        <v>6.0</v>
      </c>
      <c r="G439" s="28">
        <v>0.065</v>
      </c>
      <c r="H439" s="3"/>
      <c r="I439" s="29">
        <v>169.53711981830568</v>
      </c>
      <c r="J439" s="29">
        <f t="shared" si="66"/>
        <v>157.6695214</v>
      </c>
      <c r="K439" s="29">
        <f t="shared" si="56"/>
        <v>167.9180403</v>
      </c>
    </row>
    <row r="440" ht="14.25" customHeight="1">
      <c r="A440" s="31" t="s">
        <v>127</v>
      </c>
      <c r="B440" s="31"/>
      <c r="C440" s="31" t="s">
        <v>75</v>
      </c>
      <c r="D440" s="32" t="s">
        <v>1180</v>
      </c>
      <c r="E440" s="32" t="s">
        <v>1181</v>
      </c>
      <c r="F440" s="33">
        <v>3.0</v>
      </c>
      <c r="G440" s="28">
        <v>0.065</v>
      </c>
      <c r="H440" s="3"/>
      <c r="I440" s="34">
        <v>234.4434358824598</v>
      </c>
      <c r="J440" s="34">
        <f t="shared" ref="J440:J441" si="67">IF(I440&lt;&gt;"",I440-(I440*0.05),"")</f>
        <v>222.7212641</v>
      </c>
      <c r="K440" s="34">
        <f t="shared" si="56"/>
        <v>237.1981463</v>
      </c>
    </row>
    <row r="441" ht="14.25" customHeight="1">
      <c r="A441" s="31" t="s">
        <v>127</v>
      </c>
      <c r="B441" s="31"/>
      <c r="C441" s="31" t="s">
        <v>1182</v>
      </c>
      <c r="D441" s="32" t="s">
        <v>1183</v>
      </c>
      <c r="E441" s="32" t="s">
        <v>1184</v>
      </c>
      <c r="F441" s="33">
        <v>3.0</v>
      </c>
      <c r="G441" s="28">
        <v>0.065</v>
      </c>
      <c r="H441" s="3"/>
      <c r="I441" s="34">
        <v>376.396940772081</v>
      </c>
      <c r="J441" s="34">
        <f t="shared" si="67"/>
        <v>357.5770937</v>
      </c>
      <c r="K441" s="34">
        <f t="shared" si="56"/>
        <v>380.8196048</v>
      </c>
    </row>
    <row r="442" ht="14.25" customHeight="1">
      <c r="A442" s="36"/>
      <c r="B442" s="36"/>
      <c r="C442" s="3"/>
      <c r="D442" s="3"/>
      <c r="E442" s="3"/>
      <c r="F442" s="3"/>
      <c r="G442" s="3"/>
      <c r="H442" s="3"/>
      <c r="I442" s="4"/>
      <c r="J442" s="4" t="str">
        <f t="shared" ref="J442:J467" si="68">IF(I442&lt;&gt;"",I442-(I442*0.07),"")</f>
        <v/>
      </c>
      <c r="K442" s="4" t="str">
        <f t="shared" si="56"/>
        <v/>
      </c>
    </row>
    <row r="443" ht="14.25" customHeight="1">
      <c r="A443" s="25" t="s">
        <v>127</v>
      </c>
      <c r="B443" s="25"/>
      <c r="C443" s="25" t="s">
        <v>75</v>
      </c>
      <c r="D443" s="26" t="s">
        <v>1185</v>
      </c>
      <c r="E443" s="26" t="s">
        <v>1186</v>
      </c>
      <c r="F443" s="27">
        <v>6.0</v>
      </c>
      <c r="G443" s="28">
        <v>0.06500000000000002</v>
      </c>
      <c r="H443" s="3"/>
      <c r="I443" s="29">
        <v>46.91095851589259</v>
      </c>
      <c r="J443" s="29">
        <f t="shared" si="68"/>
        <v>43.62719142</v>
      </c>
      <c r="K443" s="29">
        <f t="shared" si="56"/>
        <v>46.46295886</v>
      </c>
    </row>
    <row r="444" ht="14.25" customHeight="1">
      <c r="A444" s="25" t="s">
        <v>127</v>
      </c>
      <c r="B444" s="25"/>
      <c r="C444" s="25" t="s">
        <v>1187</v>
      </c>
      <c r="D444" s="26" t="s">
        <v>1188</v>
      </c>
      <c r="E444" s="26" t="s">
        <v>1189</v>
      </c>
      <c r="F444" s="27">
        <v>6.0</v>
      </c>
      <c r="G444" s="28">
        <v>0.065</v>
      </c>
      <c r="H444" s="3"/>
      <c r="I444" s="29">
        <v>46.91095851589259</v>
      </c>
      <c r="J444" s="29">
        <f t="shared" si="68"/>
        <v>43.62719142</v>
      </c>
      <c r="K444" s="29">
        <f t="shared" si="56"/>
        <v>46.46295886</v>
      </c>
    </row>
    <row r="445" ht="14.25" customHeight="1">
      <c r="A445" s="25"/>
      <c r="B445" s="25"/>
      <c r="C445" s="25"/>
      <c r="D445" s="26"/>
      <c r="E445" s="26"/>
      <c r="F445" s="27"/>
      <c r="G445" s="44"/>
      <c r="H445" s="3"/>
      <c r="I445" s="4"/>
      <c r="J445" s="4" t="str">
        <f t="shared" si="68"/>
        <v/>
      </c>
      <c r="K445" s="4" t="str">
        <f t="shared" si="56"/>
        <v/>
      </c>
    </row>
    <row r="446" ht="14.25" customHeight="1">
      <c r="A446" s="25" t="s">
        <v>127</v>
      </c>
      <c r="B446" s="25"/>
      <c r="C446" s="25" t="s">
        <v>1190</v>
      </c>
      <c r="D446" s="26" t="s">
        <v>1191</v>
      </c>
      <c r="E446" s="26" t="s">
        <v>1192</v>
      </c>
      <c r="F446" s="27">
        <v>6.0</v>
      </c>
      <c r="G446" s="28">
        <v>0.065</v>
      </c>
      <c r="H446" s="3"/>
      <c r="I446" s="29">
        <v>64.1158057680981</v>
      </c>
      <c r="J446" s="29">
        <f t="shared" si="68"/>
        <v>59.62769936</v>
      </c>
      <c r="K446" s="29">
        <f t="shared" si="56"/>
        <v>63.50349982</v>
      </c>
    </row>
    <row r="447" ht="14.25" customHeight="1">
      <c r="A447" s="25" t="s">
        <v>127</v>
      </c>
      <c r="B447" s="25"/>
      <c r="C447" s="25" t="s">
        <v>1193</v>
      </c>
      <c r="D447" s="26" t="s">
        <v>1194</v>
      </c>
      <c r="E447" s="26" t="s">
        <v>1195</v>
      </c>
      <c r="F447" s="27">
        <v>6.0</v>
      </c>
      <c r="G447" s="28">
        <v>0.065</v>
      </c>
      <c r="H447" s="3"/>
      <c r="I447" s="29">
        <v>64.1158057680981</v>
      </c>
      <c r="J447" s="29">
        <f t="shared" si="68"/>
        <v>59.62769936</v>
      </c>
      <c r="K447" s="29">
        <f t="shared" si="56"/>
        <v>63.50349982</v>
      </c>
    </row>
    <row r="448" ht="14.25" customHeight="1">
      <c r="A448" s="25" t="s">
        <v>127</v>
      </c>
      <c r="B448" s="25"/>
      <c r="C448" s="25" t="s">
        <v>1196</v>
      </c>
      <c r="D448" s="26" t="s">
        <v>1197</v>
      </c>
      <c r="E448" s="26" t="s">
        <v>1198</v>
      </c>
      <c r="F448" s="27">
        <v>6.0</v>
      </c>
      <c r="G448" s="28">
        <v>0.065</v>
      </c>
      <c r="H448" s="3"/>
      <c r="I448" s="29">
        <v>82.12539587564869</v>
      </c>
      <c r="J448" s="29">
        <f t="shared" si="68"/>
        <v>76.37661816</v>
      </c>
      <c r="K448" s="29">
        <f t="shared" si="56"/>
        <v>81.34109835</v>
      </c>
    </row>
    <row r="449" ht="14.25" customHeight="1">
      <c r="A449" s="25" t="s">
        <v>127</v>
      </c>
      <c r="B449" s="25"/>
      <c r="C449" s="25" t="s">
        <v>1199</v>
      </c>
      <c r="D449" s="26" t="s">
        <v>1200</v>
      </c>
      <c r="E449" s="26" t="s">
        <v>1201</v>
      </c>
      <c r="F449" s="27">
        <v>6.0</v>
      </c>
      <c r="G449" s="28">
        <v>0.065</v>
      </c>
      <c r="H449" s="3"/>
      <c r="I449" s="29">
        <v>82.12539587564869</v>
      </c>
      <c r="J449" s="29">
        <f t="shared" si="68"/>
        <v>76.37661816</v>
      </c>
      <c r="K449" s="29">
        <f t="shared" si="56"/>
        <v>81.34109835</v>
      </c>
    </row>
    <row r="450" ht="14.25" customHeight="1">
      <c r="A450" s="25" t="s">
        <v>127</v>
      </c>
      <c r="B450" s="25"/>
      <c r="C450" s="25" t="s">
        <v>1202</v>
      </c>
      <c r="D450" s="26" t="s">
        <v>1203</v>
      </c>
      <c r="E450" s="26" t="s">
        <v>1204</v>
      </c>
      <c r="F450" s="27">
        <v>6.0</v>
      </c>
      <c r="G450" s="28">
        <v>0.065</v>
      </c>
      <c r="H450" s="3"/>
      <c r="I450" s="29">
        <v>82.12539587564869</v>
      </c>
      <c r="J450" s="29">
        <f t="shared" si="68"/>
        <v>76.37661816</v>
      </c>
      <c r="K450" s="29">
        <f t="shared" si="56"/>
        <v>81.34109835</v>
      </c>
    </row>
    <row r="451" ht="14.25" customHeight="1">
      <c r="A451" s="36"/>
      <c r="B451" s="36"/>
      <c r="C451" s="3"/>
      <c r="D451" s="3"/>
      <c r="E451" s="3"/>
      <c r="F451" s="3"/>
      <c r="G451" s="3"/>
      <c r="H451" s="3"/>
      <c r="I451" s="4"/>
      <c r="J451" s="4" t="str">
        <f t="shared" si="68"/>
        <v/>
      </c>
      <c r="K451" s="4" t="str">
        <f t="shared" si="56"/>
        <v/>
      </c>
    </row>
    <row r="452" ht="14.25" customHeight="1">
      <c r="A452" s="52"/>
      <c r="B452" s="52"/>
      <c r="C452" s="52"/>
      <c r="D452" s="52"/>
      <c r="E452" s="52"/>
      <c r="F452" s="52"/>
      <c r="G452" s="52"/>
      <c r="H452" s="3"/>
      <c r="I452" s="4"/>
      <c r="J452" s="4" t="str">
        <f t="shared" si="68"/>
        <v/>
      </c>
      <c r="K452" s="4" t="str">
        <f t="shared" si="56"/>
        <v/>
      </c>
    </row>
    <row r="453" ht="14.25" customHeight="1">
      <c r="A453" s="53"/>
      <c r="B453" s="53"/>
      <c r="C453" s="53"/>
      <c r="D453" s="53"/>
      <c r="E453" s="53"/>
      <c r="F453" s="53"/>
      <c r="G453" s="53"/>
      <c r="H453" s="3"/>
      <c r="I453" s="4"/>
      <c r="J453" s="4" t="str">
        <f t="shared" si="68"/>
        <v/>
      </c>
      <c r="K453" s="4" t="str">
        <f t="shared" si="56"/>
        <v/>
      </c>
    </row>
    <row r="454" ht="14.25" customHeight="1">
      <c r="A454" s="25" t="s">
        <v>1205</v>
      </c>
      <c r="B454" s="25"/>
      <c r="C454" s="25" t="s">
        <v>1206</v>
      </c>
      <c r="D454" s="26" t="s">
        <v>1207</v>
      </c>
      <c r="E454" s="26" t="s">
        <v>1208</v>
      </c>
      <c r="F454" s="27">
        <v>6.0</v>
      </c>
      <c r="G454" s="28">
        <v>0.065</v>
      </c>
      <c r="H454" s="3"/>
      <c r="I454" s="29">
        <v>38.10041173754541</v>
      </c>
      <c r="J454" s="29">
        <f t="shared" si="68"/>
        <v>35.43338292</v>
      </c>
      <c r="K454" s="29">
        <f t="shared" si="56"/>
        <v>37.73655281</v>
      </c>
    </row>
    <row r="455" ht="14.25" customHeight="1">
      <c r="A455" s="25" t="s">
        <v>1205</v>
      </c>
      <c r="B455" s="25"/>
      <c r="C455" s="25" t="s">
        <v>1209</v>
      </c>
      <c r="D455" s="26" t="s">
        <v>1210</v>
      </c>
      <c r="E455" s="26" t="s">
        <v>1211</v>
      </c>
      <c r="F455" s="27">
        <v>6.0</v>
      </c>
      <c r="G455" s="28">
        <v>0.065</v>
      </c>
      <c r="H455" s="3"/>
      <c r="I455" s="29">
        <v>38.10041173754541</v>
      </c>
      <c r="J455" s="29">
        <f t="shared" si="68"/>
        <v>35.43338292</v>
      </c>
      <c r="K455" s="29">
        <f t="shared" si="56"/>
        <v>37.73655281</v>
      </c>
    </row>
    <row r="456" ht="14.25" customHeight="1">
      <c r="A456" s="25" t="s">
        <v>1205</v>
      </c>
      <c r="B456" s="25"/>
      <c r="C456" s="25" t="s">
        <v>1212</v>
      </c>
      <c r="D456" s="26" t="s">
        <v>1213</v>
      </c>
      <c r="E456" s="26" t="s">
        <v>1214</v>
      </c>
      <c r="F456" s="27">
        <v>6.0</v>
      </c>
      <c r="G456" s="28">
        <v>0.065</v>
      </c>
      <c r="H456" s="3"/>
      <c r="I456" s="29">
        <v>38.10041173754541</v>
      </c>
      <c r="J456" s="29">
        <f t="shared" si="68"/>
        <v>35.43338292</v>
      </c>
      <c r="K456" s="29">
        <f t="shared" si="56"/>
        <v>37.73655281</v>
      </c>
    </row>
    <row r="457" ht="14.25" customHeight="1">
      <c r="A457" s="25" t="s">
        <v>1215</v>
      </c>
      <c r="B457" s="25"/>
      <c r="C457" s="25" t="s">
        <v>1216</v>
      </c>
      <c r="D457" s="26" t="s">
        <v>1217</v>
      </c>
      <c r="E457" s="26" t="s">
        <v>1218</v>
      </c>
      <c r="F457" s="27">
        <v>6.0</v>
      </c>
      <c r="G457" s="28">
        <v>0.065</v>
      </c>
      <c r="H457" s="3"/>
      <c r="I457" s="29">
        <v>38.10041173754541</v>
      </c>
      <c r="J457" s="29">
        <f t="shared" si="68"/>
        <v>35.43338292</v>
      </c>
      <c r="K457" s="29">
        <f t="shared" si="56"/>
        <v>37.73655281</v>
      </c>
    </row>
    <row r="458" ht="14.25" customHeight="1">
      <c r="A458" s="25" t="s">
        <v>1215</v>
      </c>
      <c r="B458" s="25"/>
      <c r="C458" s="25" t="s">
        <v>1219</v>
      </c>
      <c r="D458" s="26" t="s">
        <v>1220</v>
      </c>
      <c r="E458" s="26" t="s">
        <v>1221</v>
      </c>
      <c r="F458" s="27">
        <v>6.0</v>
      </c>
      <c r="G458" s="28">
        <v>0.065</v>
      </c>
      <c r="H458" s="3"/>
      <c r="I458" s="29">
        <v>38.10041173754541</v>
      </c>
      <c r="J458" s="29">
        <f t="shared" si="68"/>
        <v>35.43338292</v>
      </c>
      <c r="K458" s="29">
        <f t="shared" si="56"/>
        <v>37.73655281</v>
      </c>
    </row>
    <row r="459" ht="14.25" customHeight="1">
      <c r="A459" s="36"/>
      <c r="B459" s="36"/>
      <c r="C459" s="3"/>
      <c r="D459" s="3"/>
      <c r="E459" s="3"/>
      <c r="F459" s="3"/>
      <c r="G459" s="3"/>
      <c r="H459" s="3"/>
      <c r="I459" s="4"/>
      <c r="J459" s="4" t="str">
        <f t="shared" si="68"/>
        <v/>
      </c>
      <c r="K459" s="4" t="str">
        <f t="shared" si="56"/>
        <v/>
      </c>
    </row>
    <row r="460" ht="14.25" customHeight="1">
      <c r="A460" s="25" t="s">
        <v>1222</v>
      </c>
      <c r="B460" s="25"/>
      <c r="C460" s="25" t="s">
        <v>75</v>
      </c>
      <c r="D460" s="26" t="s">
        <v>1223</v>
      </c>
      <c r="E460" s="26" t="s">
        <v>1224</v>
      </c>
      <c r="F460" s="27">
        <v>6.0</v>
      </c>
      <c r="G460" s="28">
        <v>0.06500000000000002</v>
      </c>
      <c r="H460" s="3"/>
      <c r="I460" s="29">
        <v>38.100411737545414</v>
      </c>
      <c r="J460" s="29">
        <f t="shared" si="68"/>
        <v>35.43338292</v>
      </c>
      <c r="K460" s="29">
        <f t="shared" si="56"/>
        <v>37.73655281</v>
      </c>
    </row>
    <row r="461" ht="14.25" customHeight="1">
      <c r="A461" s="25" t="s">
        <v>1222</v>
      </c>
      <c r="B461" s="25"/>
      <c r="C461" s="25" t="s">
        <v>75</v>
      </c>
      <c r="D461" s="26" t="s">
        <v>1225</v>
      </c>
      <c r="E461" s="26" t="s">
        <v>1226</v>
      </c>
      <c r="F461" s="27">
        <v>6.0</v>
      </c>
      <c r="G461" s="28">
        <v>0.06500000000000002</v>
      </c>
      <c r="H461" s="3"/>
      <c r="I461" s="29">
        <v>38.100411737545414</v>
      </c>
      <c r="J461" s="29">
        <f t="shared" si="68"/>
        <v>35.43338292</v>
      </c>
      <c r="K461" s="29">
        <f t="shared" si="56"/>
        <v>37.73655281</v>
      </c>
    </row>
    <row r="462" ht="14.25" customHeight="1">
      <c r="A462" s="25" t="s">
        <v>1215</v>
      </c>
      <c r="B462" s="25"/>
      <c r="C462" s="25" t="s">
        <v>75</v>
      </c>
      <c r="D462" s="26" t="s">
        <v>1227</v>
      </c>
      <c r="E462" s="26" t="s">
        <v>1228</v>
      </c>
      <c r="F462" s="27">
        <v>6.0</v>
      </c>
      <c r="G462" s="28">
        <v>0.06500000000000002</v>
      </c>
      <c r="H462" s="3"/>
      <c r="I462" s="29">
        <v>38.100411737545414</v>
      </c>
      <c r="J462" s="29">
        <f t="shared" si="68"/>
        <v>35.43338292</v>
      </c>
      <c r="K462" s="29">
        <f t="shared" si="56"/>
        <v>37.73655281</v>
      </c>
    </row>
    <row r="463" ht="14.25" customHeight="1">
      <c r="A463" s="25" t="s">
        <v>1215</v>
      </c>
      <c r="B463" s="25"/>
      <c r="C463" s="25" t="s">
        <v>75</v>
      </c>
      <c r="D463" s="26" t="s">
        <v>1229</v>
      </c>
      <c r="E463" s="26" t="s">
        <v>1230</v>
      </c>
      <c r="F463" s="27">
        <v>6.0</v>
      </c>
      <c r="G463" s="28">
        <v>0.06500000000000002</v>
      </c>
      <c r="H463" s="3"/>
      <c r="I463" s="29">
        <v>38.100411737545414</v>
      </c>
      <c r="J463" s="29">
        <f t="shared" si="68"/>
        <v>35.43338292</v>
      </c>
      <c r="K463" s="29">
        <f t="shared" si="56"/>
        <v>37.73655281</v>
      </c>
    </row>
    <row r="464" ht="14.25" customHeight="1">
      <c r="A464" s="25" t="s">
        <v>1215</v>
      </c>
      <c r="B464" s="25"/>
      <c r="C464" s="25" t="s">
        <v>75</v>
      </c>
      <c r="D464" s="26" t="s">
        <v>1231</v>
      </c>
      <c r="E464" s="26" t="s">
        <v>1232</v>
      </c>
      <c r="F464" s="27">
        <v>6.0</v>
      </c>
      <c r="G464" s="28">
        <v>0.06500000000000002</v>
      </c>
      <c r="H464" s="3"/>
      <c r="I464" s="29">
        <v>38.100411737545414</v>
      </c>
      <c r="J464" s="29">
        <f t="shared" si="68"/>
        <v>35.43338292</v>
      </c>
      <c r="K464" s="29">
        <f t="shared" si="56"/>
        <v>37.73655281</v>
      </c>
    </row>
    <row r="465" ht="14.25" customHeight="1">
      <c r="A465" s="36"/>
      <c r="B465" s="36"/>
      <c r="C465" s="3"/>
      <c r="D465" s="3"/>
      <c r="E465" s="3"/>
      <c r="F465" s="3"/>
      <c r="G465" s="3"/>
      <c r="H465" s="3"/>
      <c r="I465" s="4"/>
      <c r="J465" s="4" t="str">
        <f t="shared" si="68"/>
        <v/>
      </c>
      <c r="K465" s="4" t="str">
        <f t="shared" si="56"/>
        <v/>
      </c>
    </row>
    <row r="466" ht="14.25" customHeight="1">
      <c r="A466" s="30"/>
      <c r="B466" s="30"/>
      <c r="C466" s="30"/>
      <c r="D466" s="30"/>
      <c r="E466" s="30"/>
      <c r="F466" s="30"/>
      <c r="G466" s="30"/>
      <c r="H466" s="3"/>
      <c r="I466" s="4"/>
      <c r="J466" s="4" t="str">
        <f t="shared" si="68"/>
        <v/>
      </c>
      <c r="K466" s="4" t="str">
        <f t="shared" si="56"/>
        <v/>
      </c>
    </row>
    <row r="467" ht="14.25" customHeight="1">
      <c r="A467" s="25" t="s">
        <v>1233</v>
      </c>
      <c r="B467" s="25" t="s">
        <v>1234</v>
      </c>
      <c r="C467" s="25" t="s">
        <v>1235</v>
      </c>
      <c r="D467" s="26" t="s">
        <v>1236</v>
      </c>
      <c r="E467" s="26" t="s">
        <v>1237</v>
      </c>
      <c r="F467" s="27">
        <v>6.0</v>
      </c>
      <c r="G467" s="28">
        <v>0.065</v>
      </c>
      <c r="H467" s="3"/>
      <c r="I467" s="29">
        <v>82.58326681058642</v>
      </c>
      <c r="J467" s="29">
        <f t="shared" si="68"/>
        <v>76.80243813</v>
      </c>
      <c r="K467" s="29">
        <f t="shared" si="56"/>
        <v>81.79459661</v>
      </c>
    </row>
    <row r="468" ht="14.25" customHeight="1">
      <c r="A468" s="31" t="s">
        <v>1233</v>
      </c>
      <c r="B468" s="31" t="s">
        <v>1238</v>
      </c>
      <c r="C468" s="31" t="s">
        <v>1239</v>
      </c>
      <c r="D468" s="32" t="s">
        <v>1240</v>
      </c>
      <c r="E468" s="32" t="s">
        <v>1241</v>
      </c>
      <c r="F468" s="33">
        <v>6.0</v>
      </c>
      <c r="G468" s="28">
        <v>0.065</v>
      </c>
      <c r="H468" s="3"/>
      <c r="I468" s="34">
        <v>76.62862879584847</v>
      </c>
      <c r="J468" s="34">
        <f t="shared" ref="J468:J473" si="69">IF(I468&lt;&gt;"",I468-(I468*0.05),"")</f>
        <v>72.79719736</v>
      </c>
      <c r="K468" s="34">
        <f t="shared" si="56"/>
        <v>77.52901518</v>
      </c>
    </row>
    <row r="469" ht="14.25" customHeight="1">
      <c r="A469" s="31" t="s">
        <v>1233</v>
      </c>
      <c r="B469" s="31" t="s">
        <v>1238</v>
      </c>
      <c r="C469" s="31" t="s">
        <v>1242</v>
      </c>
      <c r="D469" s="32" t="s">
        <v>1243</v>
      </c>
      <c r="E469" s="32" t="s">
        <v>1244</v>
      </c>
      <c r="F469" s="33">
        <v>6.0</v>
      </c>
      <c r="G469" s="28">
        <v>0.065</v>
      </c>
      <c r="H469" s="3"/>
      <c r="I469" s="34">
        <v>76.62862879584847</v>
      </c>
      <c r="J469" s="34">
        <f t="shared" si="69"/>
        <v>72.79719736</v>
      </c>
      <c r="K469" s="34">
        <f t="shared" si="56"/>
        <v>77.52901518</v>
      </c>
    </row>
    <row r="470" ht="14.25" customHeight="1">
      <c r="A470" s="31" t="s">
        <v>1233</v>
      </c>
      <c r="B470" s="31" t="s">
        <v>1238</v>
      </c>
      <c r="C470" s="31" t="s">
        <v>1245</v>
      </c>
      <c r="D470" s="32" t="s">
        <v>1246</v>
      </c>
      <c r="E470" s="32" t="s">
        <v>1247</v>
      </c>
      <c r="F470" s="33">
        <v>6.0</v>
      </c>
      <c r="G470" s="28">
        <v>0.065</v>
      </c>
      <c r="H470" s="3"/>
      <c r="I470" s="34">
        <v>90.41714718300469</v>
      </c>
      <c r="J470" s="34">
        <f t="shared" si="69"/>
        <v>85.89628982</v>
      </c>
      <c r="K470" s="34">
        <f t="shared" si="56"/>
        <v>91.47954866</v>
      </c>
    </row>
    <row r="471" ht="14.25" customHeight="1">
      <c r="A471" s="31" t="s">
        <v>1233</v>
      </c>
      <c r="B471" s="31" t="s">
        <v>1234</v>
      </c>
      <c r="C471" s="31" t="s">
        <v>1248</v>
      </c>
      <c r="D471" s="32" t="s">
        <v>1249</v>
      </c>
      <c r="E471" s="32" t="s">
        <v>1250</v>
      </c>
      <c r="F471" s="33">
        <v>6.0</v>
      </c>
      <c r="G471" s="28">
        <v>0.065</v>
      </c>
      <c r="H471" s="3"/>
      <c r="I471" s="34">
        <v>90.41714718300469</v>
      </c>
      <c r="J471" s="34">
        <f t="shared" si="69"/>
        <v>85.89628982</v>
      </c>
      <c r="K471" s="34">
        <f t="shared" si="56"/>
        <v>91.47954866</v>
      </c>
    </row>
    <row r="472" ht="14.25" customHeight="1">
      <c r="A472" s="31" t="s">
        <v>1233</v>
      </c>
      <c r="B472" s="31" t="s">
        <v>1234</v>
      </c>
      <c r="C472" s="31" t="s">
        <v>1251</v>
      </c>
      <c r="D472" s="32" t="s">
        <v>1252</v>
      </c>
      <c r="E472" s="32" t="s">
        <v>1253</v>
      </c>
      <c r="F472" s="33">
        <v>6.0</v>
      </c>
      <c r="G472" s="28">
        <v>0.065</v>
      </c>
      <c r="H472" s="3"/>
      <c r="I472" s="34">
        <v>90.41714718300469</v>
      </c>
      <c r="J472" s="34">
        <f t="shared" si="69"/>
        <v>85.89628982</v>
      </c>
      <c r="K472" s="34">
        <f t="shared" si="56"/>
        <v>91.47954866</v>
      </c>
    </row>
    <row r="473" ht="14.25" customHeight="1">
      <c r="A473" s="31" t="s">
        <v>1233</v>
      </c>
      <c r="B473" s="31" t="s">
        <v>1254</v>
      </c>
      <c r="C473" s="31" t="s">
        <v>1255</v>
      </c>
      <c r="D473" s="32" t="s">
        <v>1256</v>
      </c>
      <c r="E473" s="32" t="s">
        <v>1257</v>
      </c>
      <c r="F473" s="33">
        <v>6.0</v>
      </c>
      <c r="G473" s="28">
        <v>0.065</v>
      </c>
      <c r="H473" s="3"/>
      <c r="I473" s="34">
        <v>115.30342733461337</v>
      </c>
      <c r="J473" s="34">
        <f t="shared" si="69"/>
        <v>109.538256</v>
      </c>
      <c r="K473" s="34">
        <f t="shared" si="56"/>
        <v>116.6582426</v>
      </c>
    </row>
    <row r="474" ht="14.25" customHeight="1">
      <c r="A474" s="25" t="s">
        <v>1233</v>
      </c>
      <c r="B474" s="25"/>
      <c r="C474" s="25" t="s">
        <v>1258</v>
      </c>
      <c r="D474" s="26" t="s">
        <v>1259</v>
      </c>
      <c r="E474" s="26" t="s">
        <v>1260</v>
      </c>
      <c r="F474" s="27">
        <v>6.0</v>
      </c>
      <c r="G474" s="28">
        <v>0.065</v>
      </c>
      <c r="H474" s="3"/>
      <c r="I474" s="29">
        <v>35.93408097062793</v>
      </c>
      <c r="J474" s="29">
        <f t="shared" ref="J474:J478" si="70">IF(I474&lt;&gt;"",I474-(I474*0.07),"")</f>
        <v>33.4186953</v>
      </c>
      <c r="K474" s="29">
        <f t="shared" si="56"/>
        <v>35.5909105</v>
      </c>
    </row>
    <row r="475" ht="14.25" customHeight="1">
      <c r="A475" s="25" t="s">
        <v>1233</v>
      </c>
      <c r="B475" s="25"/>
      <c r="C475" s="25" t="s">
        <v>1261</v>
      </c>
      <c r="D475" s="26" t="s">
        <v>1262</v>
      </c>
      <c r="E475" s="26" t="s">
        <v>1263</v>
      </c>
      <c r="F475" s="27">
        <v>6.0</v>
      </c>
      <c r="G475" s="28">
        <v>0.065</v>
      </c>
      <c r="H475" s="3"/>
      <c r="I475" s="29">
        <v>35.93408097062793</v>
      </c>
      <c r="J475" s="29">
        <f t="shared" si="70"/>
        <v>33.4186953</v>
      </c>
      <c r="K475" s="29">
        <f t="shared" si="56"/>
        <v>35.5909105</v>
      </c>
    </row>
    <row r="476" ht="14.25" customHeight="1">
      <c r="A476" s="25" t="s">
        <v>1233</v>
      </c>
      <c r="B476" s="25"/>
      <c r="C476" s="25" t="s">
        <v>1264</v>
      </c>
      <c r="D476" s="26" t="s">
        <v>1265</v>
      </c>
      <c r="E476" s="26" t="s">
        <v>1266</v>
      </c>
      <c r="F476" s="27">
        <v>6.0</v>
      </c>
      <c r="G476" s="28">
        <v>0.065</v>
      </c>
      <c r="H476" s="3"/>
      <c r="I476" s="29">
        <v>47.34240111403737</v>
      </c>
      <c r="J476" s="29">
        <f t="shared" si="70"/>
        <v>44.02843304</v>
      </c>
      <c r="K476" s="29">
        <f t="shared" si="56"/>
        <v>46.89028118</v>
      </c>
    </row>
    <row r="477" ht="14.25" customHeight="1">
      <c r="A477" s="25" t="s">
        <v>1233</v>
      </c>
      <c r="B477" s="25"/>
      <c r="C477" s="25" t="s">
        <v>1267</v>
      </c>
      <c r="D477" s="26" t="s">
        <v>1268</v>
      </c>
      <c r="E477" s="26" t="s">
        <v>1269</v>
      </c>
      <c r="F477" s="27">
        <v>6.0</v>
      </c>
      <c r="G477" s="28">
        <v>0.065</v>
      </c>
      <c r="H477" s="3"/>
      <c r="I477" s="29">
        <v>47.34240111403737</v>
      </c>
      <c r="J477" s="29">
        <f t="shared" si="70"/>
        <v>44.02843304</v>
      </c>
      <c r="K477" s="29">
        <f t="shared" si="56"/>
        <v>46.89028118</v>
      </c>
    </row>
    <row r="478" ht="14.25" customHeight="1">
      <c r="A478" s="25" t="s">
        <v>1233</v>
      </c>
      <c r="B478" s="25"/>
      <c r="C478" s="25" t="s">
        <v>1270</v>
      </c>
      <c r="D478" s="26" t="s">
        <v>1271</v>
      </c>
      <c r="E478" s="26" t="s">
        <v>1272</v>
      </c>
      <c r="F478" s="27">
        <v>6.0</v>
      </c>
      <c r="G478" s="28">
        <v>0.065</v>
      </c>
      <c r="H478" s="3"/>
      <c r="I478" s="29">
        <v>47.34240111403737</v>
      </c>
      <c r="J478" s="29">
        <f t="shared" si="70"/>
        <v>44.02843304</v>
      </c>
      <c r="K478" s="29">
        <f t="shared" si="56"/>
        <v>46.89028118</v>
      </c>
    </row>
    <row r="479" ht="14.25" customHeight="1">
      <c r="A479" s="31" t="s">
        <v>1233</v>
      </c>
      <c r="B479" s="31" t="s">
        <v>1238</v>
      </c>
      <c r="C479" s="31" t="s">
        <v>1273</v>
      </c>
      <c r="D479" s="32" t="s">
        <v>1274</v>
      </c>
      <c r="E479" s="32" t="s">
        <v>1275</v>
      </c>
      <c r="F479" s="33">
        <v>6.0</v>
      </c>
      <c r="G479" s="28">
        <v>0.065</v>
      </c>
      <c r="H479" s="3"/>
      <c r="I479" s="34">
        <v>153.64349059974055</v>
      </c>
      <c r="J479" s="34">
        <f>IF(I479&lt;&gt;"",I479-(I479*0.05),"")</f>
        <v>145.9613161</v>
      </c>
      <c r="K479" s="34">
        <f t="shared" si="56"/>
        <v>155.4488016</v>
      </c>
    </row>
    <row r="480" ht="14.25" customHeight="1">
      <c r="A480" s="36"/>
      <c r="B480" s="36"/>
      <c r="C480" s="3"/>
      <c r="D480" s="3"/>
      <c r="E480" s="3"/>
      <c r="F480" s="3"/>
      <c r="G480" s="3"/>
      <c r="H480" s="3"/>
      <c r="I480" s="4"/>
      <c r="J480" s="4" t="str">
        <f>IF(I480&lt;&gt;"",I480-(I480*0.07),"")</f>
        <v/>
      </c>
      <c r="K480" s="4" t="str">
        <f t="shared" si="56"/>
        <v/>
      </c>
    </row>
    <row r="481" ht="14.25" customHeight="1">
      <c r="A481" s="31" t="s">
        <v>1233</v>
      </c>
      <c r="B481" s="31" t="s">
        <v>1234</v>
      </c>
      <c r="C481" s="31" t="s">
        <v>1276</v>
      </c>
      <c r="D481" s="32" t="s">
        <v>1277</v>
      </c>
      <c r="E481" s="32" t="s">
        <v>1278</v>
      </c>
      <c r="F481" s="33">
        <v>6.0</v>
      </c>
      <c r="G481" s="28">
        <v>0.065</v>
      </c>
      <c r="H481" s="3"/>
      <c r="I481" s="34">
        <v>99.12026429758693</v>
      </c>
      <c r="J481" s="34">
        <f t="shared" ref="J481:J482" si="71">IF(I481&lt;&gt;"",I481-(I481*0.05),"")</f>
        <v>94.16425108</v>
      </c>
      <c r="K481" s="34">
        <f t="shared" si="56"/>
        <v>100.2849274</v>
      </c>
    </row>
    <row r="482" ht="14.25" customHeight="1">
      <c r="A482" s="31" t="s">
        <v>1233</v>
      </c>
      <c r="B482" s="31" t="s">
        <v>1234</v>
      </c>
      <c r="C482" s="31" t="s">
        <v>1279</v>
      </c>
      <c r="D482" s="32" t="s">
        <v>1280</v>
      </c>
      <c r="E482" s="32" t="s">
        <v>1281</v>
      </c>
      <c r="F482" s="33">
        <v>6.0</v>
      </c>
      <c r="G482" s="28">
        <v>0.065</v>
      </c>
      <c r="H482" s="3"/>
      <c r="I482" s="34">
        <v>174.8734316085366</v>
      </c>
      <c r="J482" s="34">
        <f t="shared" si="71"/>
        <v>166.12976</v>
      </c>
      <c r="K482" s="34">
        <f t="shared" si="56"/>
        <v>176.9281944</v>
      </c>
    </row>
    <row r="483" ht="14.25" customHeight="1">
      <c r="A483" s="25" t="s">
        <v>1233</v>
      </c>
      <c r="B483" s="25"/>
      <c r="C483" s="25" t="s">
        <v>75</v>
      </c>
      <c r="D483" s="26" t="s">
        <v>1282</v>
      </c>
      <c r="E483" s="26" t="s">
        <v>1283</v>
      </c>
      <c r="F483" s="27">
        <v>6.0</v>
      </c>
      <c r="G483" s="28">
        <v>0.065</v>
      </c>
      <c r="H483" s="3"/>
      <c r="I483" s="29">
        <v>21.27018615937987</v>
      </c>
      <c r="J483" s="29">
        <f t="shared" ref="J483:J496" si="72">IF(I483&lt;&gt;"",I483-(I483*0.07),"")</f>
        <v>19.78127313</v>
      </c>
      <c r="K483" s="29">
        <f t="shared" si="56"/>
        <v>21.06705588</v>
      </c>
    </row>
    <row r="484" ht="14.25" customHeight="1">
      <c r="A484" s="25" t="s">
        <v>1233</v>
      </c>
      <c r="B484" s="25"/>
      <c r="C484" s="25" t="s">
        <v>75</v>
      </c>
      <c r="D484" s="54" t="s">
        <v>1284</v>
      </c>
      <c r="E484" s="26" t="s">
        <v>1285</v>
      </c>
      <c r="F484" s="27">
        <v>6.0</v>
      </c>
      <c r="G484" s="28">
        <v>0.065</v>
      </c>
      <c r="H484" s="3"/>
      <c r="I484" s="29">
        <v>21.27018615937987</v>
      </c>
      <c r="J484" s="29">
        <f t="shared" si="72"/>
        <v>19.78127313</v>
      </c>
      <c r="K484" s="29">
        <f t="shared" si="56"/>
        <v>21.06705588</v>
      </c>
    </row>
    <row r="485" ht="14.25" customHeight="1">
      <c r="A485" s="25" t="s">
        <v>1233</v>
      </c>
      <c r="B485" s="25"/>
      <c r="C485" s="25" t="s">
        <v>1286</v>
      </c>
      <c r="D485" s="54" t="s">
        <v>1287</v>
      </c>
      <c r="E485" s="26" t="s">
        <v>1288</v>
      </c>
      <c r="F485" s="27">
        <v>12.0</v>
      </c>
      <c r="G485" s="28">
        <v>0.065</v>
      </c>
      <c r="H485" s="3"/>
      <c r="I485" s="29">
        <v>30.663477764011425</v>
      </c>
      <c r="J485" s="29">
        <f t="shared" si="72"/>
        <v>28.51703432</v>
      </c>
      <c r="K485" s="29">
        <f t="shared" si="56"/>
        <v>30.37064155</v>
      </c>
    </row>
    <row r="486" ht="14.25" customHeight="1">
      <c r="A486" s="25" t="s">
        <v>1233</v>
      </c>
      <c r="B486" s="25"/>
      <c r="C486" s="25" t="s">
        <v>1289</v>
      </c>
      <c r="D486" s="54" t="s">
        <v>1290</v>
      </c>
      <c r="E486" s="26" t="s">
        <v>1291</v>
      </c>
      <c r="F486" s="27">
        <v>12.0</v>
      </c>
      <c r="G486" s="28">
        <v>0.065</v>
      </c>
      <c r="H486" s="3"/>
      <c r="I486" s="29">
        <v>30.663477764011425</v>
      </c>
      <c r="J486" s="29">
        <f t="shared" si="72"/>
        <v>28.51703432</v>
      </c>
      <c r="K486" s="29">
        <f t="shared" si="56"/>
        <v>30.37064155</v>
      </c>
    </row>
    <row r="487" ht="14.25" customHeight="1">
      <c r="A487" s="25" t="s">
        <v>1233</v>
      </c>
      <c r="B487" s="25"/>
      <c r="C487" s="25" t="s">
        <v>1292</v>
      </c>
      <c r="D487" s="55" t="s">
        <v>1293</v>
      </c>
      <c r="E487" s="26" t="s">
        <v>1294</v>
      </c>
      <c r="F487" s="56">
        <v>12.0</v>
      </c>
      <c r="G487" s="28">
        <v>0.065</v>
      </c>
      <c r="H487" s="3"/>
      <c r="I487" s="29">
        <v>30.663477764011425</v>
      </c>
      <c r="J487" s="29">
        <f t="shared" si="72"/>
        <v>28.51703432</v>
      </c>
      <c r="K487" s="29">
        <f t="shared" si="56"/>
        <v>30.37064155</v>
      </c>
    </row>
    <row r="488" ht="14.25" customHeight="1">
      <c r="A488" s="25" t="s">
        <v>1233</v>
      </c>
      <c r="B488" s="25"/>
      <c r="C488" s="25" t="s">
        <v>1295</v>
      </c>
      <c r="D488" s="55" t="s">
        <v>1296</v>
      </c>
      <c r="E488" s="26" t="s">
        <v>1297</v>
      </c>
      <c r="F488" s="56">
        <v>12.0</v>
      </c>
      <c r="G488" s="28">
        <v>0.065</v>
      </c>
      <c r="H488" s="3"/>
      <c r="I488" s="29">
        <v>30.663477764011425</v>
      </c>
      <c r="J488" s="29">
        <f t="shared" si="72"/>
        <v>28.51703432</v>
      </c>
      <c r="K488" s="29">
        <f t="shared" si="56"/>
        <v>30.37064155</v>
      </c>
    </row>
    <row r="489" ht="14.25" customHeight="1">
      <c r="A489" s="25" t="s">
        <v>1233</v>
      </c>
      <c r="B489" s="25" t="s">
        <v>1234</v>
      </c>
      <c r="C489" s="25" t="s">
        <v>1298</v>
      </c>
      <c r="D489" s="55" t="s">
        <v>1299</v>
      </c>
      <c r="E489" s="26" t="s">
        <v>1300</v>
      </c>
      <c r="F489" s="56">
        <v>12.0</v>
      </c>
      <c r="G489" s="28">
        <v>0.065</v>
      </c>
      <c r="H489" s="3"/>
      <c r="I489" s="29">
        <v>49.21418806739752</v>
      </c>
      <c r="J489" s="29">
        <f t="shared" si="72"/>
        <v>45.7691949</v>
      </c>
      <c r="K489" s="29">
        <f t="shared" si="56"/>
        <v>48.74419257</v>
      </c>
    </row>
    <row r="490" ht="14.25" customHeight="1">
      <c r="A490" s="25" t="s">
        <v>1233</v>
      </c>
      <c r="B490" s="25" t="s">
        <v>1234</v>
      </c>
      <c r="C490" s="25" t="s">
        <v>1301</v>
      </c>
      <c r="D490" s="55" t="s">
        <v>1302</v>
      </c>
      <c r="E490" s="26" t="s">
        <v>1303</v>
      </c>
      <c r="F490" s="56">
        <v>12.0</v>
      </c>
      <c r="G490" s="28">
        <v>0.065</v>
      </c>
      <c r="H490" s="3"/>
      <c r="I490" s="29">
        <v>49.21418806739752</v>
      </c>
      <c r="J490" s="29">
        <f t="shared" si="72"/>
        <v>45.7691949</v>
      </c>
      <c r="K490" s="29">
        <f t="shared" si="56"/>
        <v>48.74419257</v>
      </c>
    </row>
    <row r="491" ht="14.25" customHeight="1">
      <c r="A491" s="25" t="s">
        <v>1233</v>
      </c>
      <c r="B491" s="25" t="s">
        <v>1234</v>
      </c>
      <c r="C491" s="25" t="s">
        <v>1304</v>
      </c>
      <c r="D491" s="54" t="s">
        <v>1305</v>
      </c>
      <c r="E491" s="26" t="s">
        <v>1306</v>
      </c>
      <c r="F491" s="27">
        <v>12.0</v>
      </c>
      <c r="G491" s="28">
        <v>0.065</v>
      </c>
      <c r="H491" s="3"/>
      <c r="I491" s="29">
        <v>49.21418806739752</v>
      </c>
      <c r="J491" s="29">
        <f t="shared" si="72"/>
        <v>45.7691949</v>
      </c>
      <c r="K491" s="29">
        <f t="shared" si="56"/>
        <v>48.74419257</v>
      </c>
    </row>
    <row r="492" ht="14.25" customHeight="1">
      <c r="A492" s="25" t="s">
        <v>1233</v>
      </c>
      <c r="B492" s="25" t="s">
        <v>1234</v>
      </c>
      <c r="C492" s="25" t="s">
        <v>1307</v>
      </c>
      <c r="D492" s="54" t="s">
        <v>1308</v>
      </c>
      <c r="E492" s="26" t="s">
        <v>1309</v>
      </c>
      <c r="F492" s="27">
        <v>12.0</v>
      </c>
      <c r="G492" s="28">
        <v>0.065</v>
      </c>
      <c r="H492" s="3"/>
      <c r="I492" s="29">
        <v>72.301983089712</v>
      </c>
      <c r="J492" s="29">
        <f t="shared" si="72"/>
        <v>67.24084427</v>
      </c>
      <c r="K492" s="29">
        <f t="shared" si="56"/>
        <v>71.61149915</v>
      </c>
    </row>
    <row r="493" ht="14.25" customHeight="1">
      <c r="A493" s="25" t="s">
        <v>1233</v>
      </c>
      <c r="B493" s="25" t="s">
        <v>1234</v>
      </c>
      <c r="C493" s="25" t="s">
        <v>1310</v>
      </c>
      <c r="D493" s="54" t="s">
        <v>1311</v>
      </c>
      <c r="E493" s="26" t="s">
        <v>1312</v>
      </c>
      <c r="F493" s="27">
        <v>12.0</v>
      </c>
      <c r="G493" s="28">
        <v>0.065</v>
      </c>
      <c r="H493" s="3"/>
      <c r="I493" s="29">
        <v>72.301983089712</v>
      </c>
      <c r="J493" s="29">
        <f t="shared" si="72"/>
        <v>67.24084427</v>
      </c>
      <c r="K493" s="29">
        <f t="shared" si="56"/>
        <v>71.61149915</v>
      </c>
    </row>
    <row r="494" ht="14.25" customHeight="1">
      <c r="A494" s="25" t="s">
        <v>1233</v>
      </c>
      <c r="B494" s="25" t="s">
        <v>1234</v>
      </c>
      <c r="C494" s="25" t="s">
        <v>1313</v>
      </c>
      <c r="D494" s="54" t="s">
        <v>1314</v>
      </c>
      <c r="E494" s="26" t="s">
        <v>1315</v>
      </c>
      <c r="F494" s="27">
        <v>12.0</v>
      </c>
      <c r="G494" s="28">
        <v>0.065</v>
      </c>
      <c r="H494" s="3"/>
      <c r="I494" s="29">
        <v>72.301983089712</v>
      </c>
      <c r="J494" s="29">
        <f t="shared" si="72"/>
        <v>67.24084427</v>
      </c>
      <c r="K494" s="29">
        <f t="shared" si="56"/>
        <v>71.61149915</v>
      </c>
    </row>
    <row r="495" ht="14.25" customHeight="1">
      <c r="A495" s="25" t="s">
        <v>1233</v>
      </c>
      <c r="B495" s="25" t="s">
        <v>1234</v>
      </c>
      <c r="C495" s="25" t="s">
        <v>1316</v>
      </c>
      <c r="D495" s="26" t="s">
        <v>1317</v>
      </c>
      <c r="E495" s="26" t="s">
        <v>1318</v>
      </c>
      <c r="F495" s="27">
        <v>12.0</v>
      </c>
      <c r="G495" s="28">
        <v>0.065</v>
      </c>
      <c r="H495" s="3"/>
      <c r="I495" s="29">
        <v>72.301983089712</v>
      </c>
      <c r="J495" s="29">
        <f t="shared" si="72"/>
        <v>67.24084427</v>
      </c>
      <c r="K495" s="29">
        <f t="shared" si="56"/>
        <v>71.61149915</v>
      </c>
    </row>
    <row r="496" ht="14.25" customHeight="1">
      <c r="A496" s="36"/>
      <c r="B496" s="36"/>
      <c r="C496" s="3"/>
      <c r="D496" s="3"/>
      <c r="E496" s="3"/>
      <c r="F496" s="3"/>
      <c r="G496" s="3"/>
      <c r="H496" s="3"/>
      <c r="I496" s="4"/>
      <c r="J496" s="4" t="str">
        <f t="shared" si="72"/>
        <v/>
      </c>
      <c r="K496" s="4" t="str">
        <f t="shared" si="56"/>
        <v/>
      </c>
    </row>
    <row r="497" ht="14.25" customHeight="1">
      <c r="A497" s="31" t="s">
        <v>1233</v>
      </c>
      <c r="B497" s="31" t="s">
        <v>1254</v>
      </c>
      <c r="C497" s="31" t="s">
        <v>1319</v>
      </c>
      <c r="D497" s="32" t="s">
        <v>1320</v>
      </c>
      <c r="E497" s="32" t="s">
        <v>1321</v>
      </c>
      <c r="F497" s="33">
        <v>6.0</v>
      </c>
      <c r="G497" s="28">
        <v>0.065</v>
      </c>
      <c r="H497" s="3"/>
      <c r="I497" s="34">
        <v>90.99911652563739</v>
      </c>
      <c r="J497" s="34">
        <f t="shared" ref="J497:J500" si="73">IF(I497&lt;&gt;"",I497-(I497*0.05),"")</f>
        <v>86.4491607</v>
      </c>
      <c r="K497" s="34">
        <f t="shared" si="56"/>
        <v>92.06835614</v>
      </c>
    </row>
    <row r="498" ht="14.25" customHeight="1">
      <c r="A498" s="31" t="s">
        <v>1233</v>
      </c>
      <c r="B498" s="31"/>
      <c r="C498" s="31" t="s">
        <v>1322</v>
      </c>
      <c r="D498" s="32" t="s">
        <v>1323</v>
      </c>
      <c r="E498" s="32" t="s">
        <v>1324</v>
      </c>
      <c r="F498" s="33">
        <v>6.0</v>
      </c>
      <c r="G498" s="28">
        <v>0.065</v>
      </c>
      <c r="H498" s="3"/>
      <c r="I498" s="34">
        <v>168.39177757417056</v>
      </c>
      <c r="J498" s="34">
        <f t="shared" si="73"/>
        <v>159.9721887</v>
      </c>
      <c r="K498" s="34">
        <f t="shared" si="56"/>
        <v>170.370381</v>
      </c>
    </row>
    <row r="499" ht="14.25" customHeight="1">
      <c r="A499" s="31" t="s">
        <v>1233</v>
      </c>
      <c r="B499" s="31" t="s">
        <v>1234</v>
      </c>
      <c r="C499" s="31" t="s">
        <v>1325</v>
      </c>
      <c r="D499" s="32" t="s">
        <v>1326</v>
      </c>
      <c r="E499" s="32" t="s">
        <v>1327</v>
      </c>
      <c r="F499" s="33">
        <v>6.0</v>
      </c>
      <c r="G499" s="28">
        <v>0.065</v>
      </c>
      <c r="H499" s="3"/>
      <c r="I499" s="34">
        <v>168.39177757417056</v>
      </c>
      <c r="J499" s="34">
        <f t="shared" si="73"/>
        <v>159.9721887</v>
      </c>
      <c r="K499" s="34">
        <f t="shared" si="56"/>
        <v>170.370381</v>
      </c>
    </row>
    <row r="500" ht="14.25" customHeight="1">
      <c r="A500" s="31" t="s">
        <v>1233</v>
      </c>
      <c r="B500" s="31" t="s">
        <v>1328</v>
      </c>
      <c r="C500" s="31" t="s">
        <v>1329</v>
      </c>
      <c r="D500" s="32" t="s">
        <v>1330</v>
      </c>
      <c r="E500" s="32" t="s">
        <v>1331</v>
      </c>
      <c r="F500" s="33">
        <v>6.0</v>
      </c>
      <c r="G500" s="28">
        <v>0.065</v>
      </c>
      <c r="H500" s="3"/>
      <c r="I500" s="34">
        <v>230.06279108697578</v>
      </c>
      <c r="J500" s="34">
        <f t="shared" si="73"/>
        <v>218.5596515</v>
      </c>
      <c r="K500" s="34">
        <f t="shared" si="56"/>
        <v>232.7660289</v>
      </c>
    </row>
    <row r="501" ht="14.25" customHeight="1">
      <c r="A501" s="25" t="s">
        <v>1233</v>
      </c>
      <c r="B501" s="25"/>
      <c r="C501" s="25" t="s">
        <v>1332</v>
      </c>
      <c r="D501" s="26" t="s">
        <v>1333</v>
      </c>
      <c r="E501" s="26" t="s">
        <v>1334</v>
      </c>
      <c r="F501" s="27">
        <v>24.0</v>
      </c>
      <c r="G501" s="28">
        <v>0.065</v>
      </c>
      <c r="H501" s="3"/>
      <c r="I501" s="29">
        <v>11.102951347985993</v>
      </c>
      <c r="J501" s="29">
        <f t="shared" ref="J501:J525" si="74">IF(I501&lt;&gt;"",I501-(I501*0.07),"")</f>
        <v>10.32574475</v>
      </c>
      <c r="K501" s="29">
        <f t="shared" si="56"/>
        <v>10.99691816</v>
      </c>
    </row>
    <row r="502" ht="14.25" customHeight="1">
      <c r="A502" s="25" t="s">
        <v>1233</v>
      </c>
      <c r="B502" s="25"/>
      <c r="C502" s="25" t="s">
        <v>1335</v>
      </c>
      <c r="D502" s="26" t="s">
        <v>1336</v>
      </c>
      <c r="E502" s="26" t="s">
        <v>1337</v>
      </c>
      <c r="F502" s="27">
        <v>12.0</v>
      </c>
      <c r="G502" s="28">
        <v>0.065</v>
      </c>
      <c r="H502" s="3"/>
      <c r="I502" s="29">
        <v>19.276573580430522</v>
      </c>
      <c r="J502" s="29">
        <f t="shared" si="74"/>
        <v>17.92721343</v>
      </c>
      <c r="K502" s="29">
        <f t="shared" si="56"/>
        <v>19.0924823</v>
      </c>
    </row>
    <row r="503" ht="14.25" customHeight="1">
      <c r="A503" s="25" t="s">
        <v>1233</v>
      </c>
      <c r="B503" s="25"/>
      <c r="C503" s="25" t="s">
        <v>1338</v>
      </c>
      <c r="D503" s="26" t="s">
        <v>1339</v>
      </c>
      <c r="E503" s="26" t="s">
        <v>1340</v>
      </c>
      <c r="F503" s="27">
        <v>12.0</v>
      </c>
      <c r="G503" s="28">
        <v>0.065</v>
      </c>
      <c r="H503" s="3"/>
      <c r="I503" s="29">
        <v>24.451497200830307</v>
      </c>
      <c r="J503" s="29">
        <f t="shared" si="74"/>
        <v>22.7398924</v>
      </c>
      <c r="K503" s="29">
        <f t="shared" si="56"/>
        <v>24.2179854</v>
      </c>
    </row>
    <row r="504" ht="14.25" customHeight="1">
      <c r="A504" s="25" t="s">
        <v>1233</v>
      </c>
      <c r="B504" s="25"/>
      <c r="C504" s="25" t="s">
        <v>1341</v>
      </c>
      <c r="D504" s="26" t="s">
        <v>1342</v>
      </c>
      <c r="E504" s="26" t="s">
        <v>1343</v>
      </c>
      <c r="F504" s="27">
        <v>12.0</v>
      </c>
      <c r="G504" s="28">
        <v>0.065</v>
      </c>
      <c r="H504" s="3"/>
      <c r="I504" s="29">
        <v>24.451497200830307</v>
      </c>
      <c r="J504" s="29">
        <f t="shared" si="74"/>
        <v>22.7398924</v>
      </c>
      <c r="K504" s="29">
        <f t="shared" si="56"/>
        <v>24.2179854</v>
      </c>
    </row>
    <row r="505" ht="14.25" customHeight="1">
      <c r="A505" s="25" t="s">
        <v>1233</v>
      </c>
      <c r="B505" s="25"/>
      <c r="C505" s="25" t="s">
        <v>1344</v>
      </c>
      <c r="D505" s="26" t="s">
        <v>1345</v>
      </c>
      <c r="E505" s="26" t="s">
        <v>1346</v>
      </c>
      <c r="F505" s="27">
        <v>12.0</v>
      </c>
      <c r="G505" s="28">
        <v>0.065</v>
      </c>
      <c r="H505" s="3"/>
      <c r="I505" s="29">
        <v>24.451497200830307</v>
      </c>
      <c r="J505" s="29">
        <f t="shared" si="74"/>
        <v>22.7398924</v>
      </c>
      <c r="K505" s="29">
        <f t="shared" si="56"/>
        <v>24.2179854</v>
      </c>
    </row>
    <row r="506" ht="14.25" customHeight="1">
      <c r="A506" s="25" t="s">
        <v>1233</v>
      </c>
      <c r="B506" s="25"/>
      <c r="C506" s="25" t="s">
        <v>1347</v>
      </c>
      <c r="D506" s="26" t="s">
        <v>1348</v>
      </c>
      <c r="E506" s="26" t="s">
        <v>1349</v>
      </c>
      <c r="F506" s="27">
        <v>12.0</v>
      </c>
      <c r="G506" s="28">
        <v>0.065</v>
      </c>
      <c r="H506" s="3"/>
      <c r="I506" s="29">
        <v>24.451497200830307</v>
      </c>
      <c r="J506" s="29">
        <f t="shared" si="74"/>
        <v>22.7398924</v>
      </c>
      <c r="K506" s="29">
        <f t="shared" si="56"/>
        <v>24.2179854</v>
      </c>
    </row>
    <row r="507" ht="14.25" customHeight="1">
      <c r="A507" s="25" t="s">
        <v>1233</v>
      </c>
      <c r="B507" s="25"/>
      <c r="C507" s="25" t="s">
        <v>1350</v>
      </c>
      <c r="D507" s="26" t="s">
        <v>1351</v>
      </c>
      <c r="E507" s="26" t="s">
        <v>1352</v>
      </c>
      <c r="F507" s="27">
        <v>12.0</v>
      </c>
      <c r="G507" s="28">
        <v>0.065</v>
      </c>
      <c r="H507" s="3"/>
      <c r="I507" s="29">
        <v>24.451497200830307</v>
      </c>
      <c r="J507" s="29">
        <f t="shared" si="74"/>
        <v>22.7398924</v>
      </c>
      <c r="K507" s="29">
        <f t="shared" si="56"/>
        <v>24.2179854</v>
      </c>
    </row>
    <row r="508" ht="14.25" customHeight="1">
      <c r="A508" s="25" t="s">
        <v>1233</v>
      </c>
      <c r="B508" s="25"/>
      <c r="C508" s="25" t="s">
        <v>1353</v>
      </c>
      <c r="D508" s="26" t="s">
        <v>1354</v>
      </c>
      <c r="E508" s="26" t="s">
        <v>1355</v>
      </c>
      <c r="F508" s="27">
        <v>12.0</v>
      </c>
      <c r="G508" s="28">
        <v>0.065</v>
      </c>
      <c r="H508" s="3"/>
      <c r="I508" s="29">
        <v>24.451497200830307</v>
      </c>
      <c r="J508" s="29">
        <f t="shared" si="74"/>
        <v>22.7398924</v>
      </c>
      <c r="K508" s="29">
        <f t="shared" si="56"/>
        <v>24.2179854</v>
      </c>
    </row>
    <row r="509" ht="14.25" customHeight="1">
      <c r="A509" s="25" t="s">
        <v>1233</v>
      </c>
      <c r="B509" s="25"/>
      <c r="C509" s="25" t="s">
        <v>1356</v>
      </c>
      <c r="D509" s="26" t="s">
        <v>1357</v>
      </c>
      <c r="E509" s="26" t="s">
        <v>1358</v>
      </c>
      <c r="F509" s="27">
        <v>12.0</v>
      </c>
      <c r="G509" s="28">
        <v>0.065</v>
      </c>
      <c r="H509" s="3"/>
      <c r="I509" s="29">
        <v>25.6547583881925</v>
      </c>
      <c r="J509" s="29">
        <f t="shared" si="74"/>
        <v>23.8589253</v>
      </c>
      <c r="K509" s="29">
        <f t="shared" si="56"/>
        <v>25.40975545</v>
      </c>
    </row>
    <row r="510" ht="14.25" customHeight="1">
      <c r="A510" s="25" t="s">
        <v>1233</v>
      </c>
      <c r="B510" s="25"/>
      <c r="C510" s="25" t="s">
        <v>1359</v>
      </c>
      <c r="D510" s="26" t="s">
        <v>1360</v>
      </c>
      <c r="E510" s="26" t="s">
        <v>1361</v>
      </c>
      <c r="F510" s="27">
        <v>12.0</v>
      </c>
      <c r="G510" s="28">
        <v>0.065</v>
      </c>
      <c r="H510" s="3"/>
      <c r="I510" s="29">
        <v>27.416875378620006</v>
      </c>
      <c r="J510" s="29">
        <f t="shared" si="74"/>
        <v>25.4976941</v>
      </c>
      <c r="K510" s="29">
        <f t="shared" si="56"/>
        <v>27.15504422</v>
      </c>
    </row>
    <row r="511" ht="14.25" customHeight="1">
      <c r="A511" s="25" t="s">
        <v>1233</v>
      </c>
      <c r="B511" s="25"/>
      <c r="C511" s="25" t="s">
        <v>1362</v>
      </c>
      <c r="D511" s="26" t="s">
        <v>1363</v>
      </c>
      <c r="E511" s="26" t="s">
        <v>1364</v>
      </c>
      <c r="F511" s="27">
        <v>12.0</v>
      </c>
      <c r="G511" s="28">
        <v>0.065</v>
      </c>
      <c r="H511" s="3"/>
      <c r="I511" s="29">
        <v>27.416875378620006</v>
      </c>
      <c r="J511" s="29">
        <f t="shared" si="74"/>
        <v>25.4976941</v>
      </c>
      <c r="K511" s="29">
        <f t="shared" si="56"/>
        <v>27.15504422</v>
      </c>
    </row>
    <row r="512" ht="14.25" customHeight="1">
      <c r="A512" s="25" t="s">
        <v>1233</v>
      </c>
      <c r="B512" s="25"/>
      <c r="C512" s="25" t="s">
        <v>1365</v>
      </c>
      <c r="D512" s="26" t="s">
        <v>1366</v>
      </c>
      <c r="E512" s="26" t="s">
        <v>1367</v>
      </c>
      <c r="F512" s="27">
        <v>12.0</v>
      </c>
      <c r="G512" s="28">
        <v>0.065</v>
      </c>
      <c r="H512" s="3"/>
      <c r="I512" s="29">
        <v>29.513418536622286</v>
      </c>
      <c r="J512" s="29">
        <f t="shared" si="74"/>
        <v>27.44747924</v>
      </c>
      <c r="K512" s="29">
        <f t="shared" si="56"/>
        <v>29.23156539</v>
      </c>
    </row>
    <row r="513" ht="14.25" customHeight="1">
      <c r="A513" s="25" t="s">
        <v>1233</v>
      </c>
      <c r="B513" s="25"/>
      <c r="C513" s="25" t="s">
        <v>1368</v>
      </c>
      <c r="D513" s="26" t="s">
        <v>1369</v>
      </c>
      <c r="E513" s="26" t="s">
        <v>1370</v>
      </c>
      <c r="F513" s="27">
        <v>12.0</v>
      </c>
      <c r="G513" s="28">
        <v>0.065</v>
      </c>
      <c r="H513" s="3"/>
      <c r="I513" s="29">
        <v>29.513418536622286</v>
      </c>
      <c r="J513" s="29">
        <f t="shared" si="74"/>
        <v>27.44747924</v>
      </c>
      <c r="K513" s="29">
        <f t="shared" si="56"/>
        <v>29.23156539</v>
      </c>
    </row>
    <row r="514" ht="14.25" customHeight="1">
      <c r="A514" s="25" t="s">
        <v>1233</v>
      </c>
      <c r="B514" s="25"/>
      <c r="C514" s="25" t="s">
        <v>1371</v>
      </c>
      <c r="D514" s="26" t="s">
        <v>1372</v>
      </c>
      <c r="E514" s="26" t="s">
        <v>1373</v>
      </c>
      <c r="F514" s="27">
        <v>12.0</v>
      </c>
      <c r="G514" s="28">
        <v>0.065</v>
      </c>
      <c r="H514" s="3"/>
      <c r="I514" s="29">
        <v>29.513418536622286</v>
      </c>
      <c r="J514" s="29">
        <f t="shared" si="74"/>
        <v>27.44747924</v>
      </c>
      <c r="K514" s="29">
        <f t="shared" si="56"/>
        <v>29.23156539</v>
      </c>
    </row>
    <row r="515" ht="14.25" customHeight="1">
      <c r="A515" s="25" t="s">
        <v>1233</v>
      </c>
      <c r="B515" s="25"/>
      <c r="C515" s="25" t="s">
        <v>1374</v>
      </c>
      <c r="D515" s="26" t="s">
        <v>1375</v>
      </c>
      <c r="E515" s="26" t="s">
        <v>1376</v>
      </c>
      <c r="F515" s="27">
        <v>12.0</v>
      </c>
      <c r="G515" s="28">
        <v>0.065</v>
      </c>
      <c r="H515" s="3"/>
      <c r="I515" s="29">
        <v>29.513418536622286</v>
      </c>
      <c r="J515" s="29">
        <f t="shared" si="74"/>
        <v>27.44747924</v>
      </c>
      <c r="K515" s="29">
        <f t="shared" si="56"/>
        <v>29.23156539</v>
      </c>
    </row>
    <row r="516" ht="14.25" customHeight="1">
      <c r="A516" s="25" t="s">
        <v>1233</v>
      </c>
      <c r="B516" s="25"/>
      <c r="C516" s="25" t="s">
        <v>1377</v>
      </c>
      <c r="D516" s="26" t="s">
        <v>1378</v>
      </c>
      <c r="E516" s="26" t="s">
        <v>1379</v>
      </c>
      <c r="F516" s="27">
        <v>12.0</v>
      </c>
      <c r="G516" s="28">
        <v>0.065</v>
      </c>
      <c r="H516" s="3"/>
      <c r="I516" s="29">
        <v>29.513418536622286</v>
      </c>
      <c r="J516" s="29">
        <f t="shared" si="74"/>
        <v>27.44747924</v>
      </c>
      <c r="K516" s="29">
        <f t="shared" si="56"/>
        <v>29.23156539</v>
      </c>
    </row>
    <row r="517" ht="14.25" customHeight="1">
      <c r="A517" s="25" t="s">
        <v>1233</v>
      </c>
      <c r="B517" s="25"/>
      <c r="C517" s="25" t="s">
        <v>1380</v>
      </c>
      <c r="D517" s="26" t="s">
        <v>1381</v>
      </c>
      <c r="E517" s="26" t="s">
        <v>1382</v>
      </c>
      <c r="F517" s="27">
        <v>12.0</v>
      </c>
      <c r="G517" s="28">
        <v>0.065</v>
      </c>
      <c r="H517" s="3"/>
      <c r="I517" s="29">
        <v>29.513418536622286</v>
      </c>
      <c r="J517" s="29">
        <f t="shared" si="74"/>
        <v>27.44747924</v>
      </c>
      <c r="K517" s="29">
        <f t="shared" si="56"/>
        <v>29.23156539</v>
      </c>
    </row>
    <row r="518" ht="14.25" customHeight="1">
      <c r="A518" s="25" t="s">
        <v>1233</v>
      </c>
      <c r="B518" s="25"/>
      <c r="C518" s="25" t="s">
        <v>1383</v>
      </c>
      <c r="D518" s="26" t="s">
        <v>1384</v>
      </c>
      <c r="E518" s="26" t="s">
        <v>1385</v>
      </c>
      <c r="F518" s="27">
        <v>6.0</v>
      </c>
      <c r="G518" s="28">
        <v>0.065</v>
      </c>
      <c r="H518" s="3"/>
      <c r="I518" s="29">
        <v>48.928339001467705</v>
      </c>
      <c r="J518" s="29">
        <f t="shared" si="74"/>
        <v>45.50335527</v>
      </c>
      <c r="K518" s="29">
        <f t="shared" si="56"/>
        <v>48.46107336</v>
      </c>
    </row>
    <row r="519" ht="14.25" customHeight="1">
      <c r="A519" s="25" t="s">
        <v>1233</v>
      </c>
      <c r="B519" s="25"/>
      <c r="C519" s="25" t="s">
        <v>1386</v>
      </c>
      <c r="D519" s="26" t="s">
        <v>1387</v>
      </c>
      <c r="E519" s="26" t="s">
        <v>1388</v>
      </c>
      <c r="F519" s="27">
        <v>6.0</v>
      </c>
      <c r="G519" s="28">
        <v>0.065</v>
      </c>
      <c r="H519" s="3"/>
      <c r="I519" s="29">
        <v>48.928339001467705</v>
      </c>
      <c r="J519" s="29">
        <f t="shared" si="74"/>
        <v>45.50335527</v>
      </c>
      <c r="K519" s="29">
        <f t="shared" si="56"/>
        <v>48.46107336</v>
      </c>
    </row>
    <row r="520" ht="14.25" customHeight="1">
      <c r="A520" s="25" t="s">
        <v>1233</v>
      </c>
      <c r="B520" s="25"/>
      <c r="C520" s="25" t="s">
        <v>1389</v>
      </c>
      <c r="D520" s="26" t="s">
        <v>1390</v>
      </c>
      <c r="E520" s="26" t="s">
        <v>1391</v>
      </c>
      <c r="F520" s="27">
        <v>6.0</v>
      </c>
      <c r="G520" s="28">
        <v>0.065</v>
      </c>
      <c r="H520" s="3"/>
      <c r="I520" s="29">
        <v>48.928339001467705</v>
      </c>
      <c r="J520" s="29">
        <f t="shared" si="74"/>
        <v>45.50335527</v>
      </c>
      <c r="K520" s="29">
        <f t="shared" si="56"/>
        <v>48.46107336</v>
      </c>
    </row>
    <row r="521" ht="14.25" customHeight="1">
      <c r="A521" s="25" t="s">
        <v>1233</v>
      </c>
      <c r="B521" s="25"/>
      <c r="C521" s="25" t="s">
        <v>1392</v>
      </c>
      <c r="D521" s="26" t="s">
        <v>1393</v>
      </c>
      <c r="E521" s="26" t="s">
        <v>1394</v>
      </c>
      <c r="F521" s="27">
        <v>6.0</v>
      </c>
      <c r="G521" s="28">
        <v>0.065</v>
      </c>
      <c r="H521" s="3"/>
      <c r="I521" s="29">
        <v>48.928339001467705</v>
      </c>
      <c r="J521" s="29">
        <f t="shared" si="74"/>
        <v>45.50335527</v>
      </c>
      <c r="K521" s="29">
        <f t="shared" si="56"/>
        <v>48.46107336</v>
      </c>
    </row>
    <row r="522" ht="14.25" customHeight="1">
      <c r="A522" s="25" t="s">
        <v>1233</v>
      </c>
      <c r="B522" s="25"/>
      <c r="C522" s="25" t="s">
        <v>1395</v>
      </c>
      <c r="D522" s="26" t="s">
        <v>1396</v>
      </c>
      <c r="E522" s="26" t="s">
        <v>1397</v>
      </c>
      <c r="F522" s="27">
        <v>6.0</v>
      </c>
      <c r="G522" s="28">
        <v>0.065</v>
      </c>
      <c r="H522" s="3"/>
      <c r="I522" s="29">
        <v>48.928339001467705</v>
      </c>
      <c r="J522" s="29">
        <f t="shared" si="74"/>
        <v>45.50335527</v>
      </c>
      <c r="K522" s="29">
        <f t="shared" si="56"/>
        <v>48.46107336</v>
      </c>
    </row>
    <row r="523" ht="14.25" customHeight="1">
      <c r="A523" s="25" t="s">
        <v>1233</v>
      </c>
      <c r="B523" s="25" t="s">
        <v>1398</v>
      </c>
      <c r="C523" s="25" t="s">
        <v>75</v>
      </c>
      <c r="D523" s="26" t="s">
        <v>1399</v>
      </c>
      <c r="E523" s="26" t="s">
        <v>1400</v>
      </c>
      <c r="F523" s="27">
        <v>6.0</v>
      </c>
      <c r="G523" s="28">
        <v>0.06500000000000002</v>
      </c>
      <c r="H523" s="3"/>
      <c r="I523" s="29">
        <v>76.020450076479</v>
      </c>
      <c r="J523" s="29">
        <f t="shared" si="74"/>
        <v>70.69901857</v>
      </c>
      <c r="K523" s="29">
        <f t="shared" si="56"/>
        <v>75.29445478</v>
      </c>
    </row>
    <row r="524" ht="14.25" customHeight="1">
      <c r="A524" s="25" t="s">
        <v>1233</v>
      </c>
      <c r="B524" s="25" t="s">
        <v>1398</v>
      </c>
      <c r="C524" s="25" t="s">
        <v>75</v>
      </c>
      <c r="D524" s="26" t="s">
        <v>1401</v>
      </c>
      <c r="E524" s="26" t="s">
        <v>1402</v>
      </c>
      <c r="F524" s="27">
        <v>6.0</v>
      </c>
      <c r="G524" s="28">
        <v>0.06500000000000002</v>
      </c>
      <c r="H524" s="3"/>
      <c r="I524" s="29">
        <v>76.020450076479</v>
      </c>
      <c r="J524" s="29">
        <f t="shared" si="74"/>
        <v>70.69901857</v>
      </c>
      <c r="K524" s="29">
        <f t="shared" si="56"/>
        <v>75.29445478</v>
      </c>
    </row>
    <row r="525" ht="14.25" customHeight="1">
      <c r="A525" s="25" t="s">
        <v>1233</v>
      </c>
      <c r="B525" s="25" t="s">
        <v>1398</v>
      </c>
      <c r="C525" s="25" t="s">
        <v>75</v>
      </c>
      <c r="D525" s="26" t="s">
        <v>1403</v>
      </c>
      <c r="E525" s="26" t="s">
        <v>1404</v>
      </c>
      <c r="F525" s="27">
        <v>6.0</v>
      </c>
      <c r="G525" s="28">
        <v>0.06500000000000002</v>
      </c>
      <c r="H525" s="3"/>
      <c r="I525" s="29">
        <v>76.020450076479</v>
      </c>
      <c r="J525" s="29">
        <f t="shared" si="74"/>
        <v>70.69901857</v>
      </c>
      <c r="K525" s="29">
        <f t="shared" si="56"/>
        <v>75.29445478</v>
      </c>
    </row>
    <row r="526" ht="14.25" customHeight="1">
      <c r="A526" s="31" t="s">
        <v>1405</v>
      </c>
      <c r="B526" s="31"/>
      <c r="C526" s="31" t="s">
        <v>1406</v>
      </c>
      <c r="D526" s="32" t="s">
        <v>1407</v>
      </c>
      <c r="E526" s="32" t="s">
        <v>1408</v>
      </c>
      <c r="F526" s="33">
        <v>6.0</v>
      </c>
      <c r="G526" s="28">
        <v>0.06500000000000002</v>
      </c>
      <c r="H526" s="3"/>
      <c r="I526" s="34">
        <v>80.20772133705242</v>
      </c>
      <c r="J526" s="34">
        <f t="shared" ref="J526:J530" si="75">IF(I526&lt;&gt;"",I526-(I526*0.05),"")</f>
        <v>76.19733527</v>
      </c>
      <c r="K526" s="34">
        <f t="shared" si="56"/>
        <v>81.15016206</v>
      </c>
    </row>
    <row r="527" ht="14.25" customHeight="1">
      <c r="A527" s="31" t="s">
        <v>1405</v>
      </c>
      <c r="B527" s="31"/>
      <c r="C527" s="31" t="s">
        <v>1409</v>
      </c>
      <c r="D527" s="32" t="s">
        <v>1410</v>
      </c>
      <c r="E527" s="32" t="s">
        <v>1411</v>
      </c>
      <c r="F527" s="33">
        <v>6.0</v>
      </c>
      <c r="G527" s="28">
        <v>0.06500000000000002</v>
      </c>
      <c r="H527" s="3"/>
      <c r="I527" s="34">
        <v>80.20772133705242</v>
      </c>
      <c r="J527" s="34">
        <f t="shared" si="75"/>
        <v>76.19733527</v>
      </c>
      <c r="K527" s="34">
        <f t="shared" si="56"/>
        <v>81.15016206</v>
      </c>
    </row>
    <row r="528" ht="14.25" customHeight="1">
      <c r="A528" s="31" t="s">
        <v>1405</v>
      </c>
      <c r="B528" s="31"/>
      <c r="C528" s="31" t="s">
        <v>1412</v>
      </c>
      <c r="D528" s="32" t="s">
        <v>1413</v>
      </c>
      <c r="E528" s="32" t="s">
        <v>1414</v>
      </c>
      <c r="F528" s="33">
        <v>6.0</v>
      </c>
      <c r="G528" s="28">
        <v>0.06500000000000002</v>
      </c>
      <c r="H528" s="3"/>
      <c r="I528" s="34">
        <v>80.20772133705242</v>
      </c>
      <c r="J528" s="34">
        <f t="shared" si="75"/>
        <v>76.19733527</v>
      </c>
      <c r="K528" s="34">
        <f t="shared" si="56"/>
        <v>81.15016206</v>
      </c>
    </row>
    <row r="529" ht="14.25" customHeight="1">
      <c r="A529" s="31" t="s">
        <v>1233</v>
      </c>
      <c r="B529" s="31" t="s">
        <v>1415</v>
      </c>
      <c r="C529" s="31" t="s">
        <v>1416</v>
      </c>
      <c r="D529" s="32" t="s">
        <v>1417</v>
      </c>
      <c r="E529" s="32" t="s">
        <v>1418</v>
      </c>
      <c r="F529" s="33">
        <v>6.0</v>
      </c>
      <c r="G529" s="28">
        <v>0.065</v>
      </c>
      <c r="H529" s="3"/>
      <c r="I529" s="34">
        <v>90.99911652563739</v>
      </c>
      <c r="J529" s="34">
        <f t="shared" si="75"/>
        <v>86.4491607</v>
      </c>
      <c r="K529" s="34">
        <f t="shared" si="56"/>
        <v>92.06835614</v>
      </c>
    </row>
    <row r="530" ht="14.25" customHeight="1">
      <c r="A530" s="31" t="s">
        <v>1233</v>
      </c>
      <c r="B530" s="31" t="s">
        <v>1419</v>
      </c>
      <c r="C530" s="31" t="s">
        <v>1420</v>
      </c>
      <c r="D530" s="32" t="s">
        <v>1421</v>
      </c>
      <c r="E530" s="32" t="s">
        <v>1422</v>
      </c>
      <c r="F530" s="33">
        <v>6.0</v>
      </c>
      <c r="G530" s="28">
        <v>0.065</v>
      </c>
      <c r="H530" s="3"/>
      <c r="I530" s="34">
        <v>90.99911652563739</v>
      </c>
      <c r="J530" s="34">
        <f t="shared" si="75"/>
        <v>86.4491607</v>
      </c>
      <c r="K530" s="34">
        <f t="shared" si="56"/>
        <v>92.06835614</v>
      </c>
    </row>
    <row r="531" ht="14.25" customHeight="1">
      <c r="A531" s="25" t="s">
        <v>1233</v>
      </c>
      <c r="B531" s="25"/>
      <c r="C531" s="25" t="s">
        <v>1423</v>
      </c>
      <c r="D531" s="26" t="s">
        <v>1424</v>
      </c>
      <c r="E531" s="26" t="s">
        <v>1425</v>
      </c>
      <c r="F531" s="27">
        <v>6.0</v>
      </c>
      <c r="G531" s="28">
        <v>0.065</v>
      </c>
      <c r="H531" s="3"/>
      <c r="I531" s="29">
        <v>33.07506349636741</v>
      </c>
      <c r="J531" s="29">
        <f t="shared" ref="J531:J535" si="76">IF(I531&lt;&gt;"",I531-(I531*0.07),"")</f>
        <v>30.75980905</v>
      </c>
      <c r="K531" s="29">
        <f t="shared" si="56"/>
        <v>32.75919664</v>
      </c>
    </row>
    <row r="532" ht="14.25" customHeight="1">
      <c r="A532" s="25" t="s">
        <v>1233</v>
      </c>
      <c r="B532" s="25"/>
      <c r="C532" s="25" t="s">
        <v>1426</v>
      </c>
      <c r="D532" s="26" t="s">
        <v>1427</v>
      </c>
      <c r="E532" s="26" t="s">
        <v>1428</v>
      </c>
      <c r="F532" s="27">
        <v>6.0</v>
      </c>
      <c r="G532" s="28">
        <v>0.065</v>
      </c>
      <c r="H532" s="3"/>
      <c r="I532" s="29">
        <v>33.07506349636741</v>
      </c>
      <c r="J532" s="29">
        <f t="shared" si="76"/>
        <v>30.75980905</v>
      </c>
      <c r="K532" s="29">
        <f t="shared" si="56"/>
        <v>32.75919664</v>
      </c>
    </row>
    <row r="533" ht="14.25" customHeight="1">
      <c r="A533" s="25" t="s">
        <v>1233</v>
      </c>
      <c r="B533" s="25"/>
      <c r="C533" s="25" t="s">
        <v>1429</v>
      </c>
      <c r="D533" s="26" t="s">
        <v>1430</v>
      </c>
      <c r="E533" s="26" t="s">
        <v>1431</v>
      </c>
      <c r="F533" s="27">
        <v>6.0</v>
      </c>
      <c r="G533" s="28">
        <v>0.065</v>
      </c>
      <c r="H533" s="3"/>
      <c r="I533" s="29">
        <v>60.90410213933576</v>
      </c>
      <c r="J533" s="29">
        <f t="shared" si="76"/>
        <v>56.64081499</v>
      </c>
      <c r="K533" s="29">
        <f t="shared" si="56"/>
        <v>60.32246796</v>
      </c>
    </row>
    <row r="534" ht="14.25" customHeight="1">
      <c r="A534" s="25" t="s">
        <v>1233</v>
      </c>
      <c r="B534" s="25"/>
      <c r="C534" s="25" t="s">
        <v>1432</v>
      </c>
      <c r="D534" s="26" t="s">
        <v>1433</v>
      </c>
      <c r="E534" s="26" t="s">
        <v>1434</v>
      </c>
      <c r="F534" s="27">
        <v>6.0</v>
      </c>
      <c r="G534" s="28">
        <v>0.065</v>
      </c>
      <c r="H534" s="3"/>
      <c r="I534" s="29">
        <v>60.90410213933576</v>
      </c>
      <c r="J534" s="29">
        <f t="shared" si="76"/>
        <v>56.64081499</v>
      </c>
      <c r="K534" s="29">
        <f t="shared" si="56"/>
        <v>60.32246796</v>
      </c>
    </row>
    <row r="535" ht="14.25" customHeight="1">
      <c r="A535" s="25" t="s">
        <v>1233</v>
      </c>
      <c r="B535" s="25"/>
      <c r="C535" s="25" t="s">
        <v>1435</v>
      </c>
      <c r="D535" s="26" t="s">
        <v>1436</v>
      </c>
      <c r="E535" s="26" t="s">
        <v>1437</v>
      </c>
      <c r="F535" s="27">
        <v>6.0</v>
      </c>
      <c r="G535" s="28">
        <v>0.065</v>
      </c>
      <c r="H535" s="3"/>
      <c r="I535" s="29">
        <v>60.90410213933576</v>
      </c>
      <c r="J535" s="29">
        <f t="shared" si="76"/>
        <v>56.64081499</v>
      </c>
      <c r="K535" s="29">
        <f t="shared" si="56"/>
        <v>60.32246796</v>
      </c>
    </row>
    <row r="536" ht="14.25" customHeight="1">
      <c r="A536" s="31" t="s">
        <v>1233</v>
      </c>
      <c r="B536" s="31" t="s">
        <v>1234</v>
      </c>
      <c r="C536" s="31" t="s">
        <v>1438</v>
      </c>
      <c r="D536" s="32" t="s">
        <v>1439</v>
      </c>
      <c r="E536" s="32" t="s">
        <v>1440</v>
      </c>
      <c r="F536" s="33">
        <v>6.0</v>
      </c>
      <c r="G536" s="28">
        <v>0.065</v>
      </c>
      <c r="H536" s="3"/>
      <c r="I536" s="34">
        <v>79.79696559833938</v>
      </c>
      <c r="J536" s="34">
        <f t="shared" ref="J536:J538" si="77">IF(I536&lt;&gt;"",I536-(I536*0.05),"")</f>
        <v>75.80711732</v>
      </c>
      <c r="K536" s="34">
        <f t="shared" si="56"/>
        <v>80.73457994</v>
      </c>
    </row>
    <row r="537" ht="14.25" customHeight="1">
      <c r="A537" s="31" t="s">
        <v>1233</v>
      </c>
      <c r="B537" s="31" t="s">
        <v>1415</v>
      </c>
      <c r="C537" s="31" t="s">
        <v>1441</v>
      </c>
      <c r="D537" s="32" t="s">
        <v>1442</v>
      </c>
      <c r="E537" s="32" t="s">
        <v>1443</v>
      </c>
      <c r="F537" s="33">
        <v>6.0</v>
      </c>
      <c r="G537" s="28">
        <v>0.065</v>
      </c>
      <c r="H537" s="3"/>
      <c r="I537" s="34">
        <v>79.79696559833938</v>
      </c>
      <c r="J537" s="34">
        <f t="shared" si="77"/>
        <v>75.80711732</v>
      </c>
      <c r="K537" s="34">
        <f t="shared" si="56"/>
        <v>80.73457994</v>
      </c>
    </row>
    <row r="538" ht="14.25" customHeight="1">
      <c r="A538" s="31" t="s">
        <v>1233</v>
      </c>
      <c r="B538" s="31" t="s">
        <v>1234</v>
      </c>
      <c r="C538" s="31" t="s">
        <v>1444</v>
      </c>
      <c r="D538" s="32" t="s">
        <v>1445</v>
      </c>
      <c r="E538" s="32" t="s">
        <v>1446</v>
      </c>
      <c r="F538" s="33">
        <v>6.0</v>
      </c>
      <c r="G538" s="28">
        <v>0.065</v>
      </c>
      <c r="H538" s="3"/>
      <c r="I538" s="34">
        <v>79.79696559833938</v>
      </c>
      <c r="J538" s="34">
        <f t="shared" si="77"/>
        <v>75.80711732</v>
      </c>
      <c r="K538" s="34">
        <f t="shared" si="56"/>
        <v>80.73457994</v>
      </c>
    </row>
    <row r="539" ht="14.25" customHeight="1">
      <c r="A539" s="36"/>
      <c r="B539" s="36"/>
      <c r="C539" s="36"/>
      <c r="D539" s="3"/>
      <c r="E539" s="3"/>
      <c r="F539" s="37"/>
      <c r="G539" s="38"/>
      <c r="H539" s="3"/>
      <c r="I539" s="4"/>
      <c r="J539" s="4" t="str">
        <f t="shared" ref="J539:J556" si="78">IF(I539&lt;&gt;"",I539-(I539*0.07),"")</f>
        <v/>
      </c>
      <c r="K539" s="4" t="str">
        <f t="shared" si="56"/>
        <v/>
      </c>
    </row>
    <row r="540" ht="14.25" customHeight="1">
      <c r="A540" s="25" t="s">
        <v>1233</v>
      </c>
      <c r="B540" s="25"/>
      <c r="C540" s="25" t="s">
        <v>1447</v>
      </c>
      <c r="D540" s="26" t="s">
        <v>1448</v>
      </c>
      <c r="E540" s="26" t="s">
        <v>1449</v>
      </c>
      <c r="F540" s="27">
        <v>12.0</v>
      </c>
      <c r="G540" s="28">
        <v>0.065</v>
      </c>
      <c r="H540" s="3"/>
      <c r="I540" s="29">
        <v>25.6547583881925</v>
      </c>
      <c r="J540" s="29">
        <f t="shared" si="78"/>
        <v>23.8589253</v>
      </c>
      <c r="K540" s="29">
        <f t="shared" si="56"/>
        <v>25.40975545</v>
      </c>
    </row>
    <row r="541" ht="14.25" customHeight="1">
      <c r="A541" s="25" t="s">
        <v>1233</v>
      </c>
      <c r="B541" s="25"/>
      <c r="C541" s="25" t="s">
        <v>1450</v>
      </c>
      <c r="D541" s="26" t="s">
        <v>1451</v>
      </c>
      <c r="E541" s="26" t="s">
        <v>1452</v>
      </c>
      <c r="F541" s="27">
        <v>12.0</v>
      </c>
      <c r="G541" s="28">
        <v>0.065</v>
      </c>
      <c r="H541" s="3"/>
      <c r="I541" s="29">
        <v>25.6547583881925</v>
      </c>
      <c r="J541" s="29">
        <f t="shared" si="78"/>
        <v>23.8589253</v>
      </c>
      <c r="K541" s="29">
        <f t="shared" si="56"/>
        <v>25.40975545</v>
      </c>
    </row>
    <row r="542" ht="14.25" customHeight="1">
      <c r="A542" s="25" t="s">
        <v>1233</v>
      </c>
      <c r="B542" s="25" t="s">
        <v>1238</v>
      </c>
      <c r="C542" s="25" t="s">
        <v>1453</v>
      </c>
      <c r="D542" s="26" t="s">
        <v>1454</v>
      </c>
      <c r="E542" s="26" t="s">
        <v>1455</v>
      </c>
      <c r="F542" s="27">
        <v>6.0</v>
      </c>
      <c r="G542" s="28">
        <v>0.065</v>
      </c>
      <c r="H542" s="3"/>
      <c r="I542" s="29">
        <v>79.08149386792674</v>
      </c>
      <c r="J542" s="29">
        <f t="shared" si="78"/>
        <v>73.5457893</v>
      </c>
      <c r="K542" s="29">
        <f t="shared" si="56"/>
        <v>78.3262656</v>
      </c>
    </row>
    <row r="543" ht="14.25" customHeight="1">
      <c r="A543" s="25" t="s">
        <v>1233</v>
      </c>
      <c r="B543" s="25" t="s">
        <v>1398</v>
      </c>
      <c r="C543" s="25" t="s">
        <v>1456</v>
      </c>
      <c r="D543" s="26" t="s">
        <v>1457</v>
      </c>
      <c r="E543" s="26" t="s">
        <v>1458</v>
      </c>
      <c r="F543" s="27">
        <v>6.0</v>
      </c>
      <c r="G543" s="28">
        <v>0.065</v>
      </c>
      <c r="H543" s="3"/>
      <c r="I543" s="29">
        <v>79.08149386792674</v>
      </c>
      <c r="J543" s="29">
        <f t="shared" si="78"/>
        <v>73.5457893</v>
      </c>
      <c r="K543" s="29">
        <f t="shared" si="56"/>
        <v>78.3262656</v>
      </c>
    </row>
    <row r="544" ht="14.25" customHeight="1">
      <c r="A544" s="25" t="s">
        <v>1233</v>
      </c>
      <c r="B544" s="25" t="s">
        <v>1398</v>
      </c>
      <c r="C544" s="25" t="s">
        <v>1459</v>
      </c>
      <c r="D544" s="26" t="s">
        <v>1460</v>
      </c>
      <c r="E544" s="26" t="s">
        <v>1461</v>
      </c>
      <c r="F544" s="27">
        <v>6.0</v>
      </c>
      <c r="G544" s="28">
        <v>0.065</v>
      </c>
      <c r="H544" s="3"/>
      <c r="I544" s="29">
        <v>79.08149386792674</v>
      </c>
      <c r="J544" s="29">
        <f t="shared" si="78"/>
        <v>73.5457893</v>
      </c>
      <c r="K544" s="29">
        <f t="shared" si="56"/>
        <v>78.3262656</v>
      </c>
    </row>
    <row r="545" ht="14.25" customHeight="1">
      <c r="A545" s="25" t="s">
        <v>1233</v>
      </c>
      <c r="B545" s="25" t="s">
        <v>1398</v>
      </c>
      <c r="C545" s="25" t="s">
        <v>1462</v>
      </c>
      <c r="D545" s="26" t="s">
        <v>1463</v>
      </c>
      <c r="E545" s="26" t="s">
        <v>1464</v>
      </c>
      <c r="F545" s="27">
        <v>6.0</v>
      </c>
      <c r="G545" s="28">
        <v>0.065</v>
      </c>
      <c r="H545" s="3"/>
      <c r="I545" s="29">
        <v>79.08149386792674</v>
      </c>
      <c r="J545" s="29">
        <f t="shared" si="78"/>
        <v>73.5457893</v>
      </c>
      <c r="K545" s="29">
        <f t="shared" si="56"/>
        <v>78.3262656</v>
      </c>
    </row>
    <row r="546" ht="14.25" customHeight="1">
      <c r="A546" s="36"/>
      <c r="B546" s="36"/>
      <c r="C546" s="3"/>
      <c r="D546" s="3"/>
      <c r="E546" s="3"/>
      <c r="F546" s="3"/>
      <c r="G546" s="57"/>
      <c r="H546" s="3"/>
      <c r="I546" s="4"/>
      <c r="J546" s="4" t="str">
        <f t="shared" si="78"/>
        <v/>
      </c>
      <c r="K546" s="4" t="str">
        <f t="shared" si="56"/>
        <v/>
      </c>
    </row>
    <row r="547" ht="14.25" customHeight="1">
      <c r="A547" s="58" t="s">
        <v>1233</v>
      </c>
      <c r="B547" s="58"/>
      <c r="C547" s="59" t="s">
        <v>75</v>
      </c>
      <c r="D547" s="60" t="s">
        <v>1465</v>
      </c>
      <c r="E547" s="26" t="s">
        <v>1466</v>
      </c>
      <c r="F547" s="56">
        <v>12.0</v>
      </c>
      <c r="G547" s="28">
        <v>0.065</v>
      </c>
      <c r="H547" s="3"/>
      <c r="I547" s="29">
        <v>31.74585570156</v>
      </c>
      <c r="J547" s="29">
        <f t="shared" si="78"/>
        <v>29.5236458</v>
      </c>
      <c r="K547" s="29">
        <f t="shared" si="56"/>
        <v>31.44268278</v>
      </c>
    </row>
    <row r="548" ht="14.25" customHeight="1">
      <c r="A548" s="58" t="s">
        <v>1233</v>
      </c>
      <c r="B548" s="58"/>
      <c r="C548" s="59" t="s">
        <v>75</v>
      </c>
      <c r="D548" s="60" t="s">
        <v>1467</v>
      </c>
      <c r="E548" s="26" t="s">
        <v>1468</v>
      </c>
      <c r="F548" s="56">
        <v>12.0</v>
      </c>
      <c r="G548" s="28">
        <v>0.065</v>
      </c>
      <c r="H548" s="3"/>
      <c r="I548" s="29">
        <v>31.74585570156</v>
      </c>
      <c r="J548" s="29">
        <f t="shared" si="78"/>
        <v>29.5236458</v>
      </c>
      <c r="K548" s="29">
        <f t="shared" si="56"/>
        <v>31.44268278</v>
      </c>
    </row>
    <row r="549" ht="14.25" customHeight="1">
      <c r="A549" s="58" t="s">
        <v>1233</v>
      </c>
      <c r="B549" s="58"/>
      <c r="C549" s="59" t="s">
        <v>75</v>
      </c>
      <c r="D549" s="60" t="s">
        <v>1469</v>
      </c>
      <c r="E549" s="26" t="s">
        <v>1470</v>
      </c>
      <c r="F549" s="56">
        <v>12.0</v>
      </c>
      <c r="G549" s="28">
        <v>0.065</v>
      </c>
      <c r="H549" s="3"/>
      <c r="I549" s="29">
        <v>47.4384093722175</v>
      </c>
      <c r="J549" s="29">
        <f t="shared" si="78"/>
        <v>44.11772072</v>
      </c>
      <c r="K549" s="29">
        <f t="shared" si="56"/>
        <v>46.98537256</v>
      </c>
    </row>
    <row r="550" ht="14.25" customHeight="1">
      <c r="A550" s="25" t="s">
        <v>1233</v>
      </c>
      <c r="B550" s="25"/>
      <c r="C550" s="25" t="s">
        <v>75</v>
      </c>
      <c r="D550" s="26" t="s">
        <v>1471</v>
      </c>
      <c r="E550" s="26" t="s">
        <v>1472</v>
      </c>
      <c r="F550" s="27">
        <v>12.0</v>
      </c>
      <c r="G550" s="28">
        <v>0.065</v>
      </c>
      <c r="H550" s="3"/>
      <c r="I550" s="29">
        <v>47.4384093722175</v>
      </c>
      <c r="J550" s="29">
        <f t="shared" si="78"/>
        <v>44.11772072</v>
      </c>
      <c r="K550" s="29">
        <f t="shared" si="56"/>
        <v>46.98537256</v>
      </c>
    </row>
    <row r="551" ht="14.25" customHeight="1">
      <c r="A551" s="25" t="s">
        <v>1233</v>
      </c>
      <c r="B551" s="25" t="s">
        <v>1398</v>
      </c>
      <c r="C551" s="25" t="s">
        <v>75</v>
      </c>
      <c r="D551" s="26" t="s">
        <v>1473</v>
      </c>
      <c r="E551" s="26" t="s">
        <v>1474</v>
      </c>
      <c r="F551" s="27">
        <v>12.0</v>
      </c>
      <c r="G551" s="28">
        <v>0.065</v>
      </c>
      <c r="H551" s="3"/>
      <c r="I551" s="29">
        <v>61.854468845085</v>
      </c>
      <c r="J551" s="29">
        <f t="shared" si="78"/>
        <v>57.52465603</v>
      </c>
      <c r="K551" s="29">
        <f t="shared" si="56"/>
        <v>61.26375867</v>
      </c>
    </row>
    <row r="552" ht="14.25" customHeight="1">
      <c r="A552" s="36"/>
      <c r="B552" s="36"/>
      <c r="C552" s="36"/>
      <c r="D552" s="3"/>
      <c r="E552" s="3"/>
      <c r="F552" s="37"/>
      <c r="G552" s="38"/>
      <c r="H552" s="3"/>
      <c r="I552" s="4"/>
      <c r="J552" s="4" t="str">
        <f t="shared" si="78"/>
        <v/>
      </c>
      <c r="K552" s="4" t="str">
        <f t="shared" si="56"/>
        <v/>
      </c>
    </row>
    <row r="553" ht="14.25" customHeight="1">
      <c r="A553" s="36"/>
      <c r="B553" s="36"/>
      <c r="C553" s="3"/>
      <c r="D553" s="3"/>
      <c r="E553" s="3"/>
      <c r="F553" s="3"/>
      <c r="G553" s="3"/>
      <c r="H553" s="3"/>
      <c r="I553" s="4"/>
      <c r="J553" s="4" t="str">
        <f t="shared" si="78"/>
        <v/>
      </c>
      <c r="K553" s="4" t="str">
        <f t="shared" si="56"/>
        <v/>
      </c>
    </row>
    <row r="554" ht="14.25" customHeight="1">
      <c r="A554" s="30"/>
      <c r="B554" s="30"/>
      <c r="C554" s="30"/>
      <c r="D554" s="30"/>
      <c r="E554" s="30"/>
      <c r="F554" s="30"/>
      <c r="G554" s="30"/>
      <c r="H554" s="3"/>
      <c r="I554" s="4"/>
      <c r="J554" s="4" t="str">
        <f t="shared" si="78"/>
        <v/>
      </c>
      <c r="K554" s="4" t="str">
        <f t="shared" si="56"/>
        <v/>
      </c>
    </row>
    <row r="555" ht="14.25" customHeight="1">
      <c r="A555" s="25" t="s">
        <v>1475</v>
      </c>
      <c r="B555" s="25"/>
      <c r="C555" s="25" t="s">
        <v>1476</v>
      </c>
      <c r="D555" s="26" t="s">
        <v>1477</v>
      </c>
      <c r="E555" s="26" t="s">
        <v>1478</v>
      </c>
      <c r="F555" s="27">
        <v>6.0</v>
      </c>
      <c r="G555" s="28">
        <v>0.06500000000000002</v>
      </c>
      <c r="H555" s="3"/>
      <c r="I555" s="29">
        <v>59.98109247684225</v>
      </c>
      <c r="J555" s="29">
        <f t="shared" si="78"/>
        <v>55.782416</v>
      </c>
      <c r="K555" s="29">
        <f t="shared" si="56"/>
        <v>59.40827304</v>
      </c>
    </row>
    <row r="556" ht="14.25" customHeight="1">
      <c r="A556" s="25" t="s">
        <v>1475</v>
      </c>
      <c r="B556" s="25"/>
      <c r="C556" s="25" t="s">
        <v>1479</v>
      </c>
      <c r="D556" s="26" t="s">
        <v>1480</v>
      </c>
      <c r="E556" s="26" t="s">
        <v>1481</v>
      </c>
      <c r="F556" s="27">
        <v>6.0</v>
      </c>
      <c r="G556" s="28">
        <v>0.06500000000000002</v>
      </c>
      <c r="H556" s="3"/>
      <c r="I556" s="29">
        <v>59.98109247684225</v>
      </c>
      <c r="J556" s="29">
        <f t="shared" si="78"/>
        <v>55.782416</v>
      </c>
      <c r="K556" s="29">
        <f t="shared" si="56"/>
        <v>59.40827304</v>
      </c>
    </row>
    <row r="557" ht="14.25" customHeight="1">
      <c r="A557" s="31" t="s">
        <v>1475</v>
      </c>
      <c r="B557" s="31"/>
      <c r="C557" s="31" t="s">
        <v>1482</v>
      </c>
      <c r="D557" s="32" t="s">
        <v>1483</v>
      </c>
      <c r="E557" s="32" t="s">
        <v>1484</v>
      </c>
      <c r="F557" s="33">
        <v>6.0</v>
      </c>
      <c r="G557" s="28">
        <v>0.06500000000000002</v>
      </c>
      <c r="H557" s="3"/>
      <c r="I557" s="34">
        <v>147.11615276380383</v>
      </c>
      <c r="J557" s="34">
        <f t="shared" ref="J557:J560" si="79">IF(I557&lt;&gt;"",I557-(I557*0.05),"")</f>
        <v>139.7603451</v>
      </c>
      <c r="K557" s="34">
        <f t="shared" si="56"/>
        <v>148.8447676</v>
      </c>
    </row>
    <row r="558" ht="14.25" customHeight="1">
      <c r="A558" s="31" t="s">
        <v>1475</v>
      </c>
      <c r="B558" s="31"/>
      <c r="C558" s="31" t="s">
        <v>1485</v>
      </c>
      <c r="D558" s="32" t="s">
        <v>1486</v>
      </c>
      <c r="E558" s="32" t="s">
        <v>1487</v>
      </c>
      <c r="F558" s="33">
        <v>6.0</v>
      </c>
      <c r="G558" s="28">
        <v>0.06500000000000002</v>
      </c>
      <c r="H558" s="3"/>
      <c r="I558" s="34">
        <v>147.11615276380383</v>
      </c>
      <c r="J558" s="34">
        <f t="shared" si="79"/>
        <v>139.7603451</v>
      </c>
      <c r="K558" s="34">
        <f t="shared" si="56"/>
        <v>148.8447676</v>
      </c>
    </row>
    <row r="559" ht="14.25" customHeight="1">
      <c r="A559" s="31" t="s">
        <v>1475</v>
      </c>
      <c r="B559" s="31"/>
      <c r="C559" s="31" t="s">
        <v>1488</v>
      </c>
      <c r="D559" s="32" t="s">
        <v>1489</v>
      </c>
      <c r="E559" s="32" t="s">
        <v>1490</v>
      </c>
      <c r="F559" s="33">
        <v>6.0</v>
      </c>
      <c r="G559" s="28">
        <v>0.06500000000000002</v>
      </c>
      <c r="H559" s="3"/>
      <c r="I559" s="34">
        <v>151.7638232939284</v>
      </c>
      <c r="J559" s="34">
        <f t="shared" si="79"/>
        <v>144.1756321</v>
      </c>
      <c r="K559" s="34">
        <f t="shared" si="56"/>
        <v>153.5470482</v>
      </c>
    </row>
    <row r="560" ht="14.25" customHeight="1">
      <c r="A560" s="31" t="s">
        <v>1491</v>
      </c>
      <c r="B560" s="31"/>
      <c r="C560" s="31" t="s">
        <v>75</v>
      </c>
      <c r="D560" s="32" t="s">
        <v>1492</v>
      </c>
      <c r="E560" s="32" t="s">
        <v>1493</v>
      </c>
      <c r="F560" s="33">
        <v>1.0</v>
      </c>
      <c r="G560" s="28">
        <v>0.06500000000000002</v>
      </c>
      <c r="H560" s="3"/>
      <c r="I560" s="34">
        <v>659.5443589688374</v>
      </c>
      <c r="J560" s="34">
        <f t="shared" si="79"/>
        <v>626.567141</v>
      </c>
      <c r="K560" s="34">
        <f t="shared" si="56"/>
        <v>667.2940052</v>
      </c>
    </row>
    <row r="561" ht="14.25" customHeight="1">
      <c r="A561" s="25" t="s">
        <v>1475</v>
      </c>
      <c r="B561" s="25"/>
      <c r="C561" s="25" t="s">
        <v>1494</v>
      </c>
      <c r="D561" s="26" t="s">
        <v>1495</v>
      </c>
      <c r="E561" s="26" t="s">
        <v>1496</v>
      </c>
      <c r="F561" s="27">
        <v>12.0</v>
      </c>
      <c r="G561" s="28">
        <v>0.06500000000000002</v>
      </c>
      <c r="H561" s="3"/>
      <c r="I561" s="29">
        <v>22.65319392331289</v>
      </c>
      <c r="J561" s="29">
        <f t="shared" ref="J561:J574" si="80">IF(I561&lt;&gt;"",I561-(I561*0.07),"")</f>
        <v>21.06747035</v>
      </c>
      <c r="K561" s="29">
        <f t="shared" si="56"/>
        <v>22.43685592</v>
      </c>
    </row>
    <row r="562" ht="14.25" customHeight="1">
      <c r="A562" s="25" t="s">
        <v>1475</v>
      </c>
      <c r="B562" s="25"/>
      <c r="C562" s="25" t="s">
        <v>1497</v>
      </c>
      <c r="D562" s="26" t="s">
        <v>1498</v>
      </c>
      <c r="E562" s="26" t="s">
        <v>1499</v>
      </c>
      <c r="F562" s="27">
        <v>12.0</v>
      </c>
      <c r="G562" s="28">
        <v>0.06500000000000002</v>
      </c>
      <c r="H562" s="3"/>
      <c r="I562" s="29">
        <v>22.653193923297998</v>
      </c>
      <c r="J562" s="29">
        <f t="shared" si="80"/>
        <v>21.06747035</v>
      </c>
      <c r="K562" s="29">
        <f t="shared" si="56"/>
        <v>22.43685592</v>
      </c>
    </row>
    <row r="563" ht="14.25" customHeight="1">
      <c r="A563" s="25" t="s">
        <v>1475</v>
      </c>
      <c r="B563" s="25"/>
      <c r="C563" s="25" t="s">
        <v>1500</v>
      </c>
      <c r="D563" s="26" t="s">
        <v>1501</v>
      </c>
      <c r="E563" s="26" t="s">
        <v>1502</v>
      </c>
      <c r="F563" s="27">
        <v>12.0</v>
      </c>
      <c r="G563" s="28">
        <v>0.06500000000000002</v>
      </c>
      <c r="H563" s="3"/>
      <c r="I563" s="29">
        <v>29.003335936945053</v>
      </c>
      <c r="J563" s="29">
        <f t="shared" si="80"/>
        <v>26.97310242</v>
      </c>
      <c r="K563" s="29">
        <f t="shared" si="56"/>
        <v>28.72635408</v>
      </c>
    </row>
    <row r="564" ht="14.25" customHeight="1">
      <c r="A564" s="25" t="s">
        <v>1475</v>
      </c>
      <c r="B564" s="25"/>
      <c r="C564" s="25" t="s">
        <v>1503</v>
      </c>
      <c r="D564" s="26" t="s">
        <v>1504</v>
      </c>
      <c r="E564" s="26" t="s">
        <v>1505</v>
      </c>
      <c r="F564" s="27">
        <v>12.0</v>
      </c>
      <c r="G564" s="28">
        <v>0.06500000000000002</v>
      </c>
      <c r="H564" s="3"/>
      <c r="I564" s="29">
        <v>41.79770753423118</v>
      </c>
      <c r="J564" s="29">
        <f t="shared" si="80"/>
        <v>38.87186801</v>
      </c>
      <c r="K564" s="29">
        <f t="shared" si="56"/>
        <v>41.39853943</v>
      </c>
    </row>
    <row r="565" ht="14.25" customHeight="1">
      <c r="A565" s="25" t="s">
        <v>1475</v>
      </c>
      <c r="B565" s="25"/>
      <c r="C565" s="25" t="s">
        <v>1506</v>
      </c>
      <c r="D565" s="26" t="s">
        <v>1507</v>
      </c>
      <c r="E565" s="26" t="s">
        <v>1508</v>
      </c>
      <c r="F565" s="27">
        <v>12.0</v>
      </c>
      <c r="G565" s="28">
        <v>0.06500000000000002</v>
      </c>
      <c r="H565" s="3"/>
      <c r="I565" s="29">
        <v>41.79770753423118</v>
      </c>
      <c r="J565" s="29">
        <f t="shared" si="80"/>
        <v>38.87186801</v>
      </c>
      <c r="K565" s="29">
        <f t="shared" si="56"/>
        <v>41.39853943</v>
      </c>
    </row>
    <row r="566" ht="14.25" customHeight="1">
      <c r="A566" s="25" t="s">
        <v>1509</v>
      </c>
      <c r="B566" s="25"/>
      <c r="C566" s="25" t="s">
        <v>1510</v>
      </c>
      <c r="D566" s="26" t="s">
        <v>1511</v>
      </c>
      <c r="E566" s="26" t="s">
        <v>1512</v>
      </c>
      <c r="F566" s="27">
        <v>12.0</v>
      </c>
      <c r="G566" s="28">
        <v>0.06500000000000002</v>
      </c>
      <c r="H566" s="3"/>
      <c r="I566" s="29">
        <v>50.40820483971842</v>
      </c>
      <c r="J566" s="29">
        <f t="shared" si="80"/>
        <v>46.8796305</v>
      </c>
      <c r="K566" s="29">
        <f t="shared" si="56"/>
        <v>49.92680648</v>
      </c>
    </row>
    <row r="567" ht="14.25" customHeight="1">
      <c r="A567" s="25" t="s">
        <v>1513</v>
      </c>
      <c r="B567" s="25"/>
      <c r="C567" s="25" t="s">
        <v>1514</v>
      </c>
      <c r="D567" s="26" t="s">
        <v>1515</v>
      </c>
      <c r="E567" s="26" t="s">
        <v>1516</v>
      </c>
      <c r="F567" s="27">
        <v>12.0</v>
      </c>
      <c r="G567" s="28">
        <v>0.06500000000000002</v>
      </c>
      <c r="H567" s="3"/>
      <c r="I567" s="29">
        <v>50.40820483971842</v>
      </c>
      <c r="J567" s="29">
        <f t="shared" si="80"/>
        <v>46.8796305</v>
      </c>
      <c r="K567" s="29">
        <f t="shared" si="56"/>
        <v>49.92680648</v>
      </c>
    </row>
    <row r="568" ht="14.25" customHeight="1">
      <c r="A568" s="25" t="s">
        <v>1475</v>
      </c>
      <c r="B568" s="25"/>
      <c r="C568" s="25" t="s">
        <v>1517</v>
      </c>
      <c r="D568" s="26" t="s">
        <v>1518</v>
      </c>
      <c r="E568" s="26" t="s">
        <v>1519</v>
      </c>
      <c r="F568" s="27">
        <v>12.0</v>
      </c>
      <c r="G568" s="28">
        <v>0.06500000000000002</v>
      </c>
      <c r="H568" s="3"/>
      <c r="I568" s="29">
        <v>50.40820483971842</v>
      </c>
      <c r="J568" s="29">
        <f t="shared" si="80"/>
        <v>46.8796305</v>
      </c>
      <c r="K568" s="29">
        <f t="shared" si="56"/>
        <v>49.92680648</v>
      </c>
    </row>
    <row r="569" ht="14.25" customHeight="1">
      <c r="A569" s="25" t="s">
        <v>1475</v>
      </c>
      <c r="B569" s="25" t="s">
        <v>1520</v>
      </c>
      <c r="C569" s="25" t="s">
        <v>75</v>
      </c>
      <c r="D569" s="26" t="s">
        <v>1521</v>
      </c>
      <c r="E569" s="26" t="s">
        <v>1522</v>
      </c>
      <c r="F569" s="27">
        <v>6.0</v>
      </c>
      <c r="G569" s="28">
        <v>0.06500000000000002</v>
      </c>
      <c r="H569" s="3"/>
      <c r="I569" s="29">
        <v>59.98109247684225</v>
      </c>
      <c r="J569" s="29">
        <f t="shared" si="80"/>
        <v>55.782416</v>
      </c>
      <c r="K569" s="29">
        <f t="shared" si="56"/>
        <v>59.40827304</v>
      </c>
    </row>
    <row r="570" ht="14.25" customHeight="1">
      <c r="A570" s="25" t="s">
        <v>1523</v>
      </c>
      <c r="B570" s="25"/>
      <c r="C570" s="25" t="s">
        <v>1524</v>
      </c>
      <c r="D570" s="26" t="s">
        <v>1525</v>
      </c>
      <c r="E570" s="26" t="s">
        <v>1526</v>
      </c>
      <c r="F570" s="27">
        <v>12.0</v>
      </c>
      <c r="G570" s="28">
        <v>0.06500000000000002</v>
      </c>
      <c r="H570" s="3"/>
      <c r="I570" s="29">
        <v>59.80642549259364</v>
      </c>
      <c r="J570" s="29">
        <f t="shared" si="80"/>
        <v>55.61997571</v>
      </c>
      <c r="K570" s="29">
        <f t="shared" si="56"/>
        <v>59.23527413</v>
      </c>
    </row>
    <row r="571" ht="14.25" customHeight="1">
      <c r="A571" s="25" t="s">
        <v>1475</v>
      </c>
      <c r="B571" s="25" t="s">
        <v>1527</v>
      </c>
      <c r="C571" s="25" t="s">
        <v>75</v>
      </c>
      <c r="D571" s="26" t="s">
        <v>1528</v>
      </c>
      <c r="E571" s="26" t="s">
        <v>1529</v>
      </c>
      <c r="F571" s="27">
        <v>6.0</v>
      </c>
      <c r="G571" s="28">
        <v>0.06500000000000002</v>
      </c>
      <c r="H571" s="3"/>
      <c r="I571" s="29">
        <v>70.06812792228854</v>
      </c>
      <c r="J571" s="29">
        <f t="shared" si="80"/>
        <v>65.16335897</v>
      </c>
      <c r="K571" s="29">
        <f t="shared" si="56"/>
        <v>69.3989773</v>
      </c>
    </row>
    <row r="572" ht="14.25" customHeight="1">
      <c r="A572" s="25" t="s">
        <v>1475</v>
      </c>
      <c r="B572" s="25"/>
      <c r="C572" s="25" t="s">
        <v>1530</v>
      </c>
      <c r="D572" s="26" t="s">
        <v>1531</v>
      </c>
      <c r="E572" s="26" t="s">
        <v>1532</v>
      </c>
      <c r="F572" s="27">
        <v>12.0</v>
      </c>
      <c r="G572" s="28">
        <v>0.06500000000000002</v>
      </c>
      <c r="H572" s="3"/>
      <c r="I572" s="29">
        <v>72.0259936550019</v>
      </c>
      <c r="J572" s="29">
        <f t="shared" si="80"/>
        <v>66.9841741</v>
      </c>
      <c r="K572" s="29">
        <f t="shared" si="56"/>
        <v>71.33814542</v>
      </c>
    </row>
    <row r="573" ht="14.25" customHeight="1">
      <c r="A573" s="25" t="s">
        <v>1475</v>
      </c>
      <c r="B573" s="25" t="s">
        <v>1533</v>
      </c>
      <c r="C573" s="25" t="s">
        <v>75</v>
      </c>
      <c r="D573" s="26" t="s">
        <v>1534</v>
      </c>
      <c r="E573" s="26" t="s">
        <v>1535</v>
      </c>
      <c r="F573" s="27">
        <v>6.0</v>
      </c>
      <c r="G573" s="28">
        <v>0.06500000000000002</v>
      </c>
      <c r="H573" s="3"/>
      <c r="I573" s="29">
        <v>96.95763919226778</v>
      </c>
      <c r="J573" s="29">
        <f t="shared" si="80"/>
        <v>90.17060445</v>
      </c>
      <c r="K573" s="29">
        <f t="shared" si="56"/>
        <v>96.03169374</v>
      </c>
    </row>
    <row r="574" ht="14.25" customHeight="1">
      <c r="A574" s="25" t="s">
        <v>1475</v>
      </c>
      <c r="B574" s="25" t="s">
        <v>1475</v>
      </c>
      <c r="C574" s="25" t="s">
        <v>75</v>
      </c>
      <c r="D574" s="26" t="s">
        <v>1536</v>
      </c>
      <c r="E574" s="26" t="s">
        <v>1537</v>
      </c>
      <c r="F574" s="27">
        <v>6.0</v>
      </c>
      <c r="G574" s="28">
        <v>0.06500000000000002</v>
      </c>
      <c r="H574" s="3"/>
      <c r="I574" s="29">
        <v>123.84715046224704</v>
      </c>
      <c r="J574" s="29">
        <f t="shared" si="80"/>
        <v>115.1778499</v>
      </c>
      <c r="K574" s="29">
        <f t="shared" si="56"/>
        <v>122.6644102</v>
      </c>
    </row>
    <row r="575" ht="14.25" customHeight="1">
      <c r="A575" s="31" t="s">
        <v>1475</v>
      </c>
      <c r="B575" s="31" t="s">
        <v>1538</v>
      </c>
      <c r="C575" s="31" t="s">
        <v>75</v>
      </c>
      <c r="D575" s="32" t="s">
        <v>1539</v>
      </c>
      <c r="E575" s="32" t="s">
        <v>1540</v>
      </c>
      <c r="F575" s="33">
        <v>6.0</v>
      </c>
      <c r="G575" s="28">
        <v>0.06500000000000002</v>
      </c>
      <c r="H575" s="3"/>
      <c r="I575" s="34">
        <v>177.2938251256098</v>
      </c>
      <c r="J575" s="34">
        <f>IF(I575&lt;&gt;"",I575-(I575*0.05),"")</f>
        <v>168.4291339</v>
      </c>
      <c r="K575" s="34">
        <f t="shared" si="56"/>
        <v>179.3770276</v>
      </c>
    </row>
    <row r="576" ht="14.25" customHeight="1">
      <c r="A576" s="36"/>
      <c r="B576" s="36"/>
      <c r="C576" s="3"/>
      <c r="D576" s="3"/>
      <c r="E576" s="3"/>
      <c r="F576" s="3"/>
      <c r="G576" s="3"/>
      <c r="H576" s="3"/>
      <c r="I576" s="4"/>
      <c r="J576" s="4" t="str">
        <f t="shared" ref="J576:J580" si="81">IF(I576&lt;&gt;"",I576-(I576*0.07),"")</f>
        <v/>
      </c>
      <c r="K576" s="4" t="str">
        <f t="shared" si="56"/>
        <v/>
      </c>
    </row>
    <row r="577" ht="14.25" customHeight="1">
      <c r="A577" s="36"/>
      <c r="B577" s="36"/>
      <c r="C577" s="3"/>
      <c r="D577" s="3"/>
      <c r="E577" s="3"/>
      <c r="F577" s="3"/>
      <c r="G577" s="3"/>
      <c r="H577" s="3"/>
      <c r="I577" s="4"/>
      <c r="J577" s="4" t="str">
        <f t="shared" si="81"/>
        <v/>
      </c>
      <c r="K577" s="4" t="str">
        <f t="shared" si="56"/>
        <v/>
      </c>
    </row>
    <row r="578" ht="14.25" customHeight="1">
      <c r="A578" s="30"/>
      <c r="B578" s="30"/>
      <c r="C578" s="30"/>
      <c r="D578" s="30"/>
      <c r="E578" s="30"/>
      <c r="F578" s="30"/>
      <c r="G578" s="30"/>
      <c r="H578" s="3"/>
      <c r="I578" s="4"/>
      <c r="J578" s="4" t="str">
        <f t="shared" si="81"/>
        <v/>
      </c>
      <c r="K578" s="4" t="str">
        <f t="shared" si="56"/>
        <v/>
      </c>
    </row>
    <row r="579" ht="14.25" customHeight="1">
      <c r="A579" s="25" t="s">
        <v>1541</v>
      </c>
      <c r="B579" s="25"/>
      <c r="C579" s="25" t="s">
        <v>1542</v>
      </c>
      <c r="D579" s="26" t="s">
        <v>1543</v>
      </c>
      <c r="E579" s="26" t="s">
        <v>1544</v>
      </c>
      <c r="F579" s="27">
        <v>12.0</v>
      </c>
      <c r="G579" s="28">
        <v>0.065</v>
      </c>
      <c r="H579" s="3"/>
      <c r="I579" s="29">
        <v>53.57399069211322</v>
      </c>
      <c r="J579" s="29">
        <f t="shared" si="81"/>
        <v>49.82381134</v>
      </c>
      <c r="K579" s="29">
        <f t="shared" si="56"/>
        <v>53.06235908</v>
      </c>
    </row>
    <row r="580" ht="14.25" customHeight="1">
      <c r="A580" s="25" t="s">
        <v>1541</v>
      </c>
      <c r="B580" s="25"/>
      <c r="C580" s="25" t="s">
        <v>1545</v>
      </c>
      <c r="D580" s="26" t="s">
        <v>1546</v>
      </c>
      <c r="E580" s="26" t="s">
        <v>1547</v>
      </c>
      <c r="F580" s="27">
        <v>12.0</v>
      </c>
      <c r="G580" s="28">
        <v>0.065</v>
      </c>
      <c r="H580" s="3"/>
      <c r="I580" s="29">
        <v>53.57399069211322</v>
      </c>
      <c r="J580" s="29">
        <f t="shared" si="81"/>
        <v>49.82381134</v>
      </c>
      <c r="K580" s="29">
        <f t="shared" si="56"/>
        <v>53.06235908</v>
      </c>
    </row>
    <row r="581" ht="14.25" customHeight="1">
      <c r="A581" s="31" t="s">
        <v>1548</v>
      </c>
      <c r="B581" s="31" t="s">
        <v>1549</v>
      </c>
      <c r="C581" s="31" t="s">
        <v>1550</v>
      </c>
      <c r="D581" s="32" t="s">
        <v>1551</v>
      </c>
      <c r="E581" s="32" t="s">
        <v>1552</v>
      </c>
      <c r="F581" s="33">
        <v>12.0</v>
      </c>
      <c r="G581" s="28">
        <v>0.065</v>
      </c>
      <c r="H581" s="3"/>
      <c r="I581" s="34">
        <v>261.87468070921676</v>
      </c>
      <c r="J581" s="34">
        <f t="shared" ref="J581:J586" si="82">IF(I581&lt;&gt;"",I581-(I581*0.05),"")</f>
        <v>248.7809467</v>
      </c>
      <c r="K581" s="34">
        <f t="shared" si="56"/>
        <v>264.9517082</v>
      </c>
    </row>
    <row r="582" ht="14.25" customHeight="1">
      <c r="A582" s="31" t="s">
        <v>1548</v>
      </c>
      <c r="B582" s="31"/>
      <c r="C582" s="31" t="s">
        <v>1553</v>
      </c>
      <c r="D582" s="32" t="s">
        <v>1554</v>
      </c>
      <c r="E582" s="32" t="s">
        <v>1555</v>
      </c>
      <c r="F582" s="33">
        <v>12.0</v>
      </c>
      <c r="G582" s="28">
        <v>0.06500000000000002</v>
      </c>
      <c r="H582" s="3"/>
      <c r="I582" s="34">
        <v>272.5517593427608</v>
      </c>
      <c r="J582" s="34">
        <f t="shared" si="82"/>
        <v>258.9241714</v>
      </c>
      <c r="K582" s="34">
        <f t="shared" si="56"/>
        <v>275.7542425</v>
      </c>
    </row>
    <row r="583" ht="14.25" customHeight="1">
      <c r="A583" s="31" t="s">
        <v>1548</v>
      </c>
      <c r="B583" s="31"/>
      <c r="C583" s="31" t="s">
        <v>1556</v>
      </c>
      <c r="D583" s="32" t="s">
        <v>1557</v>
      </c>
      <c r="E583" s="32" t="s">
        <v>1558</v>
      </c>
      <c r="F583" s="33">
        <v>6.0</v>
      </c>
      <c r="G583" s="28">
        <v>0.065</v>
      </c>
      <c r="H583" s="3"/>
      <c r="I583" s="34">
        <v>328.3495545714582</v>
      </c>
      <c r="J583" s="34">
        <f t="shared" si="82"/>
        <v>311.9320768</v>
      </c>
      <c r="K583" s="34">
        <f t="shared" si="56"/>
        <v>332.2076618</v>
      </c>
    </row>
    <row r="584" ht="14.25" customHeight="1">
      <c r="A584" s="31" t="s">
        <v>1548</v>
      </c>
      <c r="B584" s="31"/>
      <c r="C584" s="31" t="s">
        <v>1559</v>
      </c>
      <c r="D584" s="32" t="s">
        <v>1560</v>
      </c>
      <c r="E584" s="32" t="s">
        <v>1561</v>
      </c>
      <c r="F584" s="33">
        <v>12.0</v>
      </c>
      <c r="G584" s="28">
        <v>0.065</v>
      </c>
      <c r="H584" s="3"/>
      <c r="I584" s="34">
        <v>352.5459962633939</v>
      </c>
      <c r="J584" s="34">
        <f t="shared" si="82"/>
        <v>334.9186965</v>
      </c>
      <c r="K584" s="34">
        <f t="shared" si="56"/>
        <v>356.6884117</v>
      </c>
    </row>
    <row r="585" ht="14.25" customHeight="1">
      <c r="A585" s="31" t="s">
        <v>1548</v>
      </c>
      <c r="B585" s="31" t="s">
        <v>1562</v>
      </c>
      <c r="C585" s="31" t="s">
        <v>1563</v>
      </c>
      <c r="D585" s="32" t="s">
        <v>1564</v>
      </c>
      <c r="E585" s="32" t="s">
        <v>1565</v>
      </c>
      <c r="F585" s="33">
        <v>6.0</v>
      </c>
      <c r="G585" s="28">
        <v>0.065</v>
      </c>
      <c r="H585" s="3"/>
      <c r="I585" s="34">
        <v>540.9237204507273</v>
      </c>
      <c r="J585" s="34">
        <f t="shared" si="82"/>
        <v>513.8775344</v>
      </c>
      <c r="K585" s="34">
        <f t="shared" si="56"/>
        <v>547.2795742</v>
      </c>
    </row>
    <row r="586" ht="14.25" customHeight="1">
      <c r="A586" s="31" t="s">
        <v>1548</v>
      </c>
      <c r="B586" s="31" t="s">
        <v>1562</v>
      </c>
      <c r="C586" s="31" t="s">
        <v>1566</v>
      </c>
      <c r="D586" s="32" t="s">
        <v>1567</v>
      </c>
      <c r="E586" s="32" t="s">
        <v>1568</v>
      </c>
      <c r="F586" s="33">
        <v>6.0</v>
      </c>
      <c r="G586" s="28">
        <v>0.065</v>
      </c>
      <c r="H586" s="3"/>
      <c r="I586" s="34">
        <v>1046.2408929572232</v>
      </c>
      <c r="J586" s="34">
        <f t="shared" si="82"/>
        <v>993.9288483</v>
      </c>
      <c r="K586" s="34">
        <f t="shared" si="56"/>
        <v>1058.534223</v>
      </c>
    </row>
    <row r="587" ht="14.25" customHeight="1">
      <c r="A587" s="36"/>
      <c r="B587" s="36"/>
      <c r="C587" s="3"/>
      <c r="D587" s="3"/>
      <c r="E587" s="3"/>
      <c r="F587" s="3"/>
      <c r="G587" s="3"/>
      <c r="H587" s="3"/>
      <c r="I587" s="4"/>
      <c r="J587" s="4" t="str">
        <f>IF(I587&lt;&gt;"",I587-(I587*0.07),"")</f>
        <v/>
      </c>
      <c r="K587" s="4" t="str">
        <f t="shared" si="56"/>
        <v/>
      </c>
    </row>
    <row r="588" ht="14.25" customHeight="1">
      <c r="A588" s="31" t="s">
        <v>1569</v>
      </c>
      <c r="B588" s="31"/>
      <c r="C588" s="31" t="s">
        <v>1570</v>
      </c>
      <c r="D588" s="32" t="s">
        <v>1571</v>
      </c>
      <c r="E588" s="32" t="s">
        <v>1572</v>
      </c>
      <c r="F588" s="33">
        <v>12.0</v>
      </c>
      <c r="G588" s="28">
        <v>0.065</v>
      </c>
      <c r="H588" s="3"/>
      <c r="I588" s="34">
        <v>89.05915877665629</v>
      </c>
      <c r="J588" s="34">
        <f t="shared" ref="J588:J596" si="83">IF(I588&lt;&gt;"",I588-(I588*0.05),"")</f>
        <v>84.60620084</v>
      </c>
      <c r="K588" s="34">
        <f t="shared" si="56"/>
        <v>90.10560389</v>
      </c>
    </row>
    <row r="589" ht="14.25" customHeight="1">
      <c r="A589" s="31" t="s">
        <v>1569</v>
      </c>
      <c r="B589" s="31"/>
      <c r="C589" s="31" t="s">
        <v>1573</v>
      </c>
      <c r="D589" s="32" t="s">
        <v>1574</v>
      </c>
      <c r="E589" s="32" t="s">
        <v>1575</v>
      </c>
      <c r="F589" s="33">
        <v>12.0</v>
      </c>
      <c r="G589" s="28">
        <v>0.065</v>
      </c>
      <c r="H589" s="3"/>
      <c r="I589" s="34">
        <v>89.05915877665629</v>
      </c>
      <c r="J589" s="34">
        <f t="shared" si="83"/>
        <v>84.60620084</v>
      </c>
      <c r="K589" s="34">
        <f t="shared" si="56"/>
        <v>90.10560389</v>
      </c>
    </row>
    <row r="590" ht="14.25" customHeight="1">
      <c r="A590" s="31" t="s">
        <v>1569</v>
      </c>
      <c r="B590" s="31"/>
      <c r="C590" s="31" t="s">
        <v>1576</v>
      </c>
      <c r="D590" s="32" t="s">
        <v>1577</v>
      </c>
      <c r="E590" s="32" t="s">
        <v>1578</v>
      </c>
      <c r="F590" s="33">
        <v>12.0</v>
      </c>
      <c r="G590" s="28">
        <v>0.065</v>
      </c>
      <c r="H590" s="3"/>
      <c r="I590" s="34">
        <v>89.05915877665629</v>
      </c>
      <c r="J590" s="34">
        <f t="shared" si="83"/>
        <v>84.60620084</v>
      </c>
      <c r="K590" s="34">
        <f t="shared" si="56"/>
        <v>90.10560389</v>
      </c>
    </row>
    <row r="591" ht="14.25" customHeight="1">
      <c r="A591" s="31" t="s">
        <v>1569</v>
      </c>
      <c r="B591" s="31"/>
      <c r="C591" s="31" t="s">
        <v>1579</v>
      </c>
      <c r="D591" s="32" t="s">
        <v>1580</v>
      </c>
      <c r="E591" s="32" t="s">
        <v>1581</v>
      </c>
      <c r="F591" s="33">
        <v>12.0</v>
      </c>
      <c r="G591" s="28">
        <v>0.065</v>
      </c>
      <c r="H591" s="3"/>
      <c r="I591" s="34">
        <v>89.05915877665629</v>
      </c>
      <c r="J591" s="34">
        <f t="shared" si="83"/>
        <v>84.60620084</v>
      </c>
      <c r="K591" s="34">
        <f t="shared" si="56"/>
        <v>90.10560389</v>
      </c>
    </row>
    <row r="592" ht="14.25" customHeight="1">
      <c r="A592" s="31" t="s">
        <v>1582</v>
      </c>
      <c r="B592" s="31"/>
      <c r="C592" s="31" t="s">
        <v>1583</v>
      </c>
      <c r="D592" s="32" t="s">
        <v>1584</v>
      </c>
      <c r="E592" s="32" t="s">
        <v>1585</v>
      </c>
      <c r="F592" s="33">
        <v>12.0</v>
      </c>
      <c r="G592" s="28">
        <v>0.065</v>
      </c>
      <c r="H592" s="3"/>
      <c r="I592" s="34">
        <v>101.58177438604774</v>
      </c>
      <c r="J592" s="34">
        <f t="shared" si="83"/>
        <v>96.50268567</v>
      </c>
      <c r="K592" s="34">
        <f t="shared" si="56"/>
        <v>102.7753602</v>
      </c>
    </row>
    <row r="593" ht="14.25" customHeight="1">
      <c r="A593" s="31" t="s">
        <v>1582</v>
      </c>
      <c r="B593" s="31"/>
      <c r="C593" s="31" t="s">
        <v>1586</v>
      </c>
      <c r="D593" s="32" t="s">
        <v>1587</v>
      </c>
      <c r="E593" s="32" t="s">
        <v>1588</v>
      </c>
      <c r="F593" s="33">
        <v>12.0</v>
      </c>
      <c r="G593" s="28">
        <v>0.065</v>
      </c>
      <c r="H593" s="3"/>
      <c r="I593" s="34">
        <v>101.58177438604774</v>
      </c>
      <c r="J593" s="34">
        <f t="shared" si="83"/>
        <v>96.50268567</v>
      </c>
      <c r="K593" s="34">
        <f t="shared" si="56"/>
        <v>102.7753602</v>
      </c>
    </row>
    <row r="594" ht="14.25" customHeight="1">
      <c r="A594" s="31" t="s">
        <v>1582</v>
      </c>
      <c r="B594" s="31"/>
      <c r="C594" s="31" t="s">
        <v>1589</v>
      </c>
      <c r="D594" s="32" t="s">
        <v>1590</v>
      </c>
      <c r="E594" s="32" t="s">
        <v>1591</v>
      </c>
      <c r="F594" s="33">
        <v>12.0</v>
      </c>
      <c r="G594" s="28">
        <v>0.065</v>
      </c>
      <c r="H594" s="3"/>
      <c r="I594" s="34">
        <v>101.58177438604774</v>
      </c>
      <c r="J594" s="34">
        <f t="shared" si="83"/>
        <v>96.50268567</v>
      </c>
      <c r="K594" s="34">
        <f t="shared" si="56"/>
        <v>102.7753602</v>
      </c>
    </row>
    <row r="595" ht="14.25" customHeight="1">
      <c r="A595" s="31" t="s">
        <v>1592</v>
      </c>
      <c r="B595" s="31"/>
      <c r="C595" s="31" t="s">
        <v>75</v>
      </c>
      <c r="D595" s="32" t="s">
        <v>1593</v>
      </c>
      <c r="E595" s="32" t="s">
        <v>1594</v>
      </c>
      <c r="F595" s="33">
        <v>12.0</v>
      </c>
      <c r="G595" s="28">
        <v>0.06500000000000002</v>
      </c>
      <c r="H595" s="3"/>
      <c r="I595" s="34">
        <v>101.58177438604774</v>
      </c>
      <c r="J595" s="34">
        <f t="shared" si="83"/>
        <v>96.50268567</v>
      </c>
      <c r="K595" s="34">
        <f t="shared" si="56"/>
        <v>102.7753602</v>
      </c>
    </row>
    <row r="596" ht="14.25" customHeight="1">
      <c r="A596" s="31" t="s">
        <v>1592</v>
      </c>
      <c r="B596" s="31"/>
      <c r="C596" s="31" t="s">
        <v>75</v>
      </c>
      <c r="D596" s="32" t="s">
        <v>1595</v>
      </c>
      <c r="E596" s="32" t="s">
        <v>1596</v>
      </c>
      <c r="F596" s="33">
        <v>12.0</v>
      </c>
      <c r="G596" s="28">
        <v>0.06500000000000002</v>
      </c>
      <c r="H596" s="3"/>
      <c r="I596" s="34">
        <v>102.75085457319669</v>
      </c>
      <c r="J596" s="34">
        <f t="shared" si="83"/>
        <v>97.61331184</v>
      </c>
      <c r="K596" s="34">
        <f t="shared" si="56"/>
        <v>103.9581771</v>
      </c>
    </row>
    <row r="597" ht="14.25" customHeight="1">
      <c r="A597" s="36"/>
      <c r="B597" s="36"/>
      <c r="C597" s="3"/>
      <c r="D597" s="3"/>
      <c r="E597" s="3"/>
      <c r="F597" s="3"/>
      <c r="G597" s="3"/>
      <c r="H597" s="3"/>
      <c r="I597" s="4"/>
      <c r="J597" s="4" t="str">
        <f t="shared" ref="J597:J606" si="84">IF(I597&lt;&gt;"",I597-(I597*0.07),"")</f>
        <v/>
      </c>
      <c r="K597" s="4" t="str">
        <f t="shared" si="56"/>
        <v/>
      </c>
    </row>
    <row r="598" ht="14.25" customHeight="1">
      <c r="A598" s="25" t="s">
        <v>1541</v>
      </c>
      <c r="B598" s="25"/>
      <c r="C598" s="25" t="s">
        <v>1597</v>
      </c>
      <c r="D598" s="26" t="s">
        <v>1598</v>
      </c>
      <c r="E598" s="26" t="s">
        <v>1599</v>
      </c>
      <c r="F598" s="27">
        <v>12.0</v>
      </c>
      <c r="G598" s="28">
        <v>0.065</v>
      </c>
      <c r="H598" s="3"/>
      <c r="I598" s="29">
        <v>62.62401559344238</v>
      </c>
      <c r="J598" s="29">
        <f t="shared" si="84"/>
        <v>58.2403345</v>
      </c>
      <c r="K598" s="29">
        <f t="shared" si="56"/>
        <v>62.02595624</v>
      </c>
    </row>
    <row r="599" ht="14.25" customHeight="1">
      <c r="A599" s="25" t="s">
        <v>1541</v>
      </c>
      <c r="B599" s="25"/>
      <c r="C599" s="25" t="s">
        <v>1600</v>
      </c>
      <c r="D599" s="26" t="s">
        <v>1601</v>
      </c>
      <c r="E599" s="26" t="s">
        <v>1602</v>
      </c>
      <c r="F599" s="27">
        <v>12.0</v>
      </c>
      <c r="G599" s="28">
        <v>0.065</v>
      </c>
      <c r="H599" s="3"/>
      <c r="I599" s="29">
        <v>62.62401559344238</v>
      </c>
      <c r="J599" s="29">
        <f t="shared" si="84"/>
        <v>58.2403345</v>
      </c>
      <c r="K599" s="29">
        <f t="shared" si="56"/>
        <v>62.02595624</v>
      </c>
    </row>
    <row r="600" ht="14.25" customHeight="1">
      <c r="A600" s="25" t="s">
        <v>1541</v>
      </c>
      <c r="B600" s="25"/>
      <c r="C600" s="25" t="s">
        <v>1603</v>
      </c>
      <c r="D600" s="26" t="s">
        <v>1604</v>
      </c>
      <c r="E600" s="26" t="s">
        <v>1605</v>
      </c>
      <c r="F600" s="27">
        <v>12.0</v>
      </c>
      <c r="G600" s="28">
        <v>0.065</v>
      </c>
      <c r="H600" s="3"/>
      <c r="I600" s="29">
        <v>62.62401559344238</v>
      </c>
      <c r="J600" s="29">
        <f t="shared" si="84"/>
        <v>58.2403345</v>
      </c>
      <c r="K600" s="29">
        <f t="shared" si="56"/>
        <v>62.02595624</v>
      </c>
    </row>
    <row r="601" ht="14.25" customHeight="1">
      <c r="A601" s="25" t="s">
        <v>1541</v>
      </c>
      <c r="B601" s="25"/>
      <c r="C601" s="25" t="s">
        <v>1606</v>
      </c>
      <c r="D601" s="26" t="s">
        <v>1607</v>
      </c>
      <c r="E601" s="26" t="s">
        <v>1608</v>
      </c>
      <c r="F601" s="27">
        <v>12.0</v>
      </c>
      <c r="G601" s="28">
        <v>0.065</v>
      </c>
      <c r="H601" s="3"/>
      <c r="I601" s="29">
        <v>62.62401559344238</v>
      </c>
      <c r="J601" s="29">
        <f t="shared" si="84"/>
        <v>58.2403345</v>
      </c>
      <c r="K601" s="29">
        <f t="shared" si="56"/>
        <v>62.02595624</v>
      </c>
    </row>
    <row r="602" ht="14.25" customHeight="1">
      <c r="A602" s="25" t="s">
        <v>1541</v>
      </c>
      <c r="B602" s="25"/>
      <c r="C602" s="25" t="s">
        <v>1609</v>
      </c>
      <c r="D602" s="26" t="s">
        <v>1610</v>
      </c>
      <c r="E602" s="26" t="s">
        <v>1611</v>
      </c>
      <c r="F602" s="27">
        <v>6.0</v>
      </c>
      <c r="G602" s="28">
        <v>0.065</v>
      </c>
      <c r="H602" s="3"/>
      <c r="I602" s="29">
        <v>62.62401559344238</v>
      </c>
      <c r="J602" s="29">
        <f t="shared" si="84"/>
        <v>58.2403345</v>
      </c>
      <c r="K602" s="29">
        <f t="shared" si="56"/>
        <v>62.02595624</v>
      </c>
    </row>
    <row r="603" ht="14.25" customHeight="1">
      <c r="A603" s="25" t="s">
        <v>1541</v>
      </c>
      <c r="B603" s="25"/>
      <c r="C603" s="25" t="s">
        <v>1612</v>
      </c>
      <c r="D603" s="26" t="s">
        <v>1613</v>
      </c>
      <c r="E603" s="26" t="s">
        <v>1614</v>
      </c>
      <c r="F603" s="27">
        <v>12.0</v>
      </c>
      <c r="G603" s="28">
        <v>0.065</v>
      </c>
      <c r="H603" s="3"/>
      <c r="I603" s="29">
        <v>62.62401559344238</v>
      </c>
      <c r="J603" s="29">
        <f t="shared" si="84"/>
        <v>58.2403345</v>
      </c>
      <c r="K603" s="29">
        <f t="shared" si="56"/>
        <v>62.02595624</v>
      </c>
    </row>
    <row r="604" ht="14.25" customHeight="1">
      <c r="A604" s="25" t="s">
        <v>1541</v>
      </c>
      <c r="B604" s="25"/>
      <c r="C604" s="25" t="s">
        <v>1615</v>
      </c>
      <c r="D604" s="26" t="s">
        <v>1616</v>
      </c>
      <c r="E604" s="26" t="s">
        <v>1617</v>
      </c>
      <c r="F604" s="27">
        <v>12.0</v>
      </c>
      <c r="G604" s="28">
        <v>0.065</v>
      </c>
      <c r="H604" s="3"/>
      <c r="I604" s="29">
        <v>62.62401559344238</v>
      </c>
      <c r="J604" s="29">
        <f t="shared" si="84"/>
        <v>58.2403345</v>
      </c>
      <c r="K604" s="29">
        <f t="shared" si="56"/>
        <v>62.02595624</v>
      </c>
    </row>
    <row r="605" ht="14.25" customHeight="1">
      <c r="A605" s="25" t="s">
        <v>1592</v>
      </c>
      <c r="B605" s="25"/>
      <c r="C605" s="25" t="s">
        <v>1618</v>
      </c>
      <c r="D605" s="26" t="s">
        <v>1619</v>
      </c>
      <c r="E605" s="26" t="s">
        <v>1620</v>
      </c>
      <c r="F605" s="27">
        <v>12.0</v>
      </c>
      <c r="G605" s="28">
        <v>0.065</v>
      </c>
      <c r="H605" s="3"/>
      <c r="I605" s="29">
        <v>62.62401559344238</v>
      </c>
      <c r="J605" s="29">
        <f t="shared" si="84"/>
        <v>58.2403345</v>
      </c>
      <c r="K605" s="29">
        <f t="shared" si="56"/>
        <v>62.02595624</v>
      </c>
    </row>
    <row r="606" ht="14.25" customHeight="1">
      <c r="A606" s="36"/>
      <c r="B606" s="36"/>
      <c r="C606" s="36"/>
      <c r="D606" s="3"/>
      <c r="E606" s="3"/>
      <c r="F606" s="37"/>
      <c r="G606" s="38"/>
      <c r="H606" s="3"/>
      <c r="I606" s="4"/>
      <c r="J606" s="4" t="str">
        <f t="shared" si="84"/>
        <v/>
      </c>
      <c r="K606" s="4" t="str">
        <f t="shared" si="56"/>
        <v/>
      </c>
    </row>
    <row r="607" ht="14.25" customHeight="1">
      <c r="A607" s="31" t="s">
        <v>1592</v>
      </c>
      <c r="B607" s="31" t="s">
        <v>1548</v>
      </c>
      <c r="C607" s="31" t="s">
        <v>1621</v>
      </c>
      <c r="D607" s="32" t="s">
        <v>1622</v>
      </c>
      <c r="E607" s="32" t="s">
        <v>1623</v>
      </c>
      <c r="F607" s="33">
        <v>12.0</v>
      </c>
      <c r="G607" s="28">
        <v>0.065</v>
      </c>
      <c r="H607" s="3"/>
      <c r="I607" s="34">
        <v>438.080250235341</v>
      </c>
      <c r="J607" s="34">
        <f t="shared" ref="J607:J610" si="85">IF(I607&lt;&gt;"",I607-(I607*0.05),"")</f>
        <v>416.1762377</v>
      </c>
      <c r="K607" s="34">
        <f t="shared" si="56"/>
        <v>443.2276932</v>
      </c>
    </row>
    <row r="608" ht="14.25" customHeight="1">
      <c r="A608" s="31" t="s">
        <v>1592</v>
      </c>
      <c r="B608" s="31" t="s">
        <v>1548</v>
      </c>
      <c r="C608" s="31" t="s">
        <v>1624</v>
      </c>
      <c r="D608" s="32" t="s">
        <v>1625</v>
      </c>
      <c r="E608" s="32" t="s">
        <v>1626</v>
      </c>
      <c r="F608" s="33">
        <v>12.0</v>
      </c>
      <c r="G608" s="28">
        <v>0.065</v>
      </c>
      <c r="H608" s="3"/>
      <c r="I608" s="34">
        <v>855.690062351712</v>
      </c>
      <c r="J608" s="34">
        <f t="shared" si="85"/>
        <v>812.9055592</v>
      </c>
      <c r="K608" s="34">
        <f t="shared" si="56"/>
        <v>865.7444206</v>
      </c>
    </row>
    <row r="609" ht="14.25" customHeight="1">
      <c r="A609" s="31" t="s">
        <v>1592</v>
      </c>
      <c r="B609" s="31" t="s">
        <v>1548</v>
      </c>
      <c r="C609" s="31" t="s">
        <v>1627</v>
      </c>
      <c r="D609" s="32" t="s">
        <v>1628</v>
      </c>
      <c r="E609" s="32" t="s">
        <v>1629</v>
      </c>
      <c r="F609" s="33">
        <v>6.0</v>
      </c>
      <c r="G609" s="28">
        <v>0.065</v>
      </c>
      <c r="H609" s="3"/>
      <c r="I609" s="34">
        <v>1588.209884776263</v>
      </c>
      <c r="J609" s="34">
        <f t="shared" si="85"/>
        <v>1508.799391</v>
      </c>
      <c r="K609" s="34">
        <f t="shared" si="56"/>
        <v>1606.871351</v>
      </c>
    </row>
    <row r="610" ht="14.25" customHeight="1">
      <c r="A610" s="31" t="s">
        <v>1592</v>
      </c>
      <c r="B610" s="31" t="s">
        <v>1548</v>
      </c>
      <c r="C610" s="31" t="s">
        <v>1630</v>
      </c>
      <c r="D610" s="32" t="s">
        <v>1631</v>
      </c>
      <c r="E610" s="32" t="s">
        <v>1632</v>
      </c>
      <c r="F610" s="33">
        <v>6.0</v>
      </c>
      <c r="G610" s="28">
        <v>0.065</v>
      </c>
      <c r="H610" s="3"/>
      <c r="I610" s="34">
        <v>2642.5018203501327</v>
      </c>
      <c r="J610" s="34">
        <f t="shared" si="85"/>
        <v>2510.376729</v>
      </c>
      <c r="K610" s="34">
        <f t="shared" si="56"/>
        <v>2673.551217</v>
      </c>
    </row>
    <row r="611" ht="14.25" customHeight="1">
      <c r="A611" s="36"/>
      <c r="B611" s="36"/>
      <c r="C611" s="36"/>
      <c r="D611" s="3"/>
      <c r="E611" s="3"/>
      <c r="F611" s="37"/>
      <c r="G611" s="38"/>
      <c r="H611" s="3"/>
      <c r="I611" s="4"/>
      <c r="J611" s="4" t="str">
        <f t="shared" ref="J611:J650" si="86">IF(I611&lt;&gt;"",I611-(I611*0.07),"")</f>
        <v/>
      </c>
      <c r="K611" s="4" t="str">
        <f t="shared" si="56"/>
        <v/>
      </c>
    </row>
    <row r="612" ht="14.25" customHeight="1">
      <c r="A612" s="30"/>
      <c r="B612" s="30"/>
      <c r="C612" s="30"/>
      <c r="D612" s="30"/>
      <c r="E612" s="30"/>
      <c r="F612" s="30"/>
      <c r="G612" s="30"/>
      <c r="H612" s="3"/>
      <c r="I612" s="4"/>
      <c r="J612" s="4" t="str">
        <f t="shared" si="86"/>
        <v/>
      </c>
      <c r="K612" s="4" t="str">
        <f t="shared" si="56"/>
        <v/>
      </c>
    </row>
    <row r="613" ht="14.25" customHeight="1">
      <c r="A613" s="25" t="s">
        <v>1633</v>
      </c>
      <c r="B613" s="25"/>
      <c r="C613" s="25" t="s">
        <v>1634</v>
      </c>
      <c r="D613" s="26" t="s">
        <v>1635</v>
      </c>
      <c r="E613" s="26" t="s">
        <v>1636</v>
      </c>
      <c r="F613" s="27">
        <v>24.0</v>
      </c>
      <c r="G613" s="28">
        <v>0.065</v>
      </c>
      <c r="H613" s="3"/>
      <c r="I613" s="29">
        <v>15.442737896536068</v>
      </c>
      <c r="J613" s="29">
        <f t="shared" si="86"/>
        <v>14.36174624</v>
      </c>
      <c r="K613" s="29">
        <f t="shared" si="56"/>
        <v>15.29525975</v>
      </c>
    </row>
    <row r="614" ht="14.25" customHeight="1">
      <c r="A614" s="25" t="s">
        <v>1633</v>
      </c>
      <c r="B614" s="25"/>
      <c r="C614" s="25" t="s">
        <v>1637</v>
      </c>
      <c r="D614" s="26" t="s">
        <v>1638</v>
      </c>
      <c r="E614" s="26" t="s">
        <v>1639</v>
      </c>
      <c r="F614" s="27">
        <v>24.0</v>
      </c>
      <c r="G614" s="28">
        <v>0.065</v>
      </c>
      <c r="H614" s="3"/>
      <c r="I614" s="29">
        <v>15.442737896536068</v>
      </c>
      <c r="J614" s="29">
        <f t="shared" si="86"/>
        <v>14.36174624</v>
      </c>
      <c r="K614" s="29">
        <f t="shared" si="56"/>
        <v>15.29525975</v>
      </c>
    </row>
    <row r="615" ht="14.25" customHeight="1">
      <c r="A615" s="25" t="s">
        <v>1633</v>
      </c>
      <c r="B615" s="25"/>
      <c r="C615" s="25" t="s">
        <v>1640</v>
      </c>
      <c r="D615" s="26" t="s">
        <v>1641</v>
      </c>
      <c r="E615" s="26" t="s">
        <v>1642</v>
      </c>
      <c r="F615" s="27">
        <v>24.0</v>
      </c>
      <c r="G615" s="28">
        <v>0.065</v>
      </c>
      <c r="H615" s="3"/>
      <c r="I615" s="29">
        <v>15.442737896536068</v>
      </c>
      <c r="J615" s="29">
        <f t="shared" si="86"/>
        <v>14.36174624</v>
      </c>
      <c r="K615" s="29">
        <f t="shared" si="56"/>
        <v>15.29525975</v>
      </c>
    </row>
    <row r="616" ht="14.25" customHeight="1">
      <c r="A616" s="25" t="s">
        <v>1633</v>
      </c>
      <c r="B616" s="25"/>
      <c r="C616" s="25" t="s">
        <v>1643</v>
      </c>
      <c r="D616" s="26" t="s">
        <v>1644</v>
      </c>
      <c r="E616" s="26" t="s">
        <v>1645</v>
      </c>
      <c r="F616" s="27">
        <v>12.0</v>
      </c>
      <c r="G616" s="28">
        <v>0.065</v>
      </c>
      <c r="H616" s="3"/>
      <c r="I616" s="29">
        <v>22.754797978723406</v>
      </c>
      <c r="J616" s="29">
        <f t="shared" si="86"/>
        <v>21.16196212</v>
      </c>
      <c r="K616" s="29">
        <f t="shared" si="56"/>
        <v>22.53748966</v>
      </c>
    </row>
    <row r="617" ht="14.25" customHeight="1">
      <c r="A617" s="25" t="s">
        <v>1633</v>
      </c>
      <c r="B617" s="25"/>
      <c r="C617" s="25" t="s">
        <v>1646</v>
      </c>
      <c r="D617" s="26" t="s">
        <v>1647</v>
      </c>
      <c r="E617" s="26" t="s">
        <v>1648</v>
      </c>
      <c r="F617" s="27">
        <v>12.0</v>
      </c>
      <c r="G617" s="28">
        <v>0.065</v>
      </c>
      <c r="H617" s="3"/>
      <c r="I617" s="29">
        <v>22.754797978723406</v>
      </c>
      <c r="J617" s="29">
        <f t="shared" si="86"/>
        <v>21.16196212</v>
      </c>
      <c r="K617" s="29">
        <f t="shared" si="56"/>
        <v>22.53748966</v>
      </c>
    </row>
    <row r="618" ht="14.25" customHeight="1">
      <c r="A618" s="25" t="s">
        <v>1633</v>
      </c>
      <c r="B618" s="25"/>
      <c r="C618" s="25" t="s">
        <v>1649</v>
      </c>
      <c r="D618" s="26" t="s">
        <v>1650</v>
      </c>
      <c r="E618" s="26" t="s">
        <v>1651</v>
      </c>
      <c r="F618" s="27">
        <v>12.0</v>
      </c>
      <c r="G618" s="28">
        <v>0.065</v>
      </c>
      <c r="H618" s="3"/>
      <c r="I618" s="29">
        <v>22.754797978723406</v>
      </c>
      <c r="J618" s="29">
        <f t="shared" si="86"/>
        <v>21.16196212</v>
      </c>
      <c r="K618" s="29">
        <f t="shared" si="56"/>
        <v>22.53748966</v>
      </c>
    </row>
    <row r="619" ht="14.25" customHeight="1">
      <c r="A619" s="25" t="s">
        <v>1633</v>
      </c>
      <c r="B619" s="25"/>
      <c r="C619" s="25" t="s">
        <v>1652</v>
      </c>
      <c r="D619" s="26" t="s">
        <v>1653</v>
      </c>
      <c r="E619" s="26" t="s">
        <v>1654</v>
      </c>
      <c r="F619" s="27">
        <v>12.0</v>
      </c>
      <c r="G619" s="28">
        <v>0.065</v>
      </c>
      <c r="H619" s="3"/>
      <c r="I619" s="29">
        <v>22.754797978723406</v>
      </c>
      <c r="J619" s="29">
        <f t="shared" si="86"/>
        <v>21.16196212</v>
      </c>
      <c r="K619" s="29">
        <f t="shared" si="56"/>
        <v>22.53748966</v>
      </c>
    </row>
    <row r="620" ht="14.25" customHeight="1">
      <c r="A620" s="25" t="s">
        <v>1633</v>
      </c>
      <c r="B620" s="25"/>
      <c r="C620" s="25" t="s">
        <v>1655</v>
      </c>
      <c r="D620" s="26" t="s">
        <v>1656</v>
      </c>
      <c r="E620" s="26" t="s">
        <v>1657</v>
      </c>
      <c r="F620" s="27">
        <v>12.0</v>
      </c>
      <c r="G620" s="28">
        <v>0.065</v>
      </c>
      <c r="H620" s="3"/>
      <c r="I620" s="29">
        <v>22.754797978723406</v>
      </c>
      <c r="J620" s="29">
        <f t="shared" si="86"/>
        <v>21.16196212</v>
      </c>
      <c r="K620" s="29">
        <f t="shared" si="56"/>
        <v>22.53748966</v>
      </c>
    </row>
    <row r="621" ht="14.25" customHeight="1">
      <c r="A621" s="25" t="s">
        <v>1633</v>
      </c>
      <c r="B621" s="25"/>
      <c r="C621" s="25" t="s">
        <v>1658</v>
      </c>
      <c r="D621" s="26" t="s">
        <v>1659</v>
      </c>
      <c r="E621" s="26" t="s">
        <v>1660</v>
      </c>
      <c r="F621" s="27">
        <v>12.0</v>
      </c>
      <c r="G621" s="28">
        <v>0.065</v>
      </c>
      <c r="H621" s="3"/>
      <c r="I621" s="29">
        <v>22.754797978723406</v>
      </c>
      <c r="J621" s="29">
        <f t="shared" si="86"/>
        <v>21.16196212</v>
      </c>
      <c r="K621" s="29">
        <f t="shared" si="56"/>
        <v>22.53748966</v>
      </c>
    </row>
    <row r="622" ht="14.25" customHeight="1">
      <c r="A622" s="25" t="s">
        <v>1633</v>
      </c>
      <c r="B622" s="25"/>
      <c r="C622" s="25" t="s">
        <v>1661</v>
      </c>
      <c r="D622" s="26" t="s">
        <v>1662</v>
      </c>
      <c r="E622" s="26" t="s">
        <v>1663</v>
      </c>
      <c r="F622" s="27">
        <v>12.0</v>
      </c>
      <c r="G622" s="28">
        <v>0.065</v>
      </c>
      <c r="H622" s="3"/>
      <c r="I622" s="29">
        <v>22.754797978723406</v>
      </c>
      <c r="J622" s="29">
        <f t="shared" si="86"/>
        <v>21.16196212</v>
      </c>
      <c r="K622" s="29">
        <f t="shared" si="56"/>
        <v>22.53748966</v>
      </c>
    </row>
    <row r="623" ht="14.25" customHeight="1">
      <c r="A623" s="25" t="s">
        <v>1633</v>
      </c>
      <c r="B623" s="25"/>
      <c r="C623" s="25" t="s">
        <v>1664</v>
      </c>
      <c r="D623" s="26" t="s">
        <v>1665</v>
      </c>
      <c r="E623" s="26" t="s">
        <v>1666</v>
      </c>
      <c r="F623" s="27">
        <v>12.0</v>
      </c>
      <c r="G623" s="28">
        <v>0.065</v>
      </c>
      <c r="H623" s="3"/>
      <c r="I623" s="29">
        <v>22.754797978723406</v>
      </c>
      <c r="J623" s="29">
        <f t="shared" si="86"/>
        <v>21.16196212</v>
      </c>
      <c r="K623" s="29">
        <f t="shared" si="56"/>
        <v>22.53748966</v>
      </c>
    </row>
    <row r="624" ht="14.25" customHeight="1">
      <c r="A624" s="25" t="s">
        <v>1633</v>
      </c>
      <c r="B624" s="25"/>
      <c r="C624" s="25" t="s">
        <v>1667</v>
      </c>
      <c r="D624" s="26" t="s">
        <v>1668</v>
      </c>
      <c r="E624" s="26" t="s">
        <v>1669</v>
      </c>
      <c r="F624" s="27">
        <v>12.0</v>
      </c>
      <c r="G624" s="28">
        <v>0.065</v>
      </c>
      <c r="H624" s="3"/>
      <c r="I624" s="29">
        <v>22.754797978723406</v>
      </c>
      <c r="J624" s="29">
        <f t="shared" si="86"/>
        <v>21.16196212</v>
      </c>
      <c r="K624" s="29">
        <f t="shared" si="56"/>
        <v>22.53748966</v>
      </c>
    </row>
    <row r="625" ht="14.25" customHeight="1">
      <c r="A625" s="25" t="s">
        <v>1633</v>
      </c>
      <c r="B625" s="25"/>
      <c r="C625" s="25" t="s">
        <v>1670</v>
      </c>
      <c r="D625" s="26" t="s">
        <v>1671</v>
      </c>
      <c r="E625" s="26" t="s">
        <v>1672</v>
      </c>
      <c r="F625" s="27">
        <v>12.0</v>
      </c>
      <c r="G625" s="28">
        <v>0.065</v>
      </c>
      <c r="H625" s="3"/>
      <c r="I625" s="29">
        <v>32.50385364648888</v>
      </c>
      <c r="J625" s="29">
        <f t="shared" si="86"/>
        <v>30.22858389</v>
      </c>
      <c r="K625" s="29">
        <f t="shared" si="56"/>
        <v>32.19344184</v>
      </c>
    </row>
    <row r="626" ht="14.25" customHeight="1">
      <c r="A626" s="25" t="s">
        <v>1633</v>
      </c>
      <c r="B626" s="25"/>
      <c r="C626" s="25" t="s">
        <v>1673</v>
      </c>
      <c r="D626" s="26" t="s">
        <v>1674</v>
      </c>
      <c r="E626" s="26" t="s">
        <v>1675</v>
      </c>
      <c r="F626" s="27">
        <v>12.0</v>
      </c>
      <c r="G626" s="28">
        <v>0.065</v>
      </c>
      <c r="H626" s="3"/>
      <c r="I626" s="29">
        <v>32.50385364648888</v>
      </c>
      <c r="J626" s="29">
        <f t="shared" si="86"/>
        <v>30.22858389</v>
      </c>
      <c r="K626" s="29">
        <f t="shared" si="56"/>
        <v>32.19344184</v>
      </c>
    </row>
    <row r="627" ht="14.25" customHeight="1">
      <c r="A627" s="25" t="s">
        <v>1633</v>
      </c>
      <c r="B627" s="25"/>
      <c r="C627" s="25" t="s">
        <v>1676</v>
      </c>
      <c r="D627" s="26" t="s">
        <v>1677</v>
      </c>
      <c r="E627" s="26" t="s">
        <v>1678</v>
      </c>
      <c r="F627" s="27">
        <v>12.0</v>
      </c>
      <c r="G627" s="28">
        <v>0.065</v>
      </c>
      <c r="H627" s="3"/>
      <c r="I627" s="29">
        <v>32.50385364648888</v>
      </c>
      <c r="J627" s="29">
        <f t="shared" si="86"/>
        <v>30.22858389</v>
      </c>
      <c r="K627" s="29">
        <f t="shared" si="56"/>
        <v>32.19344184</v>
      </c>
    </row>
    <row r="628" ht="14.25" customHeight="1">
      <c r="A628" s="25" t="s">
        <v>1633</v>
      </c>
      <c r="B628" s="25"/>
      <c r="C628" s="25" t="s">
        <v>1679</v>
      </c>
      <c r="D628" s="26" t="s">
        <v>1680</v>
      </c>
      <c r="E628" s="26" t="s">
        <v>1681</v>
      </c>
      <c r="F628" s="27">
        <v>12.0</v>
      </c>
      <c r="G628" s="28">
        <v>0.065</v>
      </c>
      <c r="H628" s="3"/>
      <c r="I628" s="29">
        <v>32.50385364648888</v>
      </c>
      <c r="J628" s="29">
        <f t="shared" si="86"/>
        <v>30.22858389</v>
      </c>
      <c r="K628" s="29">
        <f t="shared" si="56"/>
        <v>32.19344184</v>
      </c>
    </row>
    <row r="629" ht="14.25" customHeight="1">
      <c r="A629" s="25" t="s">
        <v>1633</v>
      </c>
      <c r="B629" s="25"/>
      <c r="C629" s="25" t="s">
        <v>1682</v>
      </c>
      <c r="D629" s="26" t="s">
        <v>1683</v>
      </c>
      <c r="E629" s="26" t="s">
        <v>1684</v>
      </c>
      <c r="F629" s="27">
        <v>12.0</v>
      </c>
      <c r="G629" s="28">
        <v>0.065</v>
      </c>
      <c r="H629" s="3"/>
      <c r="I629" s="29">
        <v>32.50385364648888</v>
      </c>
      <c r="J629" s="29">
        <f t="shared" si="86"/>
        <v>30.22858389</v>
      </c>
      <c r="K629" s="29">
        <f t="shared" si="56"/>
        <v>32.19344184</v>
      </c>
    </row>
    <row r="630" ht="14.25" customHeight="1">
      <c r="A630" s="25" t="s">
        <v>1685</v>
      </c>
      <c r="B630" s="25"/>
      <c r="C630" s="25" t="s">
        <v>1686</v>
      </c>
      <c r="D630" s="26" t="s">
        <v>1687</v>
      </c>
      <c r="E630" s="26" t="s">
        <v>1688</v>
      </c>
      <c r="F630" s="27">
        <v>12.0</v>
      </c>
      <c r="G630" s="28">
        <v>0.065</v>
      </c>
      <c r="H630" s="3"/>
      <c r="I630" s="29">
        <v>65.62816734107422</v>
      </c>
      <c r="J630" s="29">
        <f t="shared" si="86"/>
        <v>61.03419563</v>
      </c>
      <c r="K630" s="29">
        <f t="shared" si="56"/>
        <v>65.00141834</v>
      </c>
    </row>
    <row r="631" ht="14.25" customHeight="1">
      <c r="A631" s="25" t="s">
        <v>1689</v>
      </c>
      <c r="B631" s="25"/>
      <c r="C631" s="25" t="s">
        <v>1690</v>
      </c>
      <c r="D631" s="26" t="s">
        <v>1691</v>
      </c>
      <c r="E631" s="26" t="s">
        <v>1692</v>
      </c>
      <c r="F631" s="27">
        <v>12.0</v>
      </c>
      <c r="G631" s="28">
        <v>0.065</v>
      </c>
      <c r="H631" s="3"/>
      <c r="I631" s="29">
        <v>65.62816734107422</v>
      </c>
      <c r="J631" s="29">
        <f t="shared" si="86"/>
        <v>61.03419563</v>
      </c>
      <c r="K631" s="29">
        <f t="shared" si="56"/>
        <v>65.00141834</v>
      </c>
    </row>
    <row r="632" ht="14.25" customHeight="1">
      <c r="A632" s="25" t="s">
        <v>1689</v>
      </c>
      <c r="B632" s="25"/>
      <c r="C632" s="25" t="s">
        <v>1693</v>
      </c>
      <c r="D632" s="26" t="s">
        <v>1694</v>
      </c>
      <c r="E632" s="26" t="s">
        <v>1695</v>
      </c>
      <c r="F632" s="27">
        <v>12.0</v>
      </c>
      <c r="G632" s="28">
        <v>0.065</v>
      </c>
      <c r="H632" s="3"/>
      <c r="I632" s="29">
        <v>65.62816734107422</v>
      </c>
      <c r="J632" s="29">
        <f t="shared" si="86"/>
        <v>61.03419563</v>
      </c>
      <c r="K632" s="29">
        <f t="shared" si="56"/>
        <v>65.00141834</v>
      </c>
    </row>
    <row r="633" ht="14.25" customHeight="1">
      <c r="A633" s="25" t="s">
        <v>1633</v>
      </c>
      <c r="B633" s="25"/>
      <c r="C633" s="25" t="s">
        <v>1696</v>
      </c>
      <c r="D633" s="26" t="s">
        <v>1697</v>
      </c>
      <c r="E633" s="26" t="s">
        <v>1698</v>
      </c>
      <c r="F633" s="27">
        <v>12.0</v>
      </c>
      <c r="G633" s="28">
        <v>0.065</v>
      </c>
      <c r="H633" s="3"/>
      <c r="I633" s="29">
        <v>65.62816734107422</v>
      </c>
      <c r="J633" s="29">
        <f t="shared" si="86"/>
        <v>61.03419563</v>
      </c>
      <c r="K633" s="29">
        <f t="shared" si="56"/>
        <v>65.00141834</v>
      </c>
    </row>
    <row r="634" ht="14.25" customHeight="1">
      <c r="A634" s="25" t="s">
        <v>1633</v>
      </c>
      <c r="B634" s="25"/>
      <c r="C634" s="25" t="s">
        <v>1699</v>
      </c>
      <c r="D634" s="26" t="s">
        <v>1700</v>
      </c>
      <c r="E634" s="26" t="s">
        <v>1701</v>
      </c>
      <c r="F634" s="27">
        <v>12.0</v>
      </c>
      <c r="G634" s="28">
        <v>0.065</v>
      </c>
      <c r="H634" s="3"/>
      <c r="I634" s="29">
        <v>65.62816734107422</v>
      </c>
      <c r="J634" s="29">
        <f t="shared" si="86"/>
        <v>61.03419563</v>
      </c>
      <c r="K634" s="29">
        <f t="shared" si="56"/>
        <v>65.00141834</v>
      </c>
    </row>
    <row r="635" ht="14.25" customHeight="1">
      <c r="A635" s="25"/>
      <c r="B635" s="25"/>
      <c r="C635" s="25" t="s">
        <v>1702</v>
      </c>
      <c r="D635" s="26" t="s">
        <v>1703</v>
      </c>
      <c r="E635" s="26" t="s">
        <v>1704</v>
      </c>
      <c r="F635" s="27">
        <v>24.0</v>
      </c>
      <c r="G635" s="28">
        <v>0.065</v>
      </c>
      <c r="H635" s="3"/>
      <c r="I635" s="29">
        <v>29.075013000000002</v>
      </c>
      <c r="J635" s="29">
        <f t="shared" si="86"/>
        <v>27.03976209</v>
      </c>
      <c r="K635" s="29">
        <f t="shared" si="56"/>
        <v>28.79734663</v>
      </c>
    </row>
    <row r="636" ht="14.25" customHeight="1">
      <c r="A636" s="25"/>
      <c r="B636" s="25"/>
      <c r="C636" s="25" t="s">
        <v>1705</v>
      </c>
      <c r="D636" s="26" t="s">
        <v>1706</v>
      </c>
      <c r="E636" s="26" t="s">
        <v>1707</v>
      </c>
      <c r="F636" s="27">
        <v>12.0</v>
      </c>
      <c r="G636" s="28">
        <v>0.065</v>
      </c>
      <c r="H636" s="3"/>
      <c r="I636" s="29">
        <v>32.497934985</v>
      </c>
      <c r="J636" s="29">
        <f t="shared" si="86"/>
        <v>30.22307954</v>
      </c>
      <c r="K636" s="29">
        <f t="shared" si="56"/>
        <v>32.18757971</v>
      </c>
    </row>
    <row r="637" ht="14.25" customHeight="1">
      <c r="A637" s="36"/>
      <c r="B637" s="36"/>
      <c r="C637" s="3"/>
      <c r="D637" s="3"/>
      <c r="E637" s="3"/>
      <c r="F637" s="3"/>
      <c r="G637" s="3"/>
      <c r="H637" s="3"/>
      <c r="I637" s="4"/>
      <c r="J637" s="4" t="str">
        <f t="shared" si="86"/>
        <v/>
      </c>
      <c r="K637" s="4" t="str">
        <f t="shared" si="56"/>
        <v/>
      </c>
    </row>
    <row r="638" ht="14.25" customHeight="1">
      <c r="A638" s="25" t="s">
        <v>1633</v>
      </c>
      <c r="B638" s="25"/>
      <c r="C638" s="25" t="s">
        <v>1708</v>
      </c>
      <c r="D638" s="26" t="s">
        <v>1709</v>
      </c>
      <c r="E638" s="26" t="s">
        <v>1710</v>
      </c>
      <c r="F638" s="27">
        <v>24.0</v>
      </c>
      <c r="G638" s="28">
        <v>0.065</v>
      </c>
      <c r="H638" s="3"/>
      <c r="I638" s="29">
        <v>16.400104396860407</v>
      </c>
      <c r="J638" s="29">
        <f t="shared" si="86"/>
        <v>15.25209709</v>
      </c>
      <c r="K638" s="29">
        <f t="shared" si="56"/>
        <v>16.2434834</v>
      </c>
    </row>
    <row r="639" ht="14.25" customHeight="1">
      <c r="A639" s="25" t="s">
        <v>1633</v>
      </c>
      <c r="B639" s="25"/>
      <c r="C639" s="25" t="s">
        <v>1711</v>
      </c>
      <c r="D639" s="26" t="s">
        <v>1712</v>
      </c>
      <c r="E639" s="26" t="s">
        <v>1713</v>
      </c>
      <c r="F639" s="27">
        <v>12.0</v>
      </c>
      <c r="G639" s="28">
        <v>0.065</v>
      </c>
      <c r="H639" s="3"/>
      <c r="I639" s="29">
        <v>24.84990437798392</v>
      </c>
      <c r="J639" s="29">
        <f t="shared" si="86"/>
        <v>23.11041107</v>
      </c>
      <c r="K639" s="29">
        <f t="shared" si="56"/>
        <v>24.61258779</v>
      </c>
    </row>
    <row r="640" ht="14.25" customHeight="1">
      <c r="A640" s="25" t="s">
        <v>1633</v>
      </c>
      <c r="B640" s="25"/>
      <c r="C640" s="25" t="s">
        <v>1714</v>
      </c>
      <c r="D640" s="26" t="s">
        <v>1715</v>
      </c>
      <c r="E640" s="26" t="s">
        <v>1716</v>
      </c>
      <c r="F640" s="27">
        <v>12.0</v>
      </c>
      <c r="G640" s="28">
        <v>0.065</v>
      </c>
      <c r="H640" s="3"/>
      <c r="I640" s="29">
        <v>24.84990437798392</v>
      </c>
      <c r="J640" s="29">
        <f t="shared" si="86"/>
        <v>23.11041107</v>
      </c>
      <c r="K640" s="29">
        <f t="shared" si="56"/>
        <v>24.61258779</v>
      </c>
    </row>
    <row r="641" ht="14.25" customHeight="1">
      <c r="A641" s="25" t="s">
        <v>1633</v>
      </c>
      <c r="B641" s="25"/>
      <c r="C641" s="25" t="s">
        <v>1717</v>
      </c>
      <c r="D641" s="26" t="s">
        <v>1718</v>
      </c>
      <c r="E641" s="26" t="s">
        <v>1719</v>
      </c>
      <c r="F641" s="27">
        <v>12.0</v>
      </c>
      <c r="G641" s="28">
        <v>0.065</v>
      </c>
      <c r="H641" s="3"/>
      <c r="I641" s="29">
        <v>24.84990437798392</v>
      </c>
      <c r="J641" s="29">
        <f t="shared" si="86"/>
        <v>23.11041107</v>
      </c>
      <c r="K641" s="29">
        <f t="shared" si="56"/>
        <v>24.61258779</v>
      </c>
    </row>
    <row r="642" ht="14.25" customHeight="1">
      <c r="A642" s="25" t="s">
        <v>1633</v>
      </c>
      <c r="B642" s="25"/>
      <c r="C642" s="25" t="s">
        <v>693</v>
      </c>
      <c r="D642" s="26" t="s">
        <v>1720</v>
      </c>
      <c r="E642" s="26" t="s">
        <v>1721</v>
      </c>
      <c r="F642" s="27">
        <v>12.0</v>
      </c>
      <c r="G642" s="28">
        <v>0.065</v>
      </c>
      <c r="H642" s="3"/>
      <c r="I642" s="29">
        <v>24.84990437798392</v>
      </c>
      <c r="J642" s="29">
        <f t="shared" si="86"/>
        <v>23.11041107</v>
      </c>
      <c r="K642" s="29">
        <f t="shared" si="56"/>
        <v>24.61258779</v>
      </c>
    </row>
    <row r="643" ht="14.25" customHeight="1">
      <c r="A643" s="25" t="s">
        <v>1633</v>
      </c>
      <c r="B643" s="25"/>
      <c r="C643" s="25" t="s">
        <v>1722</v>
      </c>
      <c r="D643" s="26" t="s">
        <v>1723</v>
      </c>
      <c r="E643" s="26" t="s">
        <v>1724</v>
      </c>
      <c r="F643" s="27">
        <v>12.0</v>
      </c>
      <c r="G643" s="28">
        <v>0.065</v>
      </c>
      <c r="H643" s="3"/>
      <c r="I643" s="29">
        <v>24.84990437798392</v>
      </c>
      <c r="J643" s="29">
        <f t="shared" si="86"/>
        <v>23.11041107</v>
      </c>
      <c r="K643" s="29">
        <f t="shared" si="56"/>
        <v>24.61258779</v>
      </c>
    </row>
    <row r="644" ht="14.25" customHeight="1">
      <c r="A644" s="25" t="s">
        <v>1633</v>
      </c>
      <c r="B644" s="25"/>
      <c r="C644" s="25" t="s">
        <v>1725</v>
      </c>
      <c r="D644" s="26" t="s">
        <v>1726</v>
      </c>
      <c r="E644" s="26" t="s">
        <v>1727</v>
      </c>
      <c r="F644" s="27">
        <v>12.0</v>
      </c>
      <c r="G644" s="28">
        <v>0.065</v>
      </c>
      <c r="H644" s="3"/>
      <c r="I644" s="29">
        <v>24.84990437798392</v>
      </c>
      <c r="J644" s="29">
        <f t="shared" si="86"/>
        <v>23.11041107</v>
      </c>
      <c r="K644" s="29">
        <f t="shared" si="56"/>
        <v>24.61258779</v>
      </c>
    </row>
    <row r="645" ht="14.25" customHeight="1">
      <c r="A645" s="25" t="s">
        <v>1633</v>
      </c>
      <c r="B645" s="25"/>
      <c r="C645" s="25" t="s">
        <v>1728</v>
      </c>
      <c r="D645" s="26" t="s">
        <v>1729</v>
      </c>
      <c r="E645" s="26" t="s">
        <v>1730</v>
      </c>
      <c r="F645" s="27">
        <v>12.0</v>
      </c>
      <c r="G645" s="28">
        <v>0.065</v>
      </c>
      <c r="H645" s="3"/>
      <c r="I645" s="29">
        <v>24.84990437798392</v>
      </c>
      <c r="J645" s="29">
        <f t="shared" si="86"/>
        <v>23.11041107</v>
      </c>
      <c r="K645" s="29">
        <f t="shared" si="56"/>
        <v>24.61258779</v>
      </c>
    </row>
    <row r="646" ht="14.25" customHeight="1">
      <c r="A646" s="25" t="s">
        <v>1633</v>
      </c>
      <c r="B646" s="25"/>
      <c r="C646" s="25" t="s">
        <v>1731</v>
      </c>
      <c r="D646" s="26" t="s">
        <v>1732</v>
      </c>
      <c r="E646" s="26" t="s">
        <v>1733</v>
      </c>
      <c r="F646" s="27">
        <v>12.0</v>
      </c>
      <c r="G646" s="28">
        <v>0.065</v>
      </c>
      <c r="H646" s="3"/>
      <c r="I646" s="29">
        <v>24.84990437798392</v>
      </c>
      <c r="J646" s="29">
        <f t="shared" si="86"/>
        <v>23.11041107</v>
      </c>
      <c r="K646" s="29">
        <f t="shared" si="56"/>
        <v>24.61258779</v>
      </c>
    </row>
    <row r="647" ht="14.25" customHeight="1">
      <c r="A647" s="25" t="s">
        <v>1633</v>
      </c>
      <c r="B647" s="25"/>
      <c r="C647" s="25" t="s">
        <v>75</v>
      </c>
      <c r="D647" s="26" t="s">
        <v>1734</v>
      </c>
      <c r="E647" s="26" t="s">
        <v>1735</v>
      </c>
      <c r="F647" s="27">
        <v>12.0</v>
      </c>
      <c r="G647" s="28">
        <v>0.065</v>
      </c>
      <c r="H647" s="3"/>
      <c r="I647" s="29">
        <v>35.92205607738714</v>
      </c>
      <c r="J647" s="29">
        <f t="shared" si="86"/>
        <v>33.40751215</v>
      </c>
      <c r="K647" s="29">
        <f t="shared" si="56"/>
        <v>35.57900044</v>
      </c>
    </row>
    <row r="648" ht="14.25" customHeight="1">
      <c r="A648" s="25" t="s">
        <v>1633</v>
      </c>
      <c r="B648" s="25"/>
      <c r="C648" s="25" t="s">
        <v>75</v>
      </c>
      <c r="D648" s="26" t="s">
        <v>1736</v>
      </c>
      <c r="E648" s="26" t="s">
        <v>1737</v>
      </c>
      <c r="F648" s="27">
        <v>12.0</v>
      </c>
      <c r="G648" s="28">
        <v>0.065</v>
      </c>
      <c r="H648" s="3"/>
      <c r="I648" s="29">
        <v>35.92205607738714</v>
      </c>
      <c r="J648" s="29">
        <f t="shared" si="86"/>
        <v>33.40751215</v>
      </c>
      <c r="K648" s="29">
        <f t="shared" si="56"/>
        <v>35.57900044</v>
      </c>
    </row>
    <row r="649" ht="14.25" customHeight="1">
      <c r="A649" s="25" t="s">
        <v>1633</v>
      </c>
      <c r="B649" s="25"/>
      <c r="C649" s="25" t="s">
        <v>1738</v>
      </c>
      <c r="D649" s="26" t="s">
        <v>1739</v>
      </c>
      <c r="E649" s="26" t="s">
        <v>1740</v>
      </c>
      <c r="F649" s="27">
        <v>12.0</v>
      </c>
      <c r="G649" s="28">
        <v>0.065</v>
      </c>
      <c r="H649" s="3"/>
      <c r="I649" s="29">
        <v>35.92205607738714</v>
      </c>
      <c r="J649" s="29">
        <f t="shared" si="86"/>
        <v>33.40751215</v>
      </c>
      <c r="K649" s="29">
        <f t="shared" si="56"/>
        <v>35.57900044</v>
      </c>
    </row>
    <row r="650" ht="14.25" customHeight="1">
      <c r="A650" s="25" t="s">
        <v>1633</v>
      </c>
      <c r="B650" s="25"/>
      <c r="C650" s="25" t="s">
        <v>1741</v>
      </c>
      <c r="D650" s="26" t="s">
        <v>1742</v>
      </c>
      <c r="E650" s="26" t="s">
        <v>1743</v>
      </c>
      <c r="F650" s="27">
        <v>12.0</v>
      </c>
      <c r="G650" s="28">
        <v>0.065</v>
      </c>
      <c r="H650" s="3"/>
      <c r="I650" s="29">
        <v>35.92205607738714</v>
      </c>
      <c r="J650" s="29">
        <f t="shared" si="86"/>
        <v>33.40751215</v>
      </c>
      <c r="K650" s="29">
        <f t="shared" si="56"/>
        <v>35.57900044</v>
      </c>
    </row>
    <row r="651" ht="14.25" customHeight="1">
      <c r="A651" s="31" t="s">
        <v>1744</v>
      </c>
      <c r="B651" s="31"/>
      <c r="C651" s="31" t="s">
        <v>1745</v>
      </c>
      <c r="D651" s="32" t="s">
        <v>1746</v>
      </c>
      <c r="E651" s="32" t="s">
        <v>1747</v>
      </c>
      <c r="F651" s="33">
        <v>24.0</v>
      </c>
      <c r="G651" s="28">
        <v>0.065</v>
      </c>
      <c r="H651" s="3"/>
      <c r="I651" s="34">
        <v>27.280924801478985</v>
      </c>
      <c r="J651" s="34">
        <f t="shared" ref="J651:J662" si="87">IF(I651&lt;&gt;"",I651-(I651*0.05),"")</f>
        <v>25.91687856</v>
      </c>
      <c r="K651" s="34">
        <f t="shared" si="56"/>
        <v>27.60147567</v>
      </c>
    </row>
    <row r="652" ht="14.25" customHeight="1">
      <c r="A652" s="31" t="s">
        <v>1748</v>
      </c>
      <c r="B652" s="31"/>
      <c r="C652" s="31" t="s">
        <v>1749</v>
      </c>
      <c r="D652" s="32" t="s">
        <v>1750</v>
      </c>
      <c r="E652" s="32" t="s">
        <v>1751</v>
      </c>
      <c r="F652" s="33">
        <v>12.0</v>
      </c>
      <c r="G652" s="28">
        <v>0.065</v>
      </c>
      <c r="H652" s="3"/>
      <c r="I652" s="34">
        <v>50.10729557685522</v>
      </c>
      <c r="J652" s="34">
        <f t="shared" si="87"/>
        <v>47.6019308</v>
      </c>
      <c r="K652" s="34">
        <f t="shared" si="56"/>
        <v>50.6960563</v>
      </c>
    </row>
    <row r="653" ht="14.25" customHeight="1">
      <c r="A653" s="31" t="s">
        <v>1752</v>
      </c>
      <c r="B653" s="31"/>
      <c r="C653" s="31" t="s">
        <v>1753</v>
      </c>
      <c r="D653" s="32" t="s">
        <v>1754</v>
      </c>
      <c r="E653" s="32" t="s">
        <v>1755</v>
      </c>
      <c r="F653" s="33">
        <v>12.0</v>
      </c>
      <c r="G653" s="28">
        <v>0.065</v>
      </c>
      <c r="H653" s="3"/>
      <c r="I653" s="34">
        <v>50.10729557685522</v>
      </c>
      <c r="J653" s="34">
        <f t="shared" si="87"/>
        <v>47.6019308</v>
      </c>
      <c r="K653" s="34">
        <f t="shared" si="56"/>
        <v>50.6960563</v>
      </c>
    </row>
    <row r="654" ht="14.25" customHeight="1">
      <c r="A654" s="31" t="s">
        <v>1744</v>
      </c>
      <c r="B654" s="31"/>
      <c r="C654" s="31" t="s">
        <v>1756</v>
      </c>
      <c r="D654" s="32" t="s">
        <v>1757</v>
      </c>
      <c r="E654" s="32" t="s">
        <v>1758</v>
      </c>
      <c r="F654" s="33">
        <v>12.0</v>
      </c>
      <c r="G654" s="28">
        <v>0.065</v>
      </c>
      <c r="H654" s="3"/>
      <c r="I654" s="34">
        <v>50.10729557685522</v>
      </c>
      <c r="J654" s="34">
        <f t="shared" si="87"/>
        <v>47.6019308</v>
      </c>
      <c r="K654" s="34">
        <f t="shared" si="56"/>
        <v>50.6960563</v>
      </c>
    </row>
    <row r="655" ht="14.25" customHeight="1">
      <c r="A655" s="31" t="s">
        <v>1748</v>
      </c>
      <c r="B655" s="31"/>
      <c r="C655" s="31" t="s">
        <v>1759</v>
      </c>
      <c r="D655" s="32" t="s">
        <v>1760</v>
      </c>
      <c r="E655" s="32" t="s">
        <v>1761</v>
      </c>
      <c r="F655" s="33">
        <v>12.0</v>
      </c>
      <c r="G655" s="28">
        <v>0.065</v>
      </c>
      <c r="H655" s="3"/>
      <c r="I655" s="34">
        <v>93.53276011455632</v>
      </c>
      <c r="J655" s="34">
        <f t="shared" si="87"/>
        <v>88.85612211</v>
      </c>
      <c r="K655" s="34">
        <f t="shared" si="56"/>
        <v>94.63177005</v>
      </c>
    </row>
    <row r="656" ht="14.25" customHeight="1">
      <c r="A656" s="31" t="s">
        <v>1762</v>
      </c>
      <c r="B656" s="31"/>
      <c r="C656" s="31" t="s">
        <v>1763</v>
      </c>
      <c r="D656" s="32" t="s">
        <v>1764</v>
      </c>
      <c r="E656" s="32" t="s">
        <v>1765</v>
      </c>
      <c r="F656" s="33">
        <v>12.0</v>
      </c>
      <c r="G656" s="28">
        <v>0.065</v>
      </c>
      <c r="H656" s="3"/>
      <c r="I656" s="34">
        <v>93.53276011455632</v>
      </c>
      <c r="J656" s="34">
        <f t="shared" si="87"/>
        <v>88.85612211</v>
      </c>
      <c r="K656" s="34">
        <f t="shared" si="56"/>
        <v>94.63177005</v>
      </c>
    </row>
    <row r="657" ht="14.25" customHeight="1">
      <c r="A657" s="31" t="s">
        <v>1752</v>
      </c>
      <c r="B657" s="31"/>
      <c r="C657" s="31" t="s">
        <v>1766</v>
      </c>
      <c r="D657" s="32" t="s">
        <v>1767</v>
      </c>
      <c r="E657" s="32" t="s">
        <v>1768</v>
      </c>
      <c r="F657" s="33">
        <v>12.0</v>
      </c>
      <c r="G657" s="28">
        <v>0.065</v>
      </c>
      <c r="H657" s="3"/>
      <c r="I657" s="34">
        <v>93.53276011455632</v>
      </c>
      <c r="J657" s="34">
        <f t="shared" si="87"/>
        <v>88.85612211</v>
      </c>
      <c r="K657" s="34">
        <f t="shared" si="56"/>
        <v>94.63177005</v>
      </c>
    </row>
    <row r="658" ht="14.25" customHeight="1">
      <c r="A658" s="31" t="s">
        <v>1769</v>
      </c>
      <c r="B658" s="31"/>
      <c r="C658" s="31" t="s">
        <v>1770</v>
      </c>
      <c r="D658" s="32" t="s">
        <v>1771</v>
      </c>
      <c r="E658" s="32" t="s">
        <v>1772</v>
      </c>
      <c r="F658" s="33">
        <v>12.0</v>
      </c>
      <c r="G658" s="28">
        <v>0.065</v>
      </c>
      <c r="H658" s="3"/>
      <c r="I658" s="34">
        <v>93.53276011455632</v>
      </c>
      <c r="J658" s="34">
        <f t="shared" si="87"/>
        <v>88.85612211</v>
      </c>
      <c r="K658" s="34">
        <f t="shared" si="56"/>
        <v>94.63177005</v>
      </c>
    </row>
    <row r="659" ht="14.25" customHeight="1">
      <c r="A659" s="31" t="s">
        <v>1233</v>
      </c>
      <c r="B659" s="31" t="s">
        <v>1398</v>
      </c>
      <c r="C659" s="31" t="s">
        <v>1773</v>
      </c>
      <c r="D659" s="32" t="s">
        <v>1774</v>
      </c>
      <c r="E659" s="32" t="s">
        <v>1775</v>
      </c>
      <c r="F659" s="33">
        <v>12.0</v>
      </c>
      <c r="G659" s="28">
        <v>0.065</v>
      </c>
      <c r="H659" s="3"/>
      <c r="I659" s="34">
        <v>93.53276011455632</v>
      </c>
      <c r="J659" s="34">
        <f t="shared" si="87"/>
        <v>88.85612211</v>
      </c>
      <c r="K659" s="34">
        <f t="shared" si="56"/>
        <v>94.63177005</v>
      </c>
    </row>
    <row r="660" ht="14.25" customHeight="1">
      <c r="A660" s="31" t="s">
        <v>1748</v>
      </c>
      <c r="B660" s="31"/>
      <c r="C660" s="31" t="s">
        <v>1776</v>
      </c>
      <c r="D660" s="32" t="s">
        <v>1777</v>
      </c>
      <c r="E660" s="32" t="s">
        <v>1778</v>
      </c>
      <c r="F660" s="33">
        <v>12.0</v>
      </c>
      <c r="G660" s="28">
        <v>0.065</v>
      </c>
      <c r="H660" s="3"/>
      <c r="I660" s="34">
        <v>93.53276011455632</v>
      </c>
      <c r="J660" s="34">
        <f t="shared" si="87"/>
        <v>88.85612211</v>
      </c>
      <c r="K660" s="34">
        <f t="shared" si="56"/>
        <v>94.63177005</v>
      </c>
    </row>
    <row r="661" ht="14.25" customHeight="1">
      <c r="A661" s="31" t="s">
        <v>1779</v>
      </c>
      <c r="B661" s="31"/>
      <c r="C661" s="31" t="s">
        <v>1780</v>
      </c>
      <c r="D661" s="32" t="s">
        <v>1781</v>
      </c>
      <c r="E661" s="32" t="s">
        <v>1782</v>
      </c>
      <c r="F661" s="33">
        <v>12.0</v>
      </c>
      <c r="G661" s="28">
        <v>0.065</v>
      </c>
      <c r="H661" s="3"/>
      <c r="I661" s="34">
        <v>93.53276011455632</v>
      </c>
      <c r="J661" s="34">
        <f t="shared" si="87"/>
        <v>88.85612211</v>
      </c>
      <c r="K661" s="34">
        <f t="shared" si="56"/>
        <v>94.63177005</v>
      </c>
    </row>
    <row r="662" ht="14.25" customHeight="1">
      <c r="A662" s="31" t="s">
        <v>1779</v>
      </c>
      <c r="B662" s="31"/>
      <c r="C662" s="31" t="s">
        <v>1783</v>
      </c>
      <c r="D662" s="32" t="s">
        <v>1784</v>
      </c>
      <c r="E662" s="32" t="s">
        <v>1785</v>
      </c>
      <c r="F662" s="33">
        <v>6.0</v>
      </c>
      <c r="G662" s="28">
        <v>0.065</v>
      </c>
      <c r="H662" s="3"/>
      <c r="I662" s="34">
        <v>323.9636018435033</v>
      </c>
      <c r="J662" s="34">
        <f t="shared" si="87"/>
        <v>307.7654218</v>
      </c>
      <c r="K662" s="34">
        <f t="shared" si="56"/>
        <v>327.7701742</v>
      </c>
    </row>
    <row r="663" ht="14.25" customHeight="1">
      <c r="A663" s="25" t="s">
        <v>1633</v>
      </c>
      <c r="B663" s="25"/>
      <c r="C663" s="25" t="s">
        <v>75</v>
      </c>
      <c r="D663" s="26" t="s">
        <v>1786</v>
      </c>
      <c r="E663" s="26" t="s">
        <v>1787</v>
      </c>
      <c r="F663" s="27">
        <v>12.0</v>
      </c>
      <c r="G663" s="28">
        <v>0.065</v>
      </c>
      <c r="H663" s="3"/>
      <c r="I663" s="29">
        <v>18.777333291385574</v>
      </c>
      <c r="J663" s="29">
        <f t="shared" ref="J663:J693" si="88">IF(I663&lt;&gt;"",I663-(I663*0.07),"")</f>
        <v>17.46291996</v>
      </c>
      <c r="K663" s="29">
        <f t="shared" si="56"/>
        <v>18.59800976</v>
      </c>
    </row>
    <row r="664" ht="14.25" customHeight="1">
      <c r="A664" s="25" t="s">
        <v>1633</v>
      </c>
      <c r="B664" s="25"/>
      <c r="C664" s="25"/>
      <c r="D664" s="61" t="s">
        <v>1788</v>
      </c>
      <c r="E664" s="61" t="s">
        <v>1789</v>
      </c>
      <c r="F664" s="62">
        <v>12.0</v>
      </c>
      <c r="G664" s="28">
        <v>0.06500000000000002</v>
      </c>
      <c r="H664" s="3"/>
      <c r="I664" s="29">
        <v>18.777333291385574</v>
      </c>
      <c r="J664" s="29">
        <f t="shared" si="88"/>
        <v>17.46291996</v>
      </c>
      <c r="K664" s="29">
        <f t="shared" si="56"/>
        <v>18.59800976</v>
      </c>
    </row>
    <row r="665" ht="14.25" customHeight="1">
      <c r="A665" s="25" t="s">
        <v>1790</v>
      </c>
      <c r="B665" s="25"/>
      <c r="C665" s="25" t="s">
        <v>75</v>
      </c>
      <c r="D665" s="26" t="s">
        <v>1791</v>
      </c>
      <c r="E665" s="26" t="s">
        <v>1792</v>
      </c>
      <c r="F665" s="27">
        <v>12.0</v>
      </c>
      <c r="G665" s="28">
        <v>0.065</v>
      </c>
      <c r="H665" s="3"/>
      <c r="I665" s="29">
        <v>50.07443043000779</v>
      </c>
      <c r="J665" s="29">
        <f t="shared" si="88"/>
        <v>46.5692203</v>
      </c>
      <c r="K665" s="29">
        <f t="shared" si="56"/>
        <v>49.59621962</v>
      </c>
    </row>
    <row r="666" ht="14.25" customHeight="1">
      <c r="A666" s="25" t="s">
        <v>1769</v>
      </c>
      <c r="B666" s="25"/>
      <c r="C666" s="25" t="s">
        <v>75</v>
      </c>
      <c r="D666" s="26" t="s">
        <v>1793</v>
      </c>
      <c r="E666" s="26" t="s">
        <v>1794</v>
      </c>
      <c r="F666" s="27">
        <v>12.0</v>
      </c>
      <c r="G666" s="28">
        <v>0.065</v>
      </c>
      <c r="H666" s="3"/>
      <c r="I666" s="29">
        <v>50.07443043000779</v>
      </c>
      <c r="J666" s="29">
        <f t="shared" si="88"/>
        <v>46.5692203</v>
      </c>
      <c r="K666" s="29">
        <f t="shared" si="56"/>
        <v>49.59621962</v>
      </c>
    </row>
    <row r="667" ht="14.25" customHeight="1">
      <c r="A667" s="25" t="s">
        <v>1769</v>
      </c>
      <c r="B667" s="25"/>
      <c r="C667" s="25" t="s">
        <v>75</v>
      </c>
      <c r="D667" s="26" t="s">
        <v>1795</v>
      </c>
      <c r="E667" s="26" t="s">
        <v>1796</v>
      </c>
      <c r="F667" s="27">
        <v>12.0</v>
      </c>
      <c r="G667" s="28">
        <v>0.065</v>
      </c>
      <c r="H667" s="3"/>
      <c r="I667" s="29">
        <v>50.07443043000779</v>
      </c>
      <c r="J667" s="29">
        <f t="shared" si="88"/>
        <v>46.5692203</v>
      </c>
      <c r="K667" s="29">
        <f t="shared" si="56"/>
        <v>49.59621962</v>
      </c>
    </row>
    <row r="668" ht="14.25" customHeight="1">
      <c r="A668" s="25" t="s">
        <v>1769</v>
      </c>
      <c r="B668" s="25"/>
      <c r="C668" s="25" t="s">
        <v>75</v>
      </c>
      <c r="D668" s="26" t="s">
        <v>1797</v>
      </c>
      <c r="E668" s="26" t="s">
        <v>1798</v>
      </c>
      <c r="F668" s="27">
        <v>12.0</v>
      </c>
      <c r="G668" s="28">
        <v>0.065</v>
      </c>
      <c r="H668" s="3"/>
      <c r="I668" s="29">
        <v>50.07443043000779</v>
      </c>
      <c r="J668" s="29">
        <f t="shared" si="88"/>
        <v>46.5692203</v>
      </c>
      <c r="K668" s="29">
        <f t="shared" si="56"/>
        <v>49.59621962</v>
      </c>
    </row>
    <row r="669" ht="14.25" customHeight="1">
      <c r="A669" s="36"/>
      <c r="B669" s="36"/>
      <c r="C669" s="36"/>
      <c r="D669" s="3"/>
      <c r="E669" s="3"/>
      <c r="F669" s="37"/>
      <c r="G669" s="38"/>
      <c r="H669" s="3"/>
      <c r="I669" s="4"/>
      <c r="J669" s="4" t="str">
        <f t="shared" si="88"/>
        <v/>
      </c>
      <c r="K669" s="4" t="str">
        <f t="shared" si="56"/>
        <v/>
      </c>
    </row>
    <row r="670" ht="14.25" customHeight="1">
      <c r="A670" s="25" t="s">
        <v>1633</v>
      </c>
      <c r="B670" s="25"/>
      <c r="C670" s="26"/>
      <c r="D670" s="26" t="s">
        <v>1799</v>
      </c>
      <c r="E670" s="26" t="s">
        <v>1800</v>
      </c>
      <c r="F670" s="27">
        <v>6.0</v>
      </c>
      <c r="G670" s="63">
        <v>0.065</v>
      </c>
      <c r="H670" s="3"/>
      <c r="I670" s="29">
        <v>29.442616170765003</v>
      </c>
      <c r="J670" s="29">
        <f t="shared" si="88"/>
        <v>27.38163304</v>
      </c>
      <c r="K670" s="29">
        <f t="shared" si="56"/>
        <v>29.16143919</v>
      </c>
    </row>
    <row r="671" ht="14.25" customHeight="1">
      <c r="A671" s="25" t="s">
        <v>1633</v>
      </c>
      <c r="B671" s="25"/>
      <c r="C671" s="26"/>
      <c r="D671" s="26" t="s">
        <v>1801</v>
      </c>
      <c r="E671" s="26" t="s">
        <v>1802</v>
      </c>
      <c r="F671" s="27">
        <v>6.0</v>
      </c>
      <c r="G671" s="63">
        <v>0.065</v>
      </c>
      <c r="H671" s="3"/>
      <c r="I671" s="29">
        <v>29.442616170765003</v>
      </c>
      <c r="J671" s="29">
        <f t="shared" si="88"/>
        <v>27.38163304</v>
      </c>
      <c r="K671" s="29">
        <f t="shared" si="56"/>
        <v>29.16143919</v>
      </c>
    </row>
    <row r="672" ht="14.25" customHeight="1">
      <c r="A672" s="25" t="s">
        <v>1633</v>
      </c>
      <c r="B672" s="25"/>
      <c r="C672" s="26"/>
      <c r="D672" s="26" t="s">
        <v>1803</v>
      </c>
      <c r="E672" s="26" t="s">
        <v>1804</v>
      </c>
      <c r="F672" s="27">
        <v>6.0</v>
      </c>
      <c r="G672" s="63">
        <v>0.065</v>
      </c>
      <c r="H672" s="3"/>
      <c r="I672" s="29">
        <v>29.442616170765003</v>
      </c>
      <c r="J672" s="29">
        <f t="shared" si="88"/>
        <v>27.38163304</v>
      </c>
      <c r="K672" s="29">
        <f t="shared" si="56"/>
        <v>29.16143919</v>
      </c>
    </row>
    <row r="673" ht="14.25" customHeight="1">
      <c r="A673" s="25" t="s">
        <v>1633</v>
      </c>
      <c r="B673" s="25"/>
      <c r="C673" s="26"/>
      <c r="D673" s="26" t="s">
        <v>1805</v>
      </c>
      <c r="E673" s="26" t="s">
        <v>1806</v>
      </c>
      <c r="F673" s="27">
        <v>6.0</v>
      </c>
      <c r="G673" s="63">
        <v>0.065</v>
      </c>
      <c r="H673" s="3"/>
      <c r="I673" s="29">
        <v>29.442616170765003</v>
      </c>
      <c r="J673" s="29">
        <f t="shared" si="88"/>
        <v>27.38163304</v>
      </c>
      <c r="K673" s="29">
        <f t="shared" si="56"/>
        <v>29.16143919</v>
      </c>
    </row>
    <row r="674" ht="14.25" customHeight="1">
      <c r="A674" s="25" t="s">
        <v>1633</v>
      </c>
      <c r="B674" s="25"/>
      <c r="C674" s="26"/>
      <c r="D674" s="26" t="s">
        <v>1807</v>
      </c>
      <c r="E674" s="26" t="s">
        <v>1808</v>
      </c>
      <c r="F674" s="27">
        <v>6.0</v>
      </c>
      <c r="G674" s="63">
        <v>0.065</v>
      </c>
      <c r="H674" s="3"/>
      <c r="I674" s="29">
        <v>33.13334939481</v>
      </c>
      <c r="J674" s="29">
        <f t="shared" si="88"/>
        <v>30.81401494</v>
      </c>
      <c r="K674" s="29">
        <f t="shared" si="56"/>
        <v>32.81692591</v>
      </c>
    </row>
    <row r="675" ht="14.25" customHeight="1">
      <c r="A675" s="25" t="s">
        <v>1633</v>
      </c>
      <c r="B675" s="25"/>
      <c r="C675" s="26"/>
      <c r="D675" s="26" t="s">
        <v>1809</v>
      </c>
      <c r="E675" s="26" t="s">
        <v>1810</v>
      </c>
      <c r="F675" s="27">
        <v>12.0</v>
      </c>
      <c r="G675" s="63">
        <v>0.065</v>
      </c>
      <c r="H675" s="3"/>
      <c r="I675" s="29">
        <v>33.13334939481</v>
      </c>
      <c r="J675" s="29">
        <f t="shared" si="88"/>
        <v>30.81401494</v>
      </c>
      <c r="K675" s="29">
        <f t="shared" si="56"/>
        <v>32.81692591</v>
      </c>
    </row>
    <row r="676" ht="14.25" customHeight="1">
      <c r="A676" s="25" t="s">
        <v>1633</v>
      </c>
      <c r="B676" s="25"/>
      <c r="C676" s="26"/>
      <c r="D676" s="26" t="s">
        <v>1811</v>
      </c>
      <c r="E676" s="26" t="s">
        <v>1812</v>
      </c>
      <c r="F676" s="27">
        <v>6.0</v>
      </c>
      <c r="G676" s="63">
        <v>0.065</v>
      </c>
      <c r="H676" s="3"/>
      <c r="I676" s="29">
        <v>33.13334939481</v>
      </c>
      <c r="J676" s="29">
        <f t="shared" si="88"/>
        <v>30.81401494</v>
      </c>
      <c r="K676" s="29">
        <f t="shared" si="56"/>
        <v>32.81692591</v>
      </c>
    </row>
    <row r="677" ht="14.25" customHeight="1">
      <c r="A677" s="25" t="s">
        <v>1633</v>
      </c>
      <c r="B677" s="25"/>
      <c r="C677" s="26"/>
      <c r="D677" s="26" t="s">
        <v>1813</v>
      </c>
      <c r="E677" s="26" t="s">
        <v>1814</v>
      </c>
      <c r="F677" s="27">
        <v>12.0</v>
      </c>
      <c r="G677" s="63">
        <v>0.065</v>
      </c>
      <c r="H677" s="3"/>
      <c r="I677" s="29">
        <v>33.13334939481</v>
      </c>
      <c r="J677" s="29">
        <f t="shared" si="88"/>
        <v>30.81401494</v>
      </c>
      <c r="K677" s="29">
        <f t="shared" si="56"/>
        <v>32.81692591</v>
      </c>
    </row>
    <row r="678" ht="14.25" customHeight="1">
      <c r="A678" s="25" t="s">
        <v>1633</v>
      </c>
      <c r="B678" s="25"/>
      <c r="C678" s="26"/>
      <c r="D678" s="26" t="s">
        <v>1815</v>
      </c>
      <c r="E678" s="26" t="s">
        <v>1816</v>
      </c>
      <c r="F678" s="27">
        <v>12.0</v>
      </c>
      <c r="G678" s="63">
        <v>0.065</v>
      </c>
      <c r="H678" s="3"/>
      <c r="I678" s="29">
        <v>33.13334939481</v>
      </c>
      <c r="J678" s="29">
        <f t="shared" si="88"/>
        <v>30.81401494</v>
      </c>
      <c r="K678" s="29">
        <f t="shared" si="56"/>
        <v>32.81692591</v>
      </c>
    </row>
    <row r="679" ht="14.25" customHeight="1">
      <c r="A679" s="25" t="s">
        <v>1633</v>
      </c>
      <c r="B679" s="25"/>
      <c r="C679" s="26"/>
      <c r="D679" s="26" t="s">
        <v>1817</v>
      </c>
      <c r="E679" s="26" t="s">
        <v>1818</v>
      </c>
      <c r="F679" s="27">
        <v>6.0</v>
      </c>
      <c r="G679" s="63">
        <v>0.065</v>
      </c>
      <c r="H679" s="3"/>
      <c r="I679" s="29">
        <v>47.89628229099001</v>
      </c>
      <c r="J679" s="29">
        <f t="shared" si="88"/>
        <v>44.54354253</v>
      </c>
      <c r="K679" s="29">
        <f t="shared" si="56"/>
        <v>47.4388728</v>
      </c>
    </row>
    <row r="680" ht="14.25" customHeight="1">
      <c r="A680" s="25" t="s">
        <v>1744</v>
      </c>
      <c r="B680" s="25"/>
      <c r="C680" s="26"/>
      <c r="D680" s="26" t="s">
        <v>1819</v>
      </c>
      <c r="E680" s="26" t="s">
        <v>1820</v>
      </c>
      <c r="F680" s="27">
        <v>6.0</v>
      </c>
      <c r="G680" s="63">
        <v>0.065</v>
      </c>
      <c r="H680" s="3"/>
      <c r="I680" s="29">
        <v>58.9546070261925</v>
      </c>
      <c r="J680" s="29">
        <f t="shared" si="88"/>
        <v>54.82778453</v>
      </c>
      <c r="K680" s="29">
        <f t="shared" si="56"/>
        <v>58.39159053</v>
      </c>
    </row>
    <row r="681" ht="14.25" customHeight="1">
      <c r="A681" s="25" t="s">
        <v>1633</v>
      </c>
      <c r="B681" s="25"/>
      <c r="C681" s="26"/>
      <c r="D681" s="26" t="s">
        <v>1821</v>
      </c>
      <c r="E681" s="26" t="s">
        <v>1822</v>
      </c>
      <c r="F681" s="27">
        <v>12.0</v>
      </c>
      <c r="G681" s="63">
        <v>0.065</v>
      </c>
      <c r="H681" s="3"/>
      <c r="I681" s="29">
        <v>55.27774873908</v>
      </c>
      <c r="J681" s="29">
        <f t="shared" si="88"/>
        <v>51.40830633</v>
      </c>
      <c r="K681" s="29">
        <f t="shared" si="56"/>
        <v>54.74984624</v>
      </c>
    </row>
    <row r="682" ht="14.25" customHeight="1">
      <c r="A682" s="25" t="s">
        <v>1633</v>
      </c>
      <c r="B682" s="25"/>
      <c r="C682" s="26"/>
      <c r="D682" s="26" t="s">
        <v>1823</v>
      </c>
      <c r="E682" s="26" t="s">
        <v>1824</v>
      </c>
      <c r="F682" s="27">
        <v>12.0</v>
      </c>
      <c r="G682" s="63">
        <v>0.065</v>
      </c>
      <c r="H682" s="3"/>
      <c r="I682" s="29">
        <v>55.27774873908</v>
      </c>
      <c r="J682" s="29">
        <f t="shared" si="88"/>
        <v>51.40830633</v>
      </c>
      <c r="K682" s="29">
        <f t="shared" si="56"/>
        <v>54.74984624</v>
      </c>
    </row>
    <row r="683" ht="14.25" customHeight="1">
      <c r="A683" s="25" t="s">
        <v>1633</v>
      </c>
      <c r="B683" s="25"/>
      <c r="C683" s="26"/>
      <c r="D683" s="26" t="s">
        <v>1825</v>
      </c>
      <c r="E683" s="26" t="s">
        <v>1826</v>
      </c>
      <c r="F683" s="27">
        <v>6.0</v>
      </c>
      <c r="G683" s="63">
        <v>0.065</v>
      </c>
      <c r="H683" s="3"/>
      <c r="I683" s="29">
        <v>55.27774873908</v>
      </c>
      <c r="J683" s="29">
        <f t="shared" si="88"/>
        <v>51.40830633</v>
      </c>
      <c r="K683" s="29">
        <f t="shared" si="56"/>
        <v>54.74984624</v>
      </c>
    </row>
    <row r="684" ht="14.25" customHeight="1">
      <c r="A684" s="36"/>
      <c r="B684" s="36"/>
      <c r="C684" s="36"/>
      <c r="D684" s="3"/>
      <c r="E684" s="3"/>
      <c r="F684" s="37"/>
      <c r="G684" s="39"/>
      <c r="H684" s="3"/>
      <c r="I684" s="4"/>
      <c r="J684" s="4" t="str">
        <f t="shared" si="88"/>
        <v/>
      </c>
      <c r="K684" s="4" t="str">
        <f t="shared" si="56"/>
        <v/>
      </c>
    </row>
    <row r="685" ht="14.25" customHeight="1">
      <c r="A685" s="64"/>
      <c r="B685" s="64"/>
      <c r="C685" s="52"/>
      <c r="D685" s="52"/>
      <c r="E685" s="52"/>
      <c r="F685" s="52"/>
      <c r="G685" s="65"/>
      <c r="H685" s="3"/>
      <c r="I685" s="4"/>
      <c r="J685" s="4" t="str">
        <f t="shared" si="88"/>
        <v/>
      </c>
      <c r="K685" s="4" t="str">
        <f t="shared" si="56"/>
        <v/>
      </c>
    </row>
    <row r="686" ht="14.25" customHeight="1">
      <c r="A686" s="66"/>
      <c r="B686" s="66"/>
      <c r="C686" s="53"/>
      <c r="D686" s="53"/>
      <c r="E686" s="53"/>
      <c r="F686" s="53"/>
      <c r="G686" s="67"/>
      <c r="H686" s="3"/>
      <c r="I686" s="4"/>
      <c r="J686" s="4" t="str">
        <f t="shared" si="88"/>
        <v/>
      </c>
      <c r="K686" s="4" t="str">
        <f t="shared" si="56"/>
        <v/>
      </c>
    </row>
    <row r="687" ht="14.25" customHeight="1">
      <c r="A687" s="25" t="s">
        <v>1827</v>
      </c>
      <c r="B687" s="25"/>
      <c r="C687" s="25" t="s">
        <v>75</v>
      </c>
      <c r="D687" s="26" t="s">
        <v>1828</v>
      </c>
      <c r="E687" s="26" t="s">
        <v>1829</v>
      </c>
      <c r="F687" s="68">
        <v>12.0</v>
      </c>
      <c r="G687" s="69">
        <v>0.0</v>
      </c>
      <c r="H687" s="3"/>
      <c r="I687" s="29">
        <v>12.866021818304535</v>
      </c>
      <c r="J687" s="29">
        <f t="shared" si="88"/>
        <v>11.96540029</v>
      </c>
      <c r="K687" s="29">
        <f t="shared" si="56"/>
        <v>11.96540029</v>
      </c>
    </row>
    <row r="688" ht="14.25" customHeight="1">
      <c r="A688" s="25" t="s">
        <v>1827</v>
      </c>
      <c r="B688" s="25"/>
      <c r="C688" s="25" t="s">
        <v>75</v>
      </c>
      <c r="D688" s="26" t="s">
        <v>1830</v>
      </c>
      <c r="E688" s="26" t="s">
        <v>1831</v>
      </c>
      <c r="F688" s="68">
        <v>12.0</v>
      </c>
      <c r="G688" s="69">
        <v>0.0</v>
      </c>
      <c r="H688" s="3"/>
      <c r="I688" s="29">
        <v>12.866021818304535</v>
      </c>
      <c r="J688" s="29">
        <f t="shared" si="88"/>
        <v>11.96540029</v>
      </c>
      <c r="K688" s="29">
        <f t="shared" si="56"/>
        <v>11.96540029</v>
      </c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4"/>
      <c r="J689" s="4" t="str">
        <f t="shared" si="88"/>
        <v/>
      </c>
      <c r="K689" s="4" t="str">
        <f t="shared" si="56"/>
        <v/>
      </c>
    </row>
    <row r="690" ht="14.25" customHeight="1">
      <c r="A690" s="25" t="s">
        <v>1832</v>
      </c>
      <c r="B690" s="25"/>
      <c r="C690" s="25" t="s">
        <v>75</v>
      </c>
      <c r="D690" s="26" t="s">
        <v>1833</v>
      </c>
      <c r="E690" s="26" t="s">
        <v>1834</v>
      </c>
      <c r="F690" s="27">
        <v>12.0</v>
      </c>
      <c r="G690" s="69">
        <v>0.0</v>
      </c>
      <c r="H690" s="3"/>
      <c r="I690" s="29">
        <v>28.680782450054</v>
      </c>
      <c r="J690" s="29">
        <f t="shared" si="88"/>
        <v>26.67312768</v>
      </c>
      <c r="K690" s="29">
        <f t="shared" si="56"/>
        <v>26.67312768</v>
      </c>
    </row>
    <row r="691" ht="14.25" customHeight="1">
      <c r="A691" s="25" t="s">
        <v>1832</v>
      </c>
      <c r="B691" s="25"/>
      <c r="C691" s="25" t="s">
        <v>75</v>
      </c>
      <c r="D691" s="26" t="s">
        <v>1835</v>
      </c>
      <c r="E691" s="26" t="s">
        <v>1836</v>
      </c>
      <c r="F691" s="27">
        <v>12.0</v>
      </c>
      <c r="G691" s="69">
        <v>0.0</v>
      </c>
      <c r="H691" s="3"/>
      <c r="I691" s="29">
        <v>28.680782450054</v>
      </c>
      <c r="J691" s="29">
        <f t="shared" si="88"/>
        <v>26.67312768</v>
      </c>
      <c r="K691" s="29">
        <f t="shared" si="56"/>
        <v>26.67312768</v>
      </c>
    </row>
    <row r="692" ht="14.25" customHeight="1">
      <c r="A692" s="25" t="s">
        <v>1832</v>
      </c>
      <c r="B692" s="25"/>
      <c r="C692" s="25" t="s">
        <v>75</v>
      </c>
      <c r="D692" s="26" t="s">
        <v>1837</v>
      </c>
      <c r="E692" s="26" t="s">
        <v>1838</v>
      </c>
      <c r="F692" s="27">
        <v>12.0</v>
      </c>
      <c r="G692" s="69">
        <v>0.0</v>
      </c>
      <c r="H692" s="3"/>
      <c r="I692" s="29">
        <v>28.680782450054</v>
      </c>
      <c r="J692" s="29">
        <f t="shared" si="88"/>
        <v>26.67312768</v>
      </c>
      <c r="K692" s="29">
        <f t="shared" si="56"/>
        <v>26.67312768</v>
      </c>
    </row>
    <row r="693" ht="14.25" customHeight="1">
      <c r="A693" s="25" t="s">
        <v>1832</v>
      </c>
      <c r="B693" s="25"/>
      <c r="C693" s="25" t="s">
        <v>75</v>
      </c>
      <c r="D693" s="26" t="s">
        <v>1839</v>
      </c>
      <c r="E693" s="26" t="s">
        <v>1840</v>
      </c>
      <c r="F693" s="27">
        <v>12.0</v>
      </c>
      <c r="G693" s="69">
        <v>0.0</v>
      </c>
      <c r="H693" s="3"/>
      <c r="I693" s="29">
        <v>28.680782450054</v>
      </c>
      <c r="J693" s="29">
        <f t="shared" si="88"/>
        <v>26.67312768</v>
      </c>
      <c r="K693" s="29">
        <f t="shared" si="56"/>
        <v>26.67312768</v>
      </c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4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4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4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4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4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4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4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4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4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4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4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4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4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4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4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4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4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4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4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4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4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4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4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4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4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4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4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4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4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4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4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4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4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4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4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4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4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4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4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4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4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4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4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4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4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4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4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4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4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4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4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4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4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4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4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4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4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4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4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4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4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4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4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4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4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4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4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4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4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4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4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4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4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4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4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4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4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4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4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4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4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4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4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4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4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4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4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4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4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4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4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4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4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4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4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4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4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4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4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4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4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4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4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4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4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4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4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4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4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4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4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4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4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4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4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4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4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4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4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4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4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4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4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4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4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4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4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4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4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4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4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4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4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4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4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4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4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4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4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4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4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4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4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4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4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4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4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4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4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4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4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4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4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4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4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4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4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4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4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4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4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4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4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4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4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4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4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4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4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4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4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4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4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4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4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4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4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4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4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4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4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4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4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4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4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4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4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4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4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4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4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4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4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4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4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4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4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4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4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4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4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4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4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4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4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4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4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4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4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4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4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4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4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4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4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4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4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4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4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4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4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4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4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4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4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4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4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4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4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4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4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4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4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4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4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4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4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4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4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4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4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4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4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4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4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4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4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4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4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4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4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4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4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4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4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4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4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4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4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4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4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4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4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4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4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4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4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4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4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4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4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4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4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4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4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4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4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4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4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4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4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4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4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4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4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4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4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4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4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4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4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4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4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4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4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4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4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4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4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4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4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4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4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4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4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4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7.0"/>
    <col customWidth="1" min="3" max="3" width="9.43"/>
    <col customWidth="1" min="4" max="4" width="11.29"/>
    <col customWidth="1" min="5" max="5" width="12.57"/>
    <col customWidth="1" min="6" max="6" width="15.71"/>
    <col customWidth="1" min="7" max="7" width="37.0"/>
    <col customWidth="1" min="8" max="8" width="8.43"/>
    <col customWidth="1" min="9" max="9" width="6.43"/>
    <col customWidth="1" min="10" max="10" width="2.57"/>
    <col customWidth="1" hidden="1" min="11" max="11" width="16.86"/>
    <col customWidth="1" min="12" max="12" width="14.86"/>
    <col customWidth="1" min="13" max="26" width="8.71"/>
  </cols>
  <sheetData>
    <row r="1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70"/>
      <c r="L1" s="4"/>
    </row>
    <row r="2" ht="14.25" customHeight="1">
      <c r="A2" s="3"/>
      <c r="B2" s="3"/>
      <c r="C2" s="3"/>
      <c r="D2" s="3"/>
      <c r="E2" s="3"/>
      <c r="F2" s="3"/>
      <c r="G2" s="71" t="s">
        <v>1841</v>
      </c>
      <c r="H2" s="3"/>
      <c r="I2" s="3"/>
      <c r="J2" s="3"/>
      <c r="K2" s="70"/>
      <c r="L2" s="4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70"/>
      <c r="L3" s="4"/>
    </row>
    <row r="4" ht="14.25" customHeight="1">
      <c r="A4" s="3"/>
      <c r="B4" s="3"/>
      <c r="C4" s="3"/>
      <c r="D4" s="3"/>
      <c r="E4" s="3"/>
      <c r="F4" s="3"/>
      <c r="G4" s="1"/>
      <c r="H4" s="3"/>
      <c r="I4" s="3"/>
      <c r="J4" s="3"/>
      <c r="K4" s="70"/>
      <c r="L4" s="4"/>
    </row>
    <row r="5" ht="14.25" customHeight="1">
      <c r="A5" s="72"/>
      <c r="B5" s="8"/>
      <c r="C5" s="8"/>
      <c r="D5" s="8"/>
      <c r="E5" s="8"/>
      <c r="F5" s="8"/>
      <c r="G5" s="8"/>
      <c r="H5" s="9"/>
      <c r="I5" s="10"/>
      <c r="J5" s="73"/>
      <c r="K5" s="74" t="s">
        <v>3</v>
      </c>
      <c r="L5" s="74" t="s">
        <v>1842</v>
      </c>
    </row>
    <row r="6" ht="17.25" customHeight="1">
      <c r="A6" s="13" t="s">
        <v>1843</v>
      </c>
      <c r="B6" s="13" t="s">
        <v>1844</v>
      </c>
      <c r="C6" s="13" t="s">
        <v>4</v>
      </c>
      <c r="D6" s="13" t="s">
        <v>1845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75"/>
      <c r="K6" s="76" t="s">
        <v>11</v>
      </c>
      <c r="L6" s="76"/>
    </row>
    <row r="7" ht="14.25" customHeight="1">
      <c r="A7" s="25" t="s">
        <v>1846</v>
      </c>
      <c r="B7" s="25" t="s">
        <v>1846</v>
      </c>
      <c r="C7" s="77" t="s">
        <v>1847</v>
      </c>
      <c r="D7" s="77" t="s">
        <v>1848</v>
      </c>
      <c r="E7" s="27" t="s">
        <v>1849</v>
      </c>
      <c r="F7" s="26" t="s">
        <v>1850</v>
      </c>
      <c r="G7" s="26" t="s">
        <v>1851</v>
      </c>
      <c r="H7" s="27">
        <v>24.0</v>
      </c>
      <c r="I7" s="78">
        <v>0.0</v>
      </c>
      <c r="J7" s="3"/>
      <c r="K7" s="79">
        <v>6.085516864218696</v>
      </c>
      <c r="L7" s="79">
        <f t="shared" ref="L7:L26" si="1">IF(K7&lt;&gt;"",K7-(K7*0.1),"")</f>
        <v>5.476965178</v>
      </c>
      <c r="M7" s="4"/>
    </row>
    <row r="8" ht="14.25" customHeight="1">
      <c r="A8" s="25" t="s">
        <v>1846</v>
      </c>
      <c r="B8" s="25" t="s">
        <v>1846</v>
      </c>
      <c r="C8" s="77" t="s">
        <v>1847</v>
      </c>
      <c r="D8" s="77" t="s">
        <v>1848</v>
      </c>
      <c r="E8" s="27" t="s">
        <v>1852</v>
      </c>
      <c r="F8" s="26" t="s">
        <v>1853</v>
      </c>
      <c r="G8" s="26" t="s">
        <v>1854</v>
      </c>
      <c r="H8" s="27">
        <v>24.0</v>
      </c>
      <c r="I8" s="78">
        <v>0.0</v>
      </c>
      <c r="J8" s="3"/>
      <c r="K8" s="79">
        <v>7.512651350075293</v>
      </c>
      <c r="L8" s="79">
        <f t="shared" si="1"/>
        <v>6.761386215</v>
      </c>
      <c r="M8" s="4"/>
    </row>
    <row r="9" ht="14.25" customHeight="1">
      <c r="A9" s="25" t="s">
        <v>1846</v>
      </c>
      <c r="B9" s="25" t="s">
        <v>1846</v>
      </c>
      <c r="C9" s="77" t="s">
        <v>1847</v>
      </c>
      <c r="D9" s="77" t="s">
        <v>1848</v>
      </c>
      <c r="E9" s="27" t="s">
        <v>1855</v>
      </c>
      <c r="F9" s="26" t="s">
        <v>1856</v>
      </c>
      <c r="G9" s="26" t="s">
        <v>1857</v>
      </c>
      <c r="H9" s="27">
        <v>20.0</v>
      </c>
      <c r="I9" s="78">
        <v>0.0</v>
      </c>
      <c r="J9" s="3"/>
      <c r="K9" s="79">
        <v>10.413430708120003</v>
      </c>
      <c r="L9" s="79">
        <f t="shared" si="1"/>
        <v>9.372087637</v>
      </c>
      <c r="M9" s="4"/>
    </row>
    <row r="10" ht="14.25" customHeight="1">
      <c r="A10" s="25" t="s">
        <v>1846</v>
      </c>
      <c r="B10" s="25" t="s">
        <v>1846</v>
      </c>
      <c r="C10" s="77" t="s">
        <v>1847</v>
      </c>
      <c r="D10" s="77" t="s">
        <v>1848</v>
      </c>
      <c r="E10" s="27" t="s">
        <v>1858</v>
      </c>
      <c r="F10" s="26" t="s">
        <v>1859</v>
      </c>
      <c r="G10" s="26" t="s">
        <v>1860</v>
      </c>
      <c r="H10" s="27">
        <v>12.0</v>
      </c>
      <c r="I10" s="78">
        <v>0.0</v>
      </c>
      <c r="J10" s="3"/>
      <c r="K10" s="79">
        <v>11.807518340530525</v>
      </c>
      <c r="L10" s="79">
        <f t="shared" si="1"/>
        <v>10.62676651</v>
      </c>
      <c r="M10" s="4"/>
    </row>
    <row r="11" ht="14.25" customHeight="1">
      <c r="A11" s="25" t="s">
        <v>1846</v>
      </c>
      <c r="B11" s="25" t="s">
        <v>1846</v>
      </c>
      <c r="C11" s="77" t="s">
        <v>1847</v>
      </c>
      <c r="D11" s="77" t="s">
        <v>1848</v>
      </c>
      <c r="E11" s="27" t="s">
        <v>1861</v>
      </c>
      <c r="F11" s="26" t="s">
        <v>1862</v>
      </c>
      <c r="G11" s="26" t="s">
        <v>1863</v>
      </c>
      <c r="H11" s="27">
        <v>12.0</v>
      </c>
      <c r="I11" s="78">
        <v>0.0</v>
      </c>
      <c r="J11" s="3"/>
      <c r="K11" s="79">
        <v>12.723038576740416</v>
      </c>
      <c r="L11" s="79">
        <f t="shared" si="1"/>
        <v>11.45073472</v>
      </c>
      <c r="M11" s="4"/>
    </row>
    <row r="12" ht="14.25" customHeight="1">
      <c r="A12" s="25" t="s">
        <v>1846</v>
      </c>
      <c r="B12" s="25" t="s">
        <v>1846</v>
      </c>
      <c r="C12" s="77" t="s">
        <v>1847</v>
      </c>
      <c r="D12" s="77" t="s">
        <v>1848</v>
      </c>
      <c r="E12" s="27" t="s">
        <v>1864</v>
      </c>
      <c r="F12" s="26" t="s">
        <v>1865</v>
      </c>
      <c r="G12" s="26" t="s">
        <v>1866</v>
      </c>
      <c r="H12" s="27">
        <v>12.0</v>
      </c>
      <c r="I12" s="78">
        <v>0.0</v>
      </c>
      <c r="J12" s="3"/>
      <c r="K12" s="79">
        <v>17.551551052473066</v>
      </c>
      <c r="L12" s="79">
        <f t="shared" si="1"/>
        <v>15.79639595</v>
      </c>
      <c r="M12" s="4"/>
    </row>
    <row r="13" ht="14.25" customHeight="1">
      <c r="A13" s="25" t="s">
        <v>1846</v>
      </c>
      <c r="B13" s="25" t="s">
        <v>1846</v>
      </c>
      <c r="C13" s="77" t="s">
        <v>1847</v>
      </c>
      <c r="D13" s="77" t="s">
        <v>1848</v>
      </c>
      <c r="E13" s="27" t="s">
        <v>1867</v>
      </c>
      <c r="F13" s="26" t="s">
        <v>1868</v>
      </c>
      <c r="G13" s="26" t="s">
        <v>1869</v>
      </c>
      <c r="H13" s="27">
        <v>12.0</v>
      </c>
      <c r="I13" s="78">
        <v>0.0</v>
      </c>
      <c r="J13" s="3"/>
      <c r="K13" s="79">
        <v>28.089825429167153</v>
      </c>
      <c r="L13" s="79">
        <f t="shared" si="1"/>
        <v>25.28084289</v>
      </c>
      <c r="M13" s="4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70" t="s">
        <v>24</v>
      </c>
      <c r="K14" s="70"/>
      <c r="L14" s="70" t="str">
        <f t="shared" si="1"/>
        <v/>
      </c>
      <c r="M14" s="4"/>
    </row>
    <row r="15" ht="14.25" customHeight="1">
      <c r="A15" s="13" t="s">
        <v>1843</v>
      </c>
      <c r="B15" s="13" t="s">
        <v>1844</v>
      </c>
      <c r="C15" s="13" t="s">
        <v>4</v>
      </c>
      <c r="D15" s="13" t="s">
        <v>1845</v>
      </c>
      <c r="E15" s="13" t="s">
        <v>6</v>
      </c>
      <c r="F15" s="13" t="s">
        <v>7</v>
      </c>
      <c r="G15" s="13" t="s">
        <v>8</v>
      </c>
      <c r="H15" s="13" t="s">
        <v>9</v>
      </c>
      <c r="I15" s="13" t="s">
        <v>10</v>
      </c>
      <c r="J15" s="80" t="s">
        <v>24</v>
      </c>
      <c r="K15" s="70"/>
      <c r="L15" s="70" t="str">
        <f t="shared" si="1"/>
        <v/>
      </c>
      <c r="M15" s="4"/>
    </row>
    <row r="16" ht="14.25" customHeight="1">
      <c r="A16" s="61" t="s">
        <v>1870</v>
      </c>
      <c r="B16" s="77" t="s">
        <v>1870</v>
      </c>
      <c r="C16" s="77" t="s">
        <v>1871</v>
      </c>
      <c r="D16" s="61" t="s">
        <v>1872</v>
      </c>
      <c r="E16" s="61" t="s">
        <v>1873</v>
      </c>
      <c r="F16" s="61" t="s">
        <v>1874</v>
      </c>
      <c r="G16" s="61" t="s">
        <v>1875</v>
      </c>
      <c r="H16" s="62">
        <v>6.0</v>
      </c>
      <c r="I16" s="78">
        <v>0.0</v>
      </c>
      <c r="J16" s="3"/>
      <c r="K16" s="79">
        <v>45.37594122832123</v>
      </c>
      <c r="L16" s="79">
        <f t="shared" si="1"/>
        <v>40.83834711</v>
      </c>
      <c r="M16" s="4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81" t="s">
        <v>24</v>
      </c>
      <c r="K17" s="70"/>
      <c r="L17" s="70" t="str">
        <f t="shared" si="1"/>
        <v/>
      </c>
      <c r="M17" s="4"/>
    </row>
    <row r="18" ht="14.25" customHeight="1">
      <c r="A18" s="13" t="s">
        <v>1843</v>
      </c>
      <c r="B18" s="13" t="s">
        <v>1844</v>
      </c>
      <c r="C18" s="13" t="s">
        <v>4</v>
      </c>
      <c r="D18" s="13" t="s">
        <v>1845</v>
      </c>
      <c r="E18" s="13" t="s">
        <v>6</v>
      </c>
      <c r="F18" s="13" t="s">
        <v>7</v>
      </c>
      <c r="G18" s="13" t="s">
        <v>8</v>
      </c>
      <c r="H18" s="13" t="s">
        <v>9</v>
      </c>
      <c r="I18" s="13" t="s">
        <v>10</v>
      </c>
      <c r="K18" s="70"/>
      <c r="L18" s="70" t="str">
        <f t="shared" si="1"/>
        <v/>
      </c>
      <c r="M18" s="4"/>
    </row>
    <row r="19" ht="14.25" customHeight="1">
      <c r="A19" s="25" t="s">
        <v>1876</v>
      </c>
      <c r="B19" s="25" t="s">
        <v>75</v>
      </c>
      <c r="C19" s="26" t="s">
        <v>1847</v>
      </c>
      <c r="D19" s="26"/>
      <c r="E19" s="26" t="s">
        <v>1873</v>
      </c>
      <c r="F19" s="26" t="s">
        <v>1877</v>
      </c>
      <c r="G19" s="26" t="s">
        <v>1878</v>
      </c>
      <c r="H19" s="27">
        <v>6.0</v>
      </c>
      <c r="I19" s="78">
        <v>0.0</v>
      </c>
      <c r="J19" s="3"/>
      <c r="K19" s="79">
        <v>62.23985178067029</v>
      </c>
      <c r="L19" s="79">
        <f t="shared" si="1"/>
        <v>56.0158666</v>
      </c>
      <c r="M19" s="4"/>
    </row>
    <row r="20" ht="14.25" customHeight="1">
      <c r="A20" s="25" t="s">
        <v>1876</v>
      </c>
      <c r="B20" s="25" t="s">
        <v>75</v>
      </c>
      <c r="C20" s="26" t="s">
        <v>1847</v>
      </c>
      <c r="D20" s="26"/>
      <c r="E20" s="26" t="s">
        <v>1873</v>
      </c>
      <c r="F20" s="26" t="s">
        <v>1879</v>
      </c>
      <c r="G20" s="26" t="s">
        <v>1880</v>
      </c>
      <c r="H20" s="27">
        <v>6.0</v>
      </c>
      <c r="I20" s="78">
        <v>0.0</v>
      </c>
      <c r="J20" s="3"/>
      <c r="K20" s="79">
        <v>64.97643785164212</v>
      </c>
      <c r="L20" s="79">
        <f t="shared" si="1"/>
        <v>58.47879407</v>
      </c>
      <c r="M20" s="4"/>
    </row>
    <row r="21" ht="14.25" customHeight="1">
      <c r="A21" s="25" t="s">
        <v>1876</v>
      </c>
      <c r="B21" s="25" t="s">
        <v>75</v>
      </c>
      <c r="C21" s="26" t="s">
        <v>1847</v>
      </c>
      <c r="D21" s="26"/>
      <c r="E21" s="26" t="s">
        <v>1873</v>
      </c>
      <c r="F21" s="26" t="s">
        <v>1881</v>
      </c>
      <c r="G21" s="26" t="s">
        <v>1882</v>
      </c>
      <c r="H21" s="27">
        <v>6.0</v>
      </c>
      <c r="I21" s="78">
        <v>0.0</v>
      </c>
      <c r="J21" s="3"/>
      <c r="K21" s="79">
        <v>68.70973632278378</v>
      </c>
      <c r="L21" s="79">
        <f t="shared" si="1"/>
        <v>61.83876269</v>
      </c>
      <c r="M21" s="4"/>
    </row>
    <row r="22" ht="14.25" customHeight="1">
      <c r="A22" s="25" t="s">
        <v>1876</v>
      </c>
      <c r="B22" s="25" t="s">
        <v>75</v>
      </c>
      <c r="C22" s="26" t="s">
        <v>1847</v>
      </c>
      <c r="D22" s="26"/>
      <c r="E22" s="26" t="s">
        <v>1873</v>
      </c>
      <c r="F22" s="26" t="s">
        <v>1883</v>
      </c>
      <c r="G22" s="26" t="s">
        <v>1884</v>
      </c>
      <c r="H22" s="27">
        <v>6.0</v>
      </c>
      <c r="I22" s="78">
        <v>0.0</v>
      </c>
      <c r="J22" s="3"/>
      <c r="K22" s="79">
        <v>68.11190909234305</v>
      </c>
      <c r="L22" s="79">
        <f t="shared" si="1"/>
        <v>61.30071818</v>
      </c>
      <c r="M22" s="4"/>
    </row>
    <row r="23" ht="14.25" customHeight="1">
      <c r="A23" s="25" t="s">
        <v>1876</v>
      </c>
      <c r="B23" s="25" t="s">
        <v>75</v>
      </c>
      <c r="C23" s="26" t="s">
        <v>1847</v>
      </c>
      <c r="D23" s="26"/>
      <c r="E23" s="26" t="s">
        <v>1873</v>
      </c>
      <c r="F23" s="26" t="s">
        <v>1885</v>
      </c>
      <c r="G23" s="26" t="s">
        <v>1886</v>
      </c>
      <c r="H23" s="27">
        <v>6.0</v>
      </c>
      <c r="I23" s="78">
        <v>0.0</v>
      </c>
      <c r="J23" s="3"/>
      <c r="K23" s="79">
        <v>69.65405677603913</v>
      </c>
      <c r="L23" s="79">
        <f t="shared" si="1"/>
        <v>62.6886511</v>
      </c>
      <c r="M23" s="4"/>
    </row>
    <row r="24" ht="14.25" customHeight="1">
      <c r="A24" s="25" t="s">
        <v>1876</v>
      </c>
      <c r="B24" s="25" t="s">
        <v>75</v>
      </c>
      <c r="C24" s="26" t="s">
        <v>1847</v>
      </c>
      <c r="D24" s="26"/>
      <c r="E24" s="26" t="s">
        <v>1873</v>
      </c>
      <c r="F24" s="26" t="s">
        <v>1887</v>
      </c>
      <c r="G24" s="26" t="s">
        <v>1888</v>
      </c>
      <c r="H24" s="27">
        <v>6.0</v>
      </c>
      <c r="I24" s="78">
        <v>0.0</v>
      </c>
      <c r="J24" s="3"/>
      <c r="K24" s="79">
        <v>67.99698679995733</v>
      </c>
      <c r="L24" s="79">
        <f t="shared" si="1"/>
        <v>61.19728812</v>
      </c>
      <c r="M24" s="4"/>
    </row>
    <row r="25" ht="14.25" customHeight="1">
      <c r="A25" s="25" t="s">
        <v>1876</v>
      </c>
      <c r="B25" s="25" t="s">
        <v>75</v>
      </c>
      <c r="C25" s="26" t="s">
        <v>1847</v>
      </c>
      <c r="D25" s="26"/>
      <c r="E25" s="26" t="s">
        <v>1873</v>
      </c>
      <c r="F25" s="26" t="s">
        <v>1889</v>
      </c>
      <c r="G25" s="26" t="s">
        <v>1890</v>
      </c>
      <c r="H25" s="27">
        <v>6.0</v>
      </c>
      <c r="I25" s="78">
        <v>0.0</v>
      </c>
      <c r="J25" s="3"/>
      <c r="K25" s="79">
        <v>87.05468639508018</v>
      </c>
      <c r="L25" s="79">
        <f t="shared" si="1"/>
        <v>78.34921776</v>
      </c>
      <c r="M25" s="4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70"/>
      <c r="L26" s="70" t="str">
        <f t="shared" si="1"/>
        <v/>
      </c>
      <c r="M26" s="4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70"/>
      <c r="L27" s="4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70"/>
      <c r="L28" s="4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70"/>
      <c r="L29" s="4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70"/>
      <c r="L30" s="4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70"/>
      <c r="L31" s="4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70"/>
      <c r="L32" s="4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70"/>
      <c r="L33" s="4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70"/>
      <c r="L34" s="4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70"/>
      <c r="L35" s="4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70"/>
      <c r="L36" s="4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70"/>
      <c r="L37" s="4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4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4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4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70"/>
      <c r="L41" s="4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70"/>
      <c r="L42" s="4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70"/>
      <c r="L43" s="4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70"/>
      <c r="L44" s="4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70"/>
      <c r="L45" s="4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70"/>
      <c r="L46" s="4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70"/>
      <c r="L47" s="4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70"/>
      <c r="L48" s="4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70"/>
      <c r="L49" s="4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70"/>
      <c r="L50" s="4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70"/>
      <c r="L51" s="4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70"/>
      <c r="L52" s="4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70"/>
      <c r="L53" s="4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70"/>
      <c r="L54" s="4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70"/>
      <c r="L55" s="4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70"/>
      <c r="L56" s="4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70"/>
      <c r="L57" s="4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70"/>
      <c r="L58" s="4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70"/>
      <c r="L59" s="4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70"/>
      <c r="L60" s="4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4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70"/>
      <c r="L62" s="4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4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4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70"/>
      <c r="L65" s="4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70"/>
      <c r="L66" s="4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70"/>
      <c r="L67" s="4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70"/>
      <c r="L68" s="4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70"/>
      <c r="L69" s="4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70"/>
      <c r="L70" s="4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70"/>
      <c r="L71" s="4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70"/>
      <c r="L72" s="4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70"/>
      <c r="L73" s="4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70"/>
      <c r="L74" s="4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70"/>
      <c r="L75" s="4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70"/>
      <c r="L76" s="4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70"/>
      <c r="L77" s="4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70"/>
      <c r="L78" s="4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70"/>
      <c r="L79" s="4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70"/>
      <c r="L80" s="4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70"/>
      <c r="L81" s="4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70"/>
      <c r="L82" s="4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70"/>
      <c r="L83" s="4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70"/>
      <c r="L84" s="4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70"/>
      <c r="L85" s="4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70"/>
      <c r="L86" s="4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70"/>
      <c r="L87" s="4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70"/>
      <c r="L88" s="4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70"/>
      <c r="L89" s="4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70"/>
      <c r="L90" s="4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70"/>
      <c r="L91" s="4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70"/>
      <c r="L92" s="4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70"/>
      <c r="L93" s="4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70"/>
      <c r="L94" s="4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70"/>
      <c r="L95" s="4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70"/>
      <c r="L96" s="4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70"/>
      <c r="L97" s="4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70"/>
      <c r="L98" s="4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70"/>
      <c r="L99" s="4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70"/>
      <c r="L100" s="4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70"/>
      <c r="L101" s="4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70"/>
      <c r="L102" s="4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70"/>
      <c r="L103" s="4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70"/>
      <c r="L104" s="4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70"/>
      <c r="L105" s="4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70"/>
      <c r="L106" s="4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70"/>
      <c r="L107" s="4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70"/>
      <c r="L108" s="4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70"/>
      <c r="L109" s="4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70"/>
      <c r="L110" s="4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70"/>
      <c r="L111" s="4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70"/>
      <c r="L112" s="4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70"/>
      <c r="L113" s="4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70"/>
      <c r="L114" s="4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70"/>
      <c r="L115" s="4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70"/>
      <c r="L116" s="4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70"/>
      <c r="L117" s="4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70"/>
      <c r="L118" s="4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70"/>
      <c r="L119" s="4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70"/>
      <c r="L120" s="4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70"/>
      <c r="L121" s="4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70"/>
      <c r="L122" s="4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70"/>
      <c r="L123" s="4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70"/>
      <c r="L124" s="4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70"/>
      <c r="L125" s="4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70"/>
      <c r="L126" s="4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70"/>
      <c r="L127" s="4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70"/>
      <c r="L128" s="4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70"/>
      <c r="L129" s="4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70"/>
      <c r="L130" s="4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70"/>
      <c r="L131" s="4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70"/>
      <c r="L132" s="4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70"/>
      <c r="L133" s="4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70"/>
      <c r="L134" s="4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70"/>
      <c r="L135" s="4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70"/>
      <c r="L136" s="4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70"/>
      <c r="L137" s="4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70"/>
      <c r="L138" s="4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70"/>
      <c r="L139" s="4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70"/>
      <c r="L140" s="4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70"/>
      <c r="L141" s="4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70"/>
      <c r="L142" s="4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70"/>
      <c r="L143" s="4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70"/>
      <c r="L144" s="4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70"/>
      <c r="L145" s="4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70"/>
      <c r="L146" s="4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70"/>
      <c r="L147" s="4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70"/>
      <c r="L148" s="4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70"/>
      <c r="L149" s="4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70"/>
      <c r="L150" s="4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70"/>
      <c r="L151" s="4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70"/>
      <c r="L152" s="4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70"/>
      <c r="L153" s="4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70"/>
      <c r="L154" s="4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70"/>
      <c r="L155" s="4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70"/>
      <c r="L156" s="4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70"/>
      <c r="L157" s="4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70"/>
      <c r="L158" s="4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70"/>
      <c r="L159" s="4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70"/>
      <c r="L160" s="4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70"/>
      <c r="L161" s="4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70"/>
      <c r="L162" s="4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70"/>
      <c r="L163" s="4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70"/>
      <c r="L164" s="4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70"/>
      <c r="L165" s="4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70"/>
      <c r="L166" s="4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70"/>
      <c r="L167" s="4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70"/>
      <c r="L168" s="4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70"/>
      <c r="L169" s="4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70"/>
      <c r="L170" s="4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70"/>
      <c r="L171" s="4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70"/>
      <c r="L172" s="4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70"/>
      <c r="L173" s="4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70"/>
      <c r="L174" s="4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70"/>
      <c r="L175" s="4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70"/>
      <c r="L176" s="4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70"/>
      <c r="L177" s="4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70"/>
      <c r="L178" s="4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70"/>
      <c r="L179" s="4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70"/>
      <c r="L180" s="4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70"/>
      <c r="L181" s="4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70"/>
      <c r="L182" s="4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70"/>
      <c r="L183" s="4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70"/>
      <c r="L184" s="4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70"/>
      <c r="L185" s="4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70"/>
      <c r="L186" s="4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70"/>
      <c r="L187" s="4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70"/>
      <c r="L188" s="4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70"/>
      <c r="L189" s="4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70"/>
      <c r="L190" s="4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70"/>
      <c r="L191" s="4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70"/>
      <c r="L192" s="4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70"/>
      <c r="L193" s="4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70"/>
      <c r="L194" s="4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70"/>
      <c r="L195" s="4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70"/>
      <c r="L196" s="4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70"/>
      <c r="L197" s="4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70"/>
      <c r="L198" s="4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70"/>
      <c r="L199" s="4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70"/>
      <c r="L200" s="4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70"/>
      <c r="L201" s="4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70"/>
      <c r="L202" s="4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70"/>
      <c r="L203" s="4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70"/>
      <c r="L204" s="4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70"/>
      <c r="L205" s="4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70"/>
      <c r="L206" s="4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70"/>
      <c r="L207" s="4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70"/>
      <c r="L208" s="4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70"/>
      <c r="L209" s="4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70"/>
      <c r="L210" s="4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70"/>
      <c r="L211" s="4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70"/>
      <c r="L212" s="4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70"/>
      <c r="L213" s="4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70"/>
      <c r="L214" s="4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70"/>
      <c r="L215" s="4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70"/>
      <c r="L216" s="4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70"/>
      <c r="L217" s="4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70"/>
      <c r="L218" s="4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70"/>
      <c r="L219" s="4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70"/>
      <c r="L220" s="4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70"/>
      <c r="L221" s="4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70"/>
      <c r="L222" s="4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70"/>
      <c r="L223" s="4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70"/>
      <c r="L224" s="4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70"/>
      <c r="L225" s="4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70"/>
      <c r="L226" s="4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70"/>
      <c r="L227" s="4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70"/>
      <c r="L228" s="4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70"/>
      <c r="L229" s="4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70"/>
      <c r="L230" s="4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70"/>
      <c r="L231" s="4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70"/>
      <c r="L232" s="4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70"/>
      <c r="L233" s="4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70"/>
      <c r="L234" s="4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70"/>
      <c r="L235" s="4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70"/>
      <c r="L236" s="4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70"/>
      <c r="L237" s="4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70"/>
      <c r="L238" s="4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70"/>
      <c r="L239" s="4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70"/>
      <c r="L240" s="4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70"/>
      <c r="L241" s="4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70"/>
      <c r="L242" s="4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70"/>
      <c r="L243" s="4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70"/>
      <c r="L244" s="4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70"/>
      <c r="L245" s="4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70"/>
      <c r="L246" s="4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70"/>
      <c r="L247" s="4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70"/>
      <c r="L248" s="4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70"/>
      <c r="L249" s="4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70"/>
      <c r="L250" s="4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70"/>
      <c r="L251" s="4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70"/>
      <c r="L252" s="4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70"/>
      <c r="L253" s="4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70"/>
      <c r="L254" s="4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70"/>
      <c r="L255" s="4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70"/>
      <c r="L256" s="4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70"/>
      <c r="L257" s="4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70"/>
      <c r="L258" s="4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70"/>
      <c r="L259" s="4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70"/>
      <c r="L260" s="4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70"/>
      <c r="L261" s="4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70"/>
      <c r="L262" s="4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70"/>
      <c r="L263" s="4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70"/>
      <c r="L264" s="4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70"/>
      <c r="L265" s="4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70"/>
      <c r="L266" s="4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70"/>
      <c r="L267" s="4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70"/>
      <c r="L268" s="4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70"/>
      <c r="L269" s="4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70"/>
      <c r="L270" s="4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70"/>
      <c r="L271" s="4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70"/>
      <c r="L272" s="4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70"/>
      <c r="L273" s="4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70"/>
      <c r="L274" s="4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70"/>
      <c r="L275" s="4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70"/>
      <c r="L276" s="4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70"/>
      <c r="L277" s="4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70"/>
      <c r="L278" s="4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70"/>
      <c r="L279" s="4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70"/>
      <c r="L280" s="4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70"/>
      <c r="L281" s="4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70"/>
      <c r="L282" s="4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70"/>
      <c r="L283" s="4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70"/>
      <c r="L284" s="4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70"/>
      <c r="L285" s="4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70"/>
      <c r="L286" s="4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70"/>
      <c r="L287" s="4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70"/>
      <c r="L288" s="4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70"/>
      <c r="L289" s="4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70"/>
      <c r="L290" s="4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70"/>
      <c r="L291" s="4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70"/>
      <c r="L292" s="4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70"/>
      <c r="L293" s="4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70"/>
      <c r="L294" s="4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70"/>
      <c r="L295" s="4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70"/>
      <c r="L296" s="4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70"/>
      <c r="L297" s="4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70"/>
      <c r="L298" s="4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70"/>
      <c r="L299" s="4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70"/>
      <c r="L300" s="4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70"/>
      <c r="L301" s="4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70"/>
      <c r="L302" s="4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70"/>
      <c r="L303" s="4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70"/>
      <c r="L304" s="4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70"/>
      <c r="L305" s="4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70"/>
      <c r="L306" s="4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70"/>
      <c r="L307" s="4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70"/>
      <c r="L308" s="4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70"/>
      <c r="L309" s="4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70"/>
      <c r="L310" s="4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70"/>
      <c r="L311" s="4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70"/>
      <c r="L312" s="4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70"/>
      <c r="L313" s="4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70"/>
      <c r="L314" s="4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70"/>
      <c r="L315" s="4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70"/>
      <c r="L316" s="4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70"/>
      <c r="L317" s="4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70"/>
      <c r="L318" s="4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70"/>
      <c r="L319" s="4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70"/>
      <c r="L320" s="4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70"/>
      <c r="L321" s="4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70"/>
      <c r="L322" s="4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70"/>
      <c r="L323" s="4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70"/>
      <c r="L324" s="4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70"/>
      <c r="L325" s="4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70"/>
      <c r="L326" s="4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70"/>
      <c r="L327" s="4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70"/>
      <c r="L328" s="4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70"/>
      <c r="L329" s="4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70"/>
      <c r="L330" s="4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70"/>
      <c r="L331" s="4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70"/>
      <c r="L332" s="4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70"/>
      <c r="L333" s="4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70"/>
      <c r="L334" s="4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70"/>
      <c r="L335" s="4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70"/>
      <c r="L336" s="4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70"/>
      <c r="L337" s="4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70"/>
      <c r="L338" s="4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70"/>
      <c r="L339" s="4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70"/>
      <c r="L340" s="4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70"/>
      <c r="L341" s="4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70"/>
      <c r="L342" s="4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70"/>
      <c r="L343" s="4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70"/>
      <c r="L344" s="4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70"/>
      <c r="L345" s="4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70"/>
      <c r="L346" s="4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70"/>
      <c r="L347" s="4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70"/>
      <c r="L348" s="4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70"/>
      <c r="L349" s="4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70"/>
      <c r="L350" s="4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70"/>
      <c r="L351" s="4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70"/>
      <c r="L352" s="4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70"/>
      <c r="L353" s="4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70"/>
      <c r="L354" s="4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70"/>
      <c r="L355" s="4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70"/>
      <c r="L356" s="4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70"/>
      <c r="L357" s="4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70"/>
      <c r="L358" s="4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70"/>
      <c r="L359" s="4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70"/>
      <c r="L360" s="4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70"/>
      <c r="L361" s="4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70"/>
      <c r="L362" s="4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70"/>
      <c r="L363" s="4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70"/>
      <c r="L364" s="4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70"/>
      <c r="L365" s="4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70"/>
      <c r="L366" s="4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70"/>
      <c r="L367" s="4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70"/>
      <c r="L368" s="4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70"/>
      <c r="L369" s="4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70"/>
      <c r="L370" s="4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70"/>
      <c r="L371" s="4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70"/>
      <c r="L372" s="4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70"/>
      <c r="L373" s="4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70"/>
      <c r="L374" s="4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70"/>
      <c r="L375" s="4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70"/>
      <c r="L376" s="4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70"/>
      <c r="L377" s="4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70"/>
      <c r="L378" s="4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70"/>
      <c r="L379" s="4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70"/>
      <c r="L380" s="4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70"/>
      <c r="L381" s="4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70"/>
      <c r="L382" s="4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70"/>
      <c r="L383" s="4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70"/>
      <c r="L384" s="4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70"/>
      <c r="L385" s="4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70"/>
      <c r="L386" s="4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70"/>
      <c r="L387" s="4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70"/>
      <c r="L388" s="4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70"/>
      <c r="L389" s="4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70"/>
      <c r="L390" s="4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70"/>
      <c r="L391" s="4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70"/>
      <c r="L392" s="4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70"/>
      <c r="L393" s="4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70"/>
      <c r="L394" s="4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70"/>
      <c r="L395" s="4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70"/>
      <c r="L396" s="4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70"/>
      <c r="L397" s="4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70"/>
      <c r="L398" s="4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70"/>
      <c r="L399" s="4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70"/>
      <c r="L400" s="4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70"/>
      <c r="L401" s="4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70"/>
      <c r="L402" s="4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70"/>
      <c r="L403" s="4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70"/>
      <c r="L404" s="4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70"/>
      <c r="L405" s="4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70"/>
      <c r="L406" s="4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70"/>
      <c r="L407" s="4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70"/>
      <c r="L408" s="4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70"/>
      <c r="L409" s="4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70"/>
      <c r="L410" s="4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70"/>
      <c r="L411" s="4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70"/>
      <c r="L412" s="4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70"/>
      <c r="L413" s="4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70"/>
      <c r="L414" s="4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70"/>
      <c r="L415" s="4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70"/>
      <c r="L416" s="4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70"/>
      <c r="L417" s="4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70"/>
      <c r="L418" s="4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70"/>
      <c r="L419" s="4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70"/>
      <c r="L420" s="4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70"/>
      <c r="L421" s="4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70"/>
      <c r="L422" s="4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70"/>
      <c r="L423" s="4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70"/>
      <c r="L424" s="4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70"/>
      <c r="L425" s="4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70"/>
      <c r="L426" s="4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70"/>
      <c r="L427" s="4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70"/>
      <c r="L428" s="4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70"/>
      <c r="L429" s="4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70"/>
      <c r="L430" s="4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70"/>
      <c r="L431" s="4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70"/>
      <c r="L432" s="4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70"/>
      <c r="L433" s="4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70"/>
      <c r="L434" s="4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70"/>
      <c r="L435" s="4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70"/>
      <c r="L436" s="4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70"/>
      <c r="L437" s="4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70"/>
      <c r="L438" s="4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70"/>
      <c r="L439" s="4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70"/>
      <c r="L440" s="4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70"/>
      <c r="L441" s="4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70"/>
      <c r="L442" s="4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70"/>
      <c r="L443" s="4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70"/>
      <c r="L444" s="4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70"/>
      <c r="L445" s="4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70"/>
      <c r="L446" s="4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70"/>
      <c r="L447" s="4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70"/>
      <c r="L448" s="4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70"/>
      <c r="L449" s="4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70"/>
      <c r="L450" s="4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70"/>
      <c r="L451" s="4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70"/>
      <c r="L452" s="4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70"/>
      <c r="L453" s="4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70"/>
      <c r="L454" s="4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70"/>
      <c r="L455" s="4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70"/>
      <c r="L456" s="4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70"/>
      <c r="L457" s="4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70"/>
      <c r="L458" s="4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70"/>
      <c r="L459" s="4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70"/>
      <c r="L460" s="4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70"/>
      <c r="L461" s="4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70"/>
      <c r="L462" s="4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70"/>
      <c r="L463" s="4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70"/>
      <c r="L464" s="4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70"/>
      <c r="L465" s="4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70"/>
      <c r="L466" s="4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70"/>
      <c r="L467" s="4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70"/>
      <c r="L468" s="4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70"/>
      <c r="L469" s="4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70"/>
      <c r="L470" s="4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70"/>
      <c r="L471" s="4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70"/>
      <c r="L472" s="4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70"/>
      <c r="L473" s="4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70"/>
      <c r="L474" s="4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70"/>
      <c r="L475" s="4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70"/>
      <c r="L476" s="4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70"/>
      <c r="L477" s="4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70"/>
      <c r="L478" s="4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70"/>
      <c r="L479" s="4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70"/>
      <c r="L480" s="4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70"/>
      <c r="L481" s="4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70"/>
      <c r="L482" s="4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70"/>
      <c r="L483" s="4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70"/>
      <c r="L484" s="4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70"/>
      <c r="L485" s="4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70"/>
      <c r="L486" s="4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70"/>
      <c r="L487" s="4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70"/>
      <c r="L488" s="4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70"/>
      <c r="L489" s="4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70"/>
      <c r="L490" s="4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70"/>
      <c r="L491" s="4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70"/>
      <c r="L492" s="4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70"/>
      <c r="L493" s="4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70"/>
      <c r="L494" s="4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70"/>
      <c r="L495" s="4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70"/>
      <c r="L496" s="4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70"/>
      <c r="L497" s="4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70"/>
      <c r="L498" s="4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70"/>
      <c r="L499" s="4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70"/>
      <c r="L500" s="4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70"/>
      <c r="L501" s="4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70"/>
      <c r="L502" s="4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70"/>
      <c r="L503" s="4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70"/>
      <c r="L504" s="4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70"/>
      <c r="L505" s="4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70"/>
      <c r="L506" s="4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70"/>
      <c r="L507" s="4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70"/>
      <c r="L508" s="4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70"/>
      <c r="L509" s="4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70"/>
      <c r="L510" s="4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70"/>
      <c r="L511" s="4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70"/>
      <c r="L512" s="4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70"/>
      <c r="L513" s="4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70"/>
      <c r="L514" s="4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70"/>
      <c r="L515" s="4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70"/>
      <c r="L516" s="4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70"/>
      <c r="L517" s="4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70"/>
      <c r="L518" s="4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70"/>
      <c r="L519" s="4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70"/>
      <c r="L520" s="4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70"/>
      <c r="L521" s="4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70"/>
      <c r="L522" s="4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70"/>
      <c r="L523" s="4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70"/>
      <c r="L524" s="4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70"/>
      <c r="L525" s="4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70"/>
      <c r="L526" s="4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70"/>
      <c r="L527" s="4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70"/>
      <c r="L528" s="4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70"/>
      <c r="L529" s="4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70"/>
      <c r="L530" s="4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70"/>
      <c r="L531" s="4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70"/>
      <c r="L532" s="4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70"/>
      <c r="L533" s="4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70"/>
      <c r="L534" s="4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70"/>
      <c r="L535" s="4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70"/>
      <c r="L536" s="4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70"/>
      <c r="L537" s="4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70"/>
      <c r="L538" s="4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70"/>
      <c r="L539" s="4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70"/>
      <c r="L540" s="4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70"/>
      <c r="L541" s="4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70"/>
      <c r="L542" s="4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70"/>
      <c r="L543" s="4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70"/>
      <c r="L544" s="4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70"/>
      <c r="L545" s="4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70"/>
      <c r="L546" s="4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70"/>
      <c r="L547" s="4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70"/>
      <c r="L548" s="4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70"/>
      <c r="L549" s="4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70"/>
      <c r="L550" s="4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70"/>
      <c r="L551" s="4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70"/>
      <c r="L552" s="4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70"/>
      <c r="L553" s="4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70"/>
      <c r="L554" s="4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70"/>
      <c r="L555" s="4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70"/>
      <c r="L556" s="4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70"/>
      <c r="L557" s="4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70"/>
      <c r="L558" s="4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70"/>
      <c r="L559" s="4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70"/>
      <c r="L560" s="4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70"/>
      <c r="L561" s="4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70"/>
      <c r="L562" s="4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70"/>
      <c r="L563" s="4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70"/>
      <c r="L564" s="4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70"/>
      <c r="L565" s="4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70"/>
      <c r="L566" s="4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70"/>
      <c r="L567" s="4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70"/>
      <c r="L568" s="4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70"/>
      <c r="L569" s="4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70"/>
      <c r="L570" s="4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70"/>
      <c r="L571" s="4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70"/>
      <c r="L572" s="4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70"/>
      <c r="L573" s="4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70"/>
      <c r="L574" s="4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70"/>
      <c r="L575" s="4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70"/>
      <c r="L576" s="4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70"/>
      <c r="L577" s="4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70"/>
      <c r="L578" s="4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70"/>
      <c r="L579" s="4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70"/>
      <c r="L580" s="4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70"/>
      <c r="L581" s="4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70"/>
      <c r="L582" s="4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70"/>
      <c r="L583" s="4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70"/>
      <c r="L584" s="4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70"/>
      <c r="L585" s="4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70"/>
      <c r="L586" s="4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70"/>
      <c r="L587" s="4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70"/>
      <c r="L588" s="4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70"/>
      <c r="L589" s="4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70"/>
      <c r="L590" s="4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70"/>
      <c r="L591" s="4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70"/>
      <c r="L592" s="4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70"/>
      <c r="L593" s="4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70"/>
      <c r="L594" s="4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70"/>
      <c r="L595" s="4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70"/>
      <c r="L596" s="4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70"/>
      <c r="L597" s="4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70"/>
      <c r="L598" s="4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70"/>
      <c r="L599" s="4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70"/>
      <c r="L600" s="4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70"/>
      <c r="L601" s="4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70"/>
      <c r="L602" s="4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70"/>
      <c r="L603" s="4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70"/>
      <c r="L604" s="4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70"/>
      <c r="L605" s="4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70"/>
      <c r="L606" s="4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70"/>
      <c r="L607" s="4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70"/>
      <c r="L608" s="4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70"/>
      <c r="L609" s="4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70"/>
      <c r="L610" s="4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70"/>
      <c r="L611" s="4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70"/>
      <c r="L612" s="4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70"/>
      <c r="L613" s="4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70"/>
      <c r="L614" s="4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70"/>
      <c r="L615" s="4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70"/>
      <c r="L616" s="4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70"/>
      <c r="L617" s="4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70"/>
      <c r="L618" s="4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70"/>
      <c r="L619" s="4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70"/>
      <c r="L620" s="4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70"/>
      <c r="L621" s="4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70"/>
      <c r="L622" s="4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70"/>
      <c r="L623" s="4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70"/>
      <c r="L624" s="4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70"/>
      <c r="L625" s="4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70"/>
      <c r="L626" s="4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70"/>
      <c r="L627" s="4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70"/>
      <c r="L628" s="4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70"/>
      <c r="L629" s="4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70"/>
      <c r="L630" s="4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70"/>
      <c r="L631" s="4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70"/>
      <c r="L632" s="4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70"/>
      <c r="L633" s="4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70"/>
      <c r="L634" s="4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70"/>
      <c r="L635" s="4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70"/>
      <c r="L636" s="4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70"/>
      <c r="L637" s="4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70"/>
      <c r="L638" s="4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70"/>
      <c r="L639" s="4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70"/>
      <c r="L640" s="4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70"/>
      <c r="L641" s="4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70"/>
      <c r="L642" s="4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70"/>
      <c r="L643" s="4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70"/>
      <c r="L644" s="4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70"/>
      <c r="L645" s="4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70"/>
      <c r="L646" s="4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70"/>
      <c r="L647" s="4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70"/>
      <c r="L648" s="4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70"/>
      <c r="L649" s="4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70"/>
      <c r="L650" s="4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70"/>
      <c r="L651" s="4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70"/>
      <c r="L652" s="4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70"/>
      <c r="L653" s="4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70"/>
      <c r="L654" s="4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70"/>
      <c r="L655" s="4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70"/>
      <c r="L656" s="4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70"/>
      <c r="L657" s="4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70"/>
      <c r="L658" s="4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70"/>
      <c r="L659" s="4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70"/>
      <c r="L660" s="4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70"/>
      <c r="L661" s="4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70"/>
      <c r="L662" s="4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70"/>
      <c r="L663" s="4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70"/>
      <c r="L664" s="4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70"/>
      <c r="L665" s="4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70"/>
      <c r="L666" s="4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70"/>
      <c r="L667" s="4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70"/>
      <c r="L668" s="4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70"/>
      <c r="L669" s="4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70"/>
      <c r="L670" s="4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70"/>
      <c r="L671" s="4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70"/>
      <c r="L672" s="4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70"/>
      <c r="L673" s="4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70"/>
      <c r="L674" s="4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70"/>
      <c r="L675" s="4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70"/>
      <c r="L676" s="4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70"/>
      <c r="L677" s="4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70"/>
      <c r="L678" s="4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70"/>
      <c r="L679" s="4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70"/>
      <c r="L680" s="4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70"/>
      <c r="L681" s="4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70"/>
      <c r="L682" s="4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70"/>
      <c r="L683" s="4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70"/>
      <c r="L684" s="4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70"/>
      <c r="L685" s="4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70"/>
      <c r="L686" s="4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70"/>
      <c r="L687" s="4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70"/>
      <c r="L688" s="4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70"/>
      <c r="L689" s="4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70"/>
      <c r="L690" s="4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70"/>
      <c r="L691" s="4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70"/>
      <c r="L692" s="4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70"/>
      <c r="L693" s="4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70"/>
      <c r="L694" s="4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70"/>
      <c r="L695" s="4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70"/>
      <c r="L696" s="4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70"/>
      <c r="L697" s="4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70"/>
      <c r="L698" s="4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70"/>
      <c r="L699" s="4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70"/>
      <c r="L700" s="4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70"/>
      <c r="L701" s="4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70"/>
      <c r="L702" s="4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70"/>
      <c r="L703" s="4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70"/>
      <c r="L704" s="4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70"/>
      <c r="L705" s="4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70"/>
      <c r="L706" s="4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70"/>
      <c r="L707" s="4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70"/>
      <c r="L708" s="4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70"/>
      <c r="L709" s="4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70"/>
      <c r="L710" s="4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70"/>
      <c r="L711" s="4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70"/>
      <c r="L712" s="4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70"/>
      <c r="L713" s="4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70"/>
      <c r="L714" s="4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70"/>
      <c r="L715" s="4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70"/>
      <c r="L716" s="4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70"/>
      <c r="L717" s="4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70"/>
      <c r="L718" s="4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70"/>
      <c r="L719" s="4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70"/>
      <c r="L720" s="4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70"/>
      <c r="L721" s="4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70"/>
      <c r="L722" s="4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70"/>
      <c r="L723" s="4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70"/>
      <c r="L724" s="4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70"/>
      <c r="L725" s="4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70"/>
      <c r="L726" s="4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70"/>
      <c r="L727" s="4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70"/>
      <c r="L728" s="4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70"/>
      <c r="L729" s="4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70"/>
      <c r="L730" s="4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70"/>
      <c r="L731" s="4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70"/>
      <c r="L732" s="4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70"/>
      <c r="L733" s="4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70"/>
      <c r="L734" s="4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70"/>
      <c r="L735" s="4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70"/>
      <c r="L736" s="4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70"/>
      <c r="L737" s="4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70"/>
      <c r="L738" s="4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70"/>
      <c r="L739" s="4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70"/>
      <c r="L740" s="4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70"/>
      <c r="L741" s="4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70"/>
      <c r="L742" s="4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70"/>
      <c r="L743" s="4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70"/>
      <c r="L744" s="4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70"/>
      <c r="L745" s="4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70"/>
      <c r="L746" s="4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70"/>
      <c r="L747" s="4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70"/>
      <c r="L748" s="4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70"/>
      <c r="L749" s="4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70"/>
      <c r="L750" s="4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70"/>
      <c r="L751" s="4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70"/>
      <c r="L752" s="4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70"/>
      <c r="L753" s="4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70"/>
      <c r="L754" s="4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70"/>
      <c r="L755" s="4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70"/>
      <c r="L756" s="4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70"/>
      <c r="L757" s="4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70"/>
      <c r="L758" s="4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70"/>
      <c r="L759" s="4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70"/>
      <c r="L760" s="4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70"/>
      <c r="L761" s="4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70"/>
      <c r="L762" s="4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70"/>
      <c r="L763" s="4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70"/>
      <c r="L764" s="4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70"/>
      <c r="L765" s="4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70"/>
      <c r="L766" s="4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70"/>
      <c r="L767" s="4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70"/>
      <c r="L768" s="4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70"/>
      <c r="L769" s="4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70"/>
      <c r="L770" s="4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70"/>
      <c r="L771" s="4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70"/>
      <c r="L772" s="4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70"/>
      <c r="L773" s="4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70"/>
      <c r="L774" s="4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70"/>
      <c r="L775" s="4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70"/>
      <c r="L776" s="4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70"/>
      <c r="L777" s="4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70"/>
      <c r="L778" s="4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70"/>
      <c r="L779" s="4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70"/>
      <c r="L780" s="4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70"/>
      <c r="L781" s="4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70"/>
      <c r="L782" s="4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70"/>
      <c r="L783" s="4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70"/>
      <c r="L784" s="4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70"/>
      <c r="L785" s="4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70"/>
      <c r="L786" s="4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70"/>
      <c r="L787" s="4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70"/>
      <c r="L788" s="4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70"/>
      <c r="L789" s="4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70"/>
      <c r="L790" s="4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70"/>
      <c r="L791" s="4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70"/>
      <c r="L792" s="4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70"/>
      <c r="L793" s="4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70"/>
      <c r="L794" s="4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70"/>
      <c r="L795" s="4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70"/>
      <c r="L796" s="4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70"/>
      <c r="L797" s="4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70"/>
      <c r="L798" s="4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70"/>
      <c r="L799" s="4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70"/>
      <c r="L800" s="4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70"/>
      <c r="L801" s="4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70"/>
      <c r="L802" s="4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70"/>
      <c r="L803" s="4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70"/>
      <c r="L804" s="4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70"/>
      <c r="L805" s="4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70"/>
      <c r="L806" s="4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70"/>
      <c r="L807" s="4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70"/>
      <c r="L808" s="4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70"/>
      <c r="L809" s="4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70"/>
      <c r="L810" s="4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70"/>
      <c r="L811" s="4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70"/>
      <c r="L812" s="4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70"/>
      <c r="L813" s="4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70"/>
      <c r="L814" s="4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70"/>
      <c r="L815" s="4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70"/>
      <c r="L816" s="4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70"/>
      <c r="L817" s="4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70"/>
      <c r="L818" s="4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70"/>
      <c r="L819" s="4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70"/>
      <c r="L820" s="4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70"/>
      <c r="L821" s="4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70"/>
      <c r="L822" s="4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70"/>
      <c r="L823" s="4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70"/>
      <c r="L824" s="4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70"/>
      <c r="L825" s="4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70"/>
      <c r="L826" s="4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70"/>
      <c r="L827" s="4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70"/>
      <c r="L828" s="4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70"/>
      <c r="L829" s="4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70"/>
      <c r="L830" s="4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70"/>
      <c r="L831" s="4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70"/>
      <c r="L832" s="4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70"/>
      <c r="L833" s="4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70"/>
      <c r="L834" s="4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70"/>
      <c r="L835" s="4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70"/>
      <c r="L836" s="4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70"/>
      <c r="L837" s="4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70"/>
      <c r="L838" s="4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70"/>
      <c r="L839" s="4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70"/>
      <c r="L840" s="4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70"/>
      <c r="L841" s="4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70"/>
      <c r="L842" s="4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70"/>
      <c r="L843" s="4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70"/>
      <c r="L844" s="4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70"/>
      <c r="L845" s="4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70"/>
      <c r="L846" s="4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70"/>
      <c r="L847" s="4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70"/>
      <c r="L848" s="4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70"/>
      <c r="L849" s="4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70"/>
      <c r="L850" s="4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70"/>
      <c r="L851" s="4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70"/>
      <c r="L852" s="4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70"/>
      <c r="L853" s="4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70"/>
      <c r="L854" s="4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70"/>
      <c r="L855" s="4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70"/>
      <c r="L856" s="4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70"/>
      <c r="L857" s="4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70"/>
      <c r="L858" s="4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70"/>
      <c r="L859" s="4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70"/>
      <c r="L860" s="4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70"/>
      <c r="L861" s="4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70"/>
      <c r="L862" s="4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70"/>
      <c r="L863" s="4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70"/>
      <c r="L864" s="4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70"/>
      <c r="L865" s="4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70"/>
      <c r="L866" s="4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70"/>
      <c r="L867" s="4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70"/>
      <c r="L868" s="4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70"/>
      <c r="L869" s="4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70"/>
      <c r="L870" s="4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70"/>
      <c r="L871" s="4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70"/>
      <c r="L872" s="4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70"/>
      <c r="L873" s="4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70"/>
      <c r="L874" s="4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70"/>
      <c r="L875" s="4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70"/>
      <c r="L876" s="4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70"/>
      <c r="L877" s="4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70"/>
      <c r="L878" s="4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70"/>
      <c r="L879" s="4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70"/>
      <c r="L880" s="4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70"/>
      <c r="L881" s="4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70"/>
      <c r="L882" s="4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70"/>
      <c r="L883" s="4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70"/>
      <c r="L884" s="4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70"/>
      <c r="L885" s="4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70"/>
      <c r="L886" s="4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70"/>
      <c r="L887" s="4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70"/>
      <c r="L888" s="4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70"/>
      <c r="L889" s="4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70"/>
      <c r="L890" s="4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70"/>
      <c r="L891" s="4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70"/>
      <c r="L892" s="4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70"/>
      <c r="L893" s="4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70"/>
      <c r="L894" s="4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70"/>
      <c r="L895" s="4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70"/>
      <c r="L896" s="4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70"/>
      <c r="L897" s="4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70"/>
      <c r="L898" s="4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70"/>
      <c r="L899" s="4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70"/>
      <c r="L900" s="4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70"/>
      <c r="L901" s="4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70"/>
      <c r="L902" s="4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70"/>
      <c r="L903" s="4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70"/>
      <c r="L904" s="4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70"/>
      <c r="L905" s="4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70"/>
      <c r="L906" s="4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70"/>
      <c r="L907" s="4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70"/>
      <c r="L908" s="4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70"/>
      <c r="L909" s="4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70"/>
      <c r="L910" s="4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70"/>
      <c r="L911" s="4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70"/>
      <c r="L912" s="4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70"/>
      <c r="L913" s="4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70"/>
      <c r="L914" s="4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70"/>
      <c r="L915" s="4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70"/>
      <c r="L916" s="4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70"/>
      <c r="L917" s="4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70"/>
      <c r="L918" s="4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70"/>
      <c r="L919" s="4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70"/>
      <c r="L920" s="4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70"/>
      <c r="L921" s="4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70"/>
      <c r="L922" s="4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70"/>
      <c r="L923" s="4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70"/>
      <c r="L924" s="4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70"/>
      <c r="L925" s="4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70"/>
      <c r="L926" s="4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70"/>
      <c r="L927" s="4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70"/>
      <c r="L928" s="4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70"/>
      <c r="L929" s="4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70"/>
      <c r="L930" s="4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70"/>
      <c r="L931" s="4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70"/>
      <c r="L932" s="4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70"/>
      <c r="L933" s="4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70"/>
      <c r="L934" s="4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70"/>
      <c r="L935" s="4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70"/>
      <c r="L936" s="4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70"/>
      <c r="L937" s="4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70"/>
      <c r="L938" s="4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70"/>
      <c r="L939" s="4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70"/>
      <c r="L940" s="4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70"/>
      <c r="L941" s="4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70"/>
      <c r="L942" s="4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70"/>
      <c r="L943" s="4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70"/>
      <c r="L944" s="4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70"/>
      <c r="L945" s="4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70"/>
      <c r="L946" s="4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70"/>
      <c r="L947" s="4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70"/>
      <c r="L948" s="4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70"/>
      <c r="L949" s="4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70"/>
      <c r="L950" s="4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70"/>
      <c r="L951" s="4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70"/>
      <c r="L952" s="4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70"/>
      <c r="L953" s="4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70"/>
      <c r="L954" s="4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70"/>
      <c r="L955" s="4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70"/>
      <c r="L956" s="4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70"/>
      <c r="L957" s="4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70"/>
      <c r="L958" s="4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70"/>
      <c r="L959" s="4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70"/>
      <c r="L960" s="4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70"/>
      <c r="L961" s="4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70"/>
      <c r="L962" s="4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70"/>
      <c r="L963" s="4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70"/>
      <c r="L964" s="4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70"/>
      <c r="L965" s="4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70"/>
      <c r="L966" s="4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70"/>
      <c r="L967" s="4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70"/>
      <c r="L968" s="4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70"/>
      <c r="L969" s="4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70"/>
      <c r="L970" s="4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70"/>
      <c r="L971" s="4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70"/>
      <c r="L972" s="4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70"/>
      <c r="L973" s="4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70"/>
      <c r="L974" s="4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70"/>
      <c r="L975" s="4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70"/>
      <c r="L976" s="4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70"/>
      <c r="L977" s="4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70"/>
      <c r="L978" s="4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70"/>
      <c r="L979" s="4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70"/>
      <c r="L980" s="4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70"/>
      <c r="L981" s="4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70"/>
      <c r="L982" s="4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70"/>
      <c r="L983" s="4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70"/>
      <c r="L984" s="4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70"/>
      <c r="L985" s="4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70"/>
      <c r="L986" s="4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70"/>
      <c r="L987" s="4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70"/>
      <c r="L988" s="4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70"/>
      <c r="L989" s="4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70"/>
      <c r="L990" s="4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70"/>
      <c r="L991" s="4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70"/>
      <c r="L992" s="4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70"/>
      <c r="L993" s="4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70"/>
      <c r="L994" s="4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70"/>
      <c r="L995" s="4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70"/>
      <c r="L996" s="4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70"/>
      <c r="L997" s="4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70"/>
      <c r="L998" s="4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70"/>
      <c r="L999" s="4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70"/>
      <c r="L1000" s="4"/>
    </row>
  </sheetData>
  <mergeCells count="1">
    <mergeCell ref="J17:J18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2" max="2" width="12.57"/>
    <col customWidth="1" min="3" max="3" width="5.71"/>
    <col customWidth="1" min="4" max="4" width="12.86"/>
    <col customWidth="1" min="5" max="5" width="6.86"/>
    <col customWidth="1" min="6" max="6" width="14.86"/>
    <col customWidth="1" min="7" max="7" width="42.14"/>
    <col customWidth="1" min="8" max="8" width="6.57"/>
    <col customWidth="1" min="9" max="9" width="5.43"/>
    <col customWidth="1" min="10" max="10" width="1.14"/>
    <col customWidth="1" hidden="1" min="11" max="11" width="16.57"/>
    <col customWidth="1" min="12" max="12" width="18.43"/>
    <col customWidth="1" min="13" max="13" width="12.71"/>
    <col customWidth="1" min="14" max="26" width="18.43"/>
  </cols>
  <sheetData>
    <row r="1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70"/>
      <c r="L1" s="4"/>
    </row>
    <row r="2" ht="14.25" customHeight="1">
      <c r="A2" s="3"/>
      <c r="B2" s="3"/>
      <c r="C2" s="3"/>
      <c r="D2" s="3"/>
      <c r="E2" s="3"/>
      <c r="F2" s="3"/>
      <c r="G2" s="71" t="s">
        <v>1841</v>
      </c>
      <c r="H2" s="3"/>
      <c r="I2" s="3"/>
      <c r="J2" s="3"/>
      <c r="K2" s="70"/>
      <c r="L2" s="4"/>
    </row>
    <row r="3" ht="14.25" customHeight="1">
      <c r="A3" s="72"/>
      <c r="B3" s="9"/>
      <c r="C3" s="8"/>
      <c r="D3" s="8"/>
      <c r="E3" s="8"/>
      <c r="F3" s="8"/>
      <c r="G3" s="8"/>
      <c r="H3" s="9"/>
      <c r="I3" s="10"/>
      <c r="J3" s="73"/>
      <c r="K3" s="82"/>
      <c r="L3" s="83"/>
      <c r="M3" s="83"/>
    </row>
    <row r="4" ht="14.25" customHeight="1">
      <c r="A4" s="72"/>
      <c r="B4" s="8"/>
      <c r="C4" s="8"/>
      <c r="D4" s="8"/>
      <c r="E4" s="8"/>
      <c r="F4" s="8"/>
      <c r="G4" s="8"/>
      <c r="H4" s="9"/>
      <c r="I4" s="10"/>
      <c r="J4" s="73"/>
      <c r="K4" s="74" t="s">
        <v>3</v>
      </c>
      <c r="L4" s="84" t="s">
        <v>1891</v>
      </c>
      <c r="M4" s="84" t="s">
        <v>1892</v>
      </c>
    </row>
    <row r="5" ht="14.25" customHeight="1">
      <c r="A5" s="13" t="s">
        <v>1843</v>
      </c>
      <c r="B5" s="85" t="s">
        <v>1844</v>
      </c>
      <c r="C5" s="13" t="s">
        <v>4</v>
      </c>
      <c r="D5" s="13" t="s">
        <v>1845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75"/>
      <c r="K5" s="86" t="s">
        <v>11</v>
      </c>
      <c r="L5" s="87"/>
      <c r="M5" s="87"/>
    </row>
    <row r="6" ht="14.25" customHeight="1">
      <c r="A6" s="61" t="s">
        <v>1893</v>
      </c>
      <c r="B6" s="77" t="s">
        <v>1893</v>
      </c>
      <c r="C6" s="77" t="s">
        <v>1894</v>
      </c>
      <c r="D6" s="77" t="s">
        <v>1895</v>
      </c>
      <c r="E6" s="26"/>
      <c r="F6" s="26" t="s">
        <v>1896</v>
      </c>
      <c r="G6" s="26" t="s">
        <v>1897</v>
      </c>
      <c r="H6" s="27">
        <v>6.0</v>
      </c>
      <c r="I6" s="78">
        <v>0.0</v>
      </c>
      <c r="J6" s="3"/>
      <c r="K6" s="88">
        <v>50.607532865583465</v>
      </c>
      <c r="L6" s="79">
        <f t="shared" ref="L6:L16" si="1">IF(K6&lt;&gt;"",K6-(K6*0.1),"")</f>
        <v>45.54677958</v>
      </c>
      <c r="M6" s="79">
        <v>59.23</v>
      </c>
    </row>
    <row r="7" ht="14.25" customHeight="1">
      <c r="A7" s="61" t="s">
        <v>1893</v>
      </c>
      <c r="B7" s="77" t="s">
        <v>1893</v>
      </c>
      <c r="C7" s="77" t="s">
        <v>1894</v>
      </c>
      <c r="D7" s="77" t="s">
        <v>1895</v>
      </c>
      <c r="E7" s="25" t="s">
        <v>1898</v>
      </c>
      <c r="F7" s="26" t="s">
        <v>1899</v>
      </c>
      <c r="G7" s="26" t="s">
        <v>1900</v>
      </c>
      <c r="H7" s="27">
        <v>6.0</v>
      </c>
      <c r="I7" s="78">
        <v>0.0</v>
      </c>
      <c r="J7" s="3"/>
      <c r="K7" s="88">
        <v>51.52766982677589</v>
      </c>
      <c r="L7" s="79">
        <f t="shared" si="1"/>
        <v>46.37490284</v>
      </c>
      <c r="M7" s="79">
        <v>55.88</v>
      </c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70"/>
      <c r="L8" s="79" t="str">
        <f t="shared" si="1"/>
        <v/>
      </c>
      <c r="M8" s="79"/>
    </row>
    <row r="9" ht="14.25" customHeight="1">
      <c r="A9" s="61" t="s">
        <v>1901</v>
      </c>
      <c r="B9" s="77" t="s">
        <v>1901</v>
      </c>
      <c r="C9" s="77" t="s">
        <v>1894</v>
      </c>
      <c r="D9" s="77" t="s">
        <v>1902</v>
      </c>
      <c r="E9" s="25" t="s">
        <v>1903</v>
      </c>
      <c r="F9" s="26" t="s">
        <v>1904</v>
      </c>
      <c r="G9" s="26" t="s">
        <v>1905</v>
      </c>
      <c r="H9" s="27">
        <v>12.0</v>
      </c>
      <c r="I9" s="78">
        <v>0.0</v>
      </c>
      <c r="J9" s="3"/>
      <c r="K9" s="88">
        <v>7.036946273567468</v>
      </c>
      <c r="L9" s="79">
        <f t="shared" si="1"/>
        <v>6.333251646</v>
      </c>
      <c r="M9" s="79">
        <v>6.33</v>
      </c>
    </row>
    <row r="10" ht="14.25" customHeight="1">
      <c r="A10" s="61" t="s">
        <v>1901</v>
      </c>
      <c r="B10" s="77" t="s">
        <v>1901</v>
      </c>
      <c r="C10" s="77" t="s">
        <v>1894</v>
      </c>
      <c r="D10" s="77" t="s">
        <v>1902</v>
      </c>
      <c r="E10" s="25" t="s">
        <v>1906</v>
      </c>
      <c r="F10" s="26" t="s">
        <v>1907</v>
      </c>
      <c r="G10" s="26" t="s">
        <v>1908</v>
      </c>
      <c r="H10" s="27">
        <v>12.0</v>
      </c>
      <c r="I10" s="78">
        <v>0.0</v>
      </c>
      <c r="J10" s="3"/>
      <c r="K10" s="88">
        <v>7.036946273567468</v>
      </c>
      <c r="L10" s="79">
        <f t="shared" si="1"/>
        <v>6.333251646</v>
      </c>
      <c r="M10" s="79">
        <v>6.33</v>
      </c>
    </row>
    <row r="11" ht="14.25" customHeight="1">
      <c r="A11" s="61" t="s">
        <v>1901</v>
      </c>
      <c r="B11" s="77" t="s">
        <v>1901</v>
      </c>
      <c r="C11" s="77" t="s">
        <v>1894</v>
      </c>
      <c r="D11" s="77" t="s">
        <v>1902</v>
      </c>
      <c r="E11" s="25" t="s">
        <v>75</v>
      </c>
      <c r="F11" s="26" t="s">
        <v>1909</v>
      </c>
      <c r="G11" s="26" t="s">
        <v>1910</v>
      </c>
      <c r="H11" s="27">
        <v>12.0</v>
      </c>
      <c r="I11" s="78">
        <v>0.0</v>
      </c>
      <c r="J11" s="3"/>
      <c r="K11" s="88">
        <v>7.036946273567468</v>
      </c>
      <c r="L11" s="79">
        <f t="shared" si="1"/>
        <v>6.333251646</v>
      </c>
      <c r="M11" s="79">
        <v>6.33</v>
      </c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70"/>
      <c r="L12" s="79" t="str">
        <f t="shared" si="1"/>
        <v/>
      </c>
      <c r="M12" s="79"/>
    </row>
    <row r="13" ht="14.25" customHeight="1">
      <c r="A13" s="89" t="s">
        <v>1911</v>
      </c>
      <c r="B13" s="77" t="s">
        <v>1912</v>
      </c>
      <c r="C13" s="77" t="s">
        <v>1894</v>
      </c>
      <c r="D13" s="77" t="s">
        <v>1902</v>
      </c>
      <c r="E13" s="77" t="s">
        <v>1873</v>
      </c>
      <c r="F13" s="26" t="s">
        <v>1913</v>
      </c>
      <c r="G13" s="26" t="s">
        <v>1914</v>
      </c>
      <c r="H13" s="27">
        <v>12.0</v>
      </c>
      <c r="I13" s="78">
        <v>0.0</v>
      </c>
      <c r="J13" s="3"/>
      <c r="K13" s="88">
        <v>22.02393374460043</v>
      </c>
      <c r="L13" s="79">
        <f t="shared" si="1"/>
        <v>19.82154037</v>
      </c>
      <c r="M13" s="79" t="s">
        <v>1915</v>
      </c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70"/>
      <c r="L14" s="79" t="str">
        <f t="shared" si="1"/>
        <v/>
      </c>
      <c r="M14" s="79"/>
    </row>
    <row r="15" ht="14.25" customHeight="1">
      <c r="A15" s="25" t="s">
        <v>1916</v>
      </c>
      <c r="B15" s="25"/>
      <c r="C15" s="25" t="s">
        <v>1894</v>
      </c>
      <c r="D15" s="25" t="s">
        <v>75</v>
      </c>
      <c r="E15" s="25" t="s">
        <v>1873</v>
      </c>
      <c r="F15" s="26" t="s">
        <v>1917</v>
      </c>
      <c r="G15" s="26" t="s">
        <v>1918</v>
      </c>
      <c r="H15" s="27">
        <v>24.0</v>
      </c>
      <c r="I15" s="78">
        <v>0.0</v>
      </c>
      <c r="J15" s="3"/>
      <c r="K15" s="88">
        <v>5.619477245140389</v>
      </c>
      <c r="L15" s="90">
        <f t="shared" si="1"/>
        <v>5.057529521</v>
      </c>
      <c r="M15" s="90" t="s">
        <v>1915</v>
      </c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70"/>
      <c r="L16" s="70" t="str">
        <f t="shared" si="1"/>
        <v/>
      </c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70"/>
      <c r="L17" s="4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70"/>
      <c r="L18" s="4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70"/>
      <c r="L19" s="4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70"/>
      <c r="L20" s="4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70"/>
      <c r="L21" s="4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70"/>
      <c r="L22" s="4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70"/>
      <c r="L23" s="4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70"/>
      <c r="L24" s="4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70"/>
      <c r="L25" s="4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70"/>
      <c r="L26" s="4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70"/>
      <c r="L27" s="4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70"/>
      <c r="L28" s="4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70"/>
      <c r="L29" s="4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70"/>
      <c r="L30" s="4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70"/>
      <c r="L31" s="4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70"/>
      <c r="L32" s="4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70"/>
      <c r="L33" s="4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70"/>
      <c r="L34" s="4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70"/>
      <c r="L35" s="4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70"/>
      <c r="L36" s="4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70"/>
      <c r="L37" s="4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4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4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4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70"/>
      <c r="L41" s="4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70"/>
      <c r="L42" s="4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70"/>
      <c r="L43" s="4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70"/>
      <c r="L44" s="4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70"/>
      <c r="L45" s="4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70"/>
      <c r="L46" s="4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70"/>
      <c r="L47" s="4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70"/>
      <c r="L48" s="4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70"/>
      <c r="L49" s="4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70"/>
      <c r="L50" s="4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70"/>
      <c r="L51" s="4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70"/>
      <c r="L52" s="4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70"/>
      <c r="L53" s="4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70"/>
      <c r="L54" s="4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70"/>
      <c r="L55" s="4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70"/>
      <c r="L56" s="4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70"/>
      <c r="L57" s="4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70"/>
      <c r="L58" s="4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70"/>
      <c r="L59" s="4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70"/>
      <c r="L60" s="4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4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70"/>
      <c r="L62" s="4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4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4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70"/>
      <c r="L65" s="4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70"/>
      <c r="L66" s="4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70"/>
      <c r="L67" s="4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70"/>
      <c r="L68" s="4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70"/>
      <c r="L69" s="4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70"/>
      <c r="L70" s="4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70"/>
      <c r="L71" s="4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70"/>
      <c r="L72" s="4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70"/>
      <c r="L73" s="4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70"/>
      <c r="L74" s="4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70"/>
      <c r="L75" s="4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70"/>
      <c r="L76" s="4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70"/>
      <c r="L77" s="4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70"/>
      <c r="L78" s="4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70"/>
      <c r="L79" s="4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70"/>
      <c r="L80" s="4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70"/>
      <c r="L81" s="4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70"/>
      <c r="L82" s="4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70"/>
      <c r="L83" s="4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70"/>
      <c r="L84" s="4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70"/>
      <c r="L85" s="4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70"/>
      <c r="L86" s="4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70"/>
      <c r="L87" s="4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70"/>
      <c r="L88" s="4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70"/>
      <c r="L89" s="4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70"/>
      <c r="L90" s="4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70"/>
      <c r="L91" s="4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70"/>
      <c r="L92" s="4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70"/>
      <c r="L93" s="4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70"/>
      <c r="L94" s="4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70"/>
      <c r="L95" s="4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70"/>
      <c r="L96" s="4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70"/>
      <c r="L97" s="4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70"/>
      <c r="L98" s="4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70"/>
      <c r="L99" s="4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70"/>
      <c r="L100" s="4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70"/>
      <c r="L101" s="4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70"/>
      <c r="L102" s="4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70"/>
      <c r="L103" s="4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70"/>
      <c r="L104" s="4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70"/>
      <c r="L105" s="4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70"/>
      <c r="L106" s="4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70"/>
      <c r="L107" s="4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70"/>
      <c r="L108" s="4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70"/>
      <c r="L109" s="4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70"/>
      <c r="L110" s="4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70"/>
      <c r="L111" s="4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70"/>
      <c r="L112" s="4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70"/>
      <c r="L113" s="4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70"/>
      <c r="L114" s="4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70"/>
      <c r="L115" s="4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70"/>
      <c r="L116" s="4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70"/>
      <c r="L117" s="4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70"/>
      <c r="L118" s="4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70"/>
      <c r="L119" s="4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70"/>
      <c r="L120" s="4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70"/>
      <c r="L121" s="4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70"/>
      <c r="L122" s="4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70"/>
      <c r="L123" s="4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70"/>
      <c r="L124" s="4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70"/>
      <c r="L125" s="4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70"/>
      <c r="L126" s="4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70"/>
      <c r="L127" s="4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70"/>
      <c r="L128" s="4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70"/>
      <c r="L129" s="4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70"/>
      <c r="L130" s="4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70"/>
      <c r="L131" s="4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70"/>
      <c r="L132" s="4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70"/>
      <c r="L133" s="4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70"/>
      <c r="L134" s="4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70"/>
      <c r="L135" s="4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70"/>
      <c r="L136" s="4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70"/>
      <c r="L137" s="4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70"/>
      <c r="L138" s="4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70"/>
      <c r="L139" s="4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70"/>
      <c r="L140" s="4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70"/>
      <c r="L141" s="4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70"/>
      <c r="L142" s="4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70"/>
      <c r="L143" s="4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70"/>
      <c r="L144" s="4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70"/>
      <c r="L145" s="4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70"/>
      <c r="L146" s="4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70"/>
      <c r="L147" s="4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70"/>
      <c r="L148" s="4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70"/>
      <c r="L149" s="4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70"/>
      <c r="L150" s="4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70"/>
      <c r="L151" s="4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70"/>
      <c r="L152" s="4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70"/>
      <c r="L153" s="4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70"/>
      <c r="L154" s="4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70"/>
      <c r="L155" s="4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70"/>
      <c r="L156" s="4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70"/>
      <c r="L157" s="4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70"/>
      <c r="L158" s="4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70"/>
      <c r="L159" s="4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70"/>
      <c r="L160" s="4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70"/>
      <c r="L161" s="4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70"/>
      <c r="L162" s="4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70"/>
      <c r="L163" s="4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70"/>
      <c r="L164" s="4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70"/>
      <c r="L165" s="4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70"/>
      <c r="L166" s="4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70"/>
      <c r="L167" s="4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70"/>
      <c r="L168" s="4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70"/>
      <c r="L169" s="4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70"/>
      <c r="L170" s="4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70"/>
      <c r="L171" s="4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70"/>
      <c r="L172" s="4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70"/>
      <c r="L173" s="4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70"/>
      <c r="L174" s="4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70"/>
      <c r="L175" s="4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70"/>
      <c r="L176" s="4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70"/>
      <c r="L177" s="4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70"/>
      <c r="L178" s="4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70"/>
      <c r="L179" s="4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70"/>
      <c r="L180" s="4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70"/>
      <c r="L181" s="4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70"/>
      <c r="L182" s="4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70"/>
      <c r="L183" s="4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70"/>
      <c r="L184" s="4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70"/>
      <c r="L185" s="4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70"/>
      <c r="L186" s="4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70"/>
      <c r="L187" s="4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70"/>
      <c r="L188" s="4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70"/>
      <c r="L189" s="4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70"/>
      <c r="L190" s="4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70"/>
      <c r="L191" s="4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70"/>
      <c r="L192" s="4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70"/>
      <c r="L193" s="4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70"/>
      <c r="L194" s="4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70"/>
      <c r="L195" s="4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70"/>
      <c r="L196" s="4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70"/>
      <c r="L197" s="4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70"/>
      <c r="L198" s="4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70"/>
      <c r="L199" s="4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70"/>
      <c r="L200" s="4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70"/>
      <c r="L201" s="4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70"/>
      <c r="L202" s="4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70"/>
      <c r="L203" s="4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70"/>
      <c r="L204" s="4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70"/>
      <c r="L205" s="4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70"/>
      <c r="L206" s="4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70"/>
      <c r="L207" s="4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70"/>
      <c r="L208" s="4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70"/>
      <c r="L209" s="4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70"/>
      <c r="L210" s="4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70"/>
      <c r="L211" s="4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70"/>
      <c r="L212" s="4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70"/>
      <c r="L213" s="4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70"/>
      <c r="L214" s="4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70"/>
      <c r="L215" s="4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70"/>
      <c r="L216" s="4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70"/>
      <c r="L217" s="4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70"/>
      <c r="L218" s="4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70"/>
      <c r="L219" s="4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70"/>
      <c r="L220" s="4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70"/>
      <c r="L221" s="4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70"/>
      <c r="L222" s="4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70"/>
      <c r="L223" s="4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70"/>
      <c r="L224" s="4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70"/>
      <c r="L225" s="4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70"/>
      <c r="L226" s="4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70"/>
      <c r="L227" s="4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70"/>
      <c r="L228" s="4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70"/>
      <c r="L229" s="4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70"/>
      <c r="L230" s="4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70"/>
      <c r="L231" s="4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70"/>
      <c r="L232" s="4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70"/>
      <c r="L233" s="4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70"/>
      <c r="L234" s="4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70"/>
      <c r="L235" s="4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70"/>
      <c r="L236" s="4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70"/>
      <c r="L237" s="4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70"/>
      <c r="L238" s="4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70"/>
      <c r="L239" s="4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70"/>
      <c r="L240" s="4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70"/>
      <c r="L241" s="4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70"/>
      <c r="L242" s="4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70"/>
      <c r="L243" s="4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70"/>
      <c r="L244" s="4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70"/>
      <c r="L245" s="4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70"/>
      <c r="L246" s="4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70"/>
      <c r="L247" s="4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70"/>
      <c r="L248" s="4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70"/>
      <c r="L249" s="4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70"/>
      <c r="L250" s="4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70"/>
      <c r="L251" s="4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70"/>
      <c r="L252" s="4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70"/>
      <c r="L253" s="4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70"/>
      <c r="L254" s="4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70"/>
      <c r="L255" s="4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70"/>
      <c r="L256" s="4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70"/>
      <c r="L257" s="4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70"/>
      <c r="L258" s="4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70"/>
      <c r="L259" s="4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70"/>
      <c r="L260" s="4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70"/>
      <c r="L261" s="4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70"/>
      <c r="L262" s="4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70"/>
      <c r="L263" s="4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70"/>
      <c r="L264" s="4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70"/>
      <c r="L265" s="4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70"/>
      <c r="L266" s="4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70"/>
      <c r="L267" s="4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70"/>
      <c r="L268" s="4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70"/>
      <c r="L269" s="4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70"/>
      <c r="L270" s="4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70"/>
      <c r="L271" s="4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70"/>
      <c r="L272" s="4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70"/>
      <c r="L273" s="4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70"/>
      <c r="L274" s="4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70"/>
      <c r="L275" s="4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70"/>
      <c r="L276" s="4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70"/>
      <c r="L277" s="4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70"/>
      <c r="L278" s="4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70"/>
      <c r="L279" s="4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70"/>
      <c r="L280" s="4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70"/>
      <c r="L281" s="4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70"/>
      <c r="L282" s="4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70"/>
      <c r="L283" s="4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70"/>
      <c r="L284" s="4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70"/>
      <c r="L285" s="4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70"/>
      <c r="L286" s="4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70"/>
      <c r="L287" s="4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70"/>
      <c r="L288" s="4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70"/>
      <c r="L289" s="4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70"/>
      <c r="L290" s="4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70"/>
      <c r="L291" s="4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70"/>
      <c r="L292" s="4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70"/>
      <c r="L293" s="4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70"/>
      <c r="L294" s="4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70"/>
      <c r="L295" s="4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70"/>
      <c r="L296" s="4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70"/>
      <c r="L297" s="4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70"/>
      <c r="L298" s="4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70"/>
      <c r="L299" s="4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70"/>
      <c r="L300" s="4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70"/>
      <c r="L301" s="4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70"/>
      <c r="L302" s="4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70"/>
      <c r="L303" s="4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70"/>
      <c r="L304" s="4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70"/>
      <c r="L305" s="4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70"/>
      <c r="L306" s="4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70"/>
      <c r="L307" s="4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70"/>
      <c r="L308" s="4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70"/>
      <c r="L309" s="4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70"/>
      <c r="L310" s="4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70"/>
      <c r="L311" s="4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70"/>
      <c r="L312" s="4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70"/>
      <c r="L313" s="4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70"/>
      <c r="L314" s="4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70"/>
      <c r="L315" s="4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70"/>
      <c r="L316" s="4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70"/>
      <c r="L317" s="4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70"/>
      <c r="L318" s="4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70"/>
      <c r="L319" s="4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70"/>
      <c r="L320" s="4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70"/>
      <c r="L321" s="4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70"/>
      <c r="L322" s="4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70"/>
      <c r="L323" s="4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70"/>
      <c r="L324" s="4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70"/>
      <c r="L325" s="4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70"/>
      <c r="L326" s="4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70"/>
      <c r="L327" s="4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70"/>
      <c r="L328" s="4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70"/>
      <c r="L329" s="4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70"/>
      <c r="L330" s="4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70"/>
      <c r="L331" s="4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70"/>
      <c r="L332" s="4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70"/>
      <c r="L333" s="4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70"/>
      <c r="L334" s="4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70"/>
      <c r="L335" s="4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70"/>
      <c r="L336" s="4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70"/>
      <c r="L337" s="4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70"/>
      <c r="L338" s="4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70"/>
      <c r="L339" s="4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70"/>
      <c r="L340" s="4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70"/>
      <c r="L341" s="4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70"/>
      <c r="L342" s="4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70"/>
      <c r="L343" s="4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70"/>
      <c r="L344" s="4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70"/>
      <c r="L345" s="4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70"/>
      <c r="L346" s="4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70"/>
      <c r="L347" s="4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70"/>
      <c r="L348" s="4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70"/>
      <c r="L349" s="4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70"/>
      <c r="L350" s="4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70"/>
      <c r="L351" s="4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70"/>
      <c r="L352" s="4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70"/>
      <c r="L353" s="4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70"/>
      <c r="L354" s="4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70"/>
      <c r="L355" s="4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70"/>
      <c r="L356" s="4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70"/>
      <c r="L357" s="4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70"/>
      <c r="L358" s="4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70"/>
      <c r="L359" s="4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70"/>
      <c r="L360" s="4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70"/>
      <c r="L361" s="4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70"/>
      <c r="L362" s="4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70"/>
      <c r="L363" s="4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70"/>
      <c r="L364" s="4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70"/>
      <c r="L365" s="4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70"/>
      <c r="L366" s="4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70"/>
      <c r="L367" s="4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70"/>
      <c r="L368" s="4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70"/>
      <c r="L369" s="4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70"/>
      <c r="L370" s="4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70"/>
      <c r="L371" s="4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70"/>
      <c r="L372" s="4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70"/>
      <c r="L373" s="4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70"/>
      <c r="L374" s="4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70"/>
      <c r="L375" s="4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70"/>
      <c r="L376" s="4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70"/>
      <c r="L377" s="4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70"/>
      <c r="L378" s="4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70"/>
      <c r="L379" s="4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70"/>
      <c r="L380" s="4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70"/>
      <c r="L381" s="4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70"/>
      <c r="L382" s="4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70"/>
      <c r="L383" s="4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70"/>
      <c r="L384" s="4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70"/>
      <c r="L385" s="4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70"/>
      <c r="L386" s="4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70"/>
      <c r="L387" s="4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70"/>
      <c r="L388" s="4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70"/>
      <c r="L389" s="4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70"/>
      <c r="L390" s="4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70"/>
      <c r="L391" s="4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70"/>
      <c r="L392" s="4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70"/>
      <c r="L393" s="4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70"/>
      <c r="L394" s="4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70"/>
      <c r="L395" s="4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70"/>
      <c r="L396" s="4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70"/>
      <c r="L397" s="4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70"/>
      <c r="L398" s="4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70"/>
      <c r="L399" s="4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70"/>
      <c r="L400" s="4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70"/>
      <c r="L401" s="4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70"/>
      <c r="L402" s="4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70"/>
      <c r="L403" s="4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70"/>
      <c r="L404" s="4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70"/>
      <c r="L405" s="4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70"/>
      <c r="L406" s="4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70"/>
      <c r="L407" s="4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70"/>
      <c r="L408" s="4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70"/>
      <c r="L409" s="4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70"/>
      <c r="L410" s="4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70"/>
      <c r="L411" s="4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70"/>
      <c r="L412" s="4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70"/>
      <c r="L413" s="4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70"/>
      <c r="L414" s="4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70"/>
      <c r="L415" s="4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70"/>
      <c r="L416" s="4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70"/>
      <c r="L417" s="4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70"/>
      <c r="L418" s="4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70"/>
      <c r="L419" s="4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70"/>
      <c r="L420" s="4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70"/>
      <c r="L421" s="4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70"/>
      <c r="L422" s="4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70"/>
      <c r="L423" s="4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70"/>
      <c r="L424" s="4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70"/>
      <c r="L425" s="4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70"/>
      <c r="L426" s="4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70"/>
      <c r="L427" s="4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70"/>
      <c r="L428" s="4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70"/>
      <c r="L429" s="4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70"/>
      <c r="L430" s="4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70"/>
      <c r="L431" s="4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70"/>
      <c r="L432" s="4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70"/>
      <c r="L433" s="4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70"/>
      <c r="L434" s="4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70"/>
      <c r="L435" s="4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70"/>
      <c r="L436" s="4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70"/>
      <c r="L437" s="4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70"/>
      <c r="L438" s="4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70"/>
      <c r="L439" s="4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70"/>
      <c r="L440" s="4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70"/>
      <c r="L441" s="4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70"/>
      <c r="L442" s="4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70"/>
      <c r="L443" s="4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70"/>
      <c r="L444" s="4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70"/>
      <c r="L445" s="4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70"/>
      <c r="L446" s="4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70"/>
      <c r="L447" s="4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70"/>
      <c r="L448" s="4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70"/>
      <c r="L449" s="4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70"/>
      <c r="L450" s="4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70"/>
      <c r="L451" s="4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70"/>
      <c r="L452" s="4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70"/>
      <c r="L453" s="4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70"/>
      <c r="L454" s="4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70"/>
      <c r="L455" s="4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70"/>
      <c r="L456" s="4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70"/>
      <c r="L457" s="4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70"/>
      <c r="L458" s="4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70"/>
      <c r="L459" s="4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70"/>
      <c r="L460" s="4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70"/>
      <c r="L461" s="4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70"/>
      <c r="L462" s="4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70"/>
      <c r="L463" s="4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70"/>
      <c r="L464" s="4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70"/>
      <c r="L465" s="4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70"/>
      <c r="L466" s="4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70"/>
      <c r="L467" s="4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70"/>
      <c r="L468" s="4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70"/>
      <c r="L469" s="4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70"/>
      <c r="L470" s="4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70"/>
      <c r="L471" s="4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70"/>
      <c r="L472" s="4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70"/>
      <c r="L473" s="4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70"/>
      <c r="L474" s="4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70"/>
      <c r="L475" s="4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70"/>
      <c r="L476" s="4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70"/>
      <c r="L477" s="4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70"/>
      <c r="L478" s="4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70"/>
      <c r="L479" s="4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70"/>
      <c r="L480" s="4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70"/>
      <c r="L481" s="4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70"/>
      <c r="L482" s="4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70"/>
      <c r="L483" s="4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70"/>
      <c r="L484" s="4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70"/>
      <c r="L485" s="4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70"/>
      <c r="L486" s="4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70"/>
      <c r="L487" s="4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70"/>
      <c r="L488" s="4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70"/>
      <c r="L489" s="4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70"/>
      <c r="L490" s="4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70"/>
      <c r="L491" s="4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70"/>
      <c r="L492" s="4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70"/>
      <c r="L493" s="4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70"/>
      <c r="L494" s="4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70"/>
      <c r="L495" s="4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70"/>
      <c r="L496" s="4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70"/>
      <c r="L497" s="4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70"/>
      <c r="L498" s="4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70"/>
      <c r="L499" s="4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70"/>
      <c r="L500" s="4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70"/>
      <c r="L501" s="4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70"/>
      <c r="L502" s="4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70"/>
      <c r="L503" s="4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70"/>
      <c r="L504" s="4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70"/>
      <c r="L505" s="4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70"/>
      <c r="L506" s="4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70"/>
      <c r="L507" s="4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70"/>
      <c r="L508" s="4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70"/>
      <c r="L509" s="4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70"/>
      <c r="L510" s="4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70"/>
      <c r="L511" s="4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70"/>
      <c r="L512" s="4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70"/>
      <c r="L513" s="4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70"/>
      <c r="L514" s="4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70"/>
      <c r="L515" s="4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70"/>
      <c r="L516" s="4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70"/>
      <c r="L517" s="4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70"/>
      <c r="L518" s="4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70"/>
      <c r="L519" s="4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70"/>
      <c r="L520" s="4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70"/>
      <c r="L521" s="4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70"/>
      <c r="L522" s="4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70"/>
      <c r="L523" s="4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70"/>
      <c r="L524" s="4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70"/>
      <c r="L525" s="4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70"/>
      <c r="L526" s="4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70"/>
      <c r="L527" s="4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70"/>
      <c r="L528" s="4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70"/>
      <c r="L529" s="4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70"/>
      <c r="L530" s="4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70"/>
      <c r="L531" s="4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70"/>
      <c r="L532" s="4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70"/>
      <c r="L533" s="4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70"/>
      <c r="L534" s="4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70"/>
      <c r="L535" s="4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70"/>
      <c r="L536" s="4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70"/>
      <c r="L537" s="4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70"/>
      <c r="L538" s="4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70"/>
      <c r="L539" s="4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70"/>
      <c r="L540" s="4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70"/>
      <c r="L541" s="4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70"/>
      <c r="L542" s="4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70"/>
      <c r="L543" s="4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70"/>
      <c r="L544" s="4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70"/>
      <c r="L545" s="4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70"/>
      <c r="L546" s="4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70"/>
      <c r="L547" s="4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70"/>
      <c r="L548" s="4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70"/>
      <c r="L549" s="4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70"/>
      <c r="L550" s="4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70"/>
      <c r="L551" s="4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70"/>
      <c r="L552" s="4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70"/>
      <c r="L553" s="4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70"/>
      <c r="L554" s="4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70"/>
      <c r="L555" s="4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70"/>
      <c r="L556" s="4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70"/>
      <c r="L557" s="4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70"/>
      <c r="L558" s="4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70"/>
      <c r="L559" s="4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70"/>
      <c r="L560" s="4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70"/>
      <c r="L561" s="4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70"/>
      <c r="L562" s="4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70"/>
      <c r="L563" s="4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70"/>
      <c r="L564" s="4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70"/>
      <c r="L565" s="4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70"/>
      <c r="L566" s="4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70"/>
      <c r="L567" s="4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70"/>
      <c r="L568" s="4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70"/>
      <c r="L569" s="4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70"/>
      <c r="L570" s="4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70"/>
      <c r="L571" s="4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70"/>
      <c r="L572" s="4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70"/>
      <c r="L573" s="4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70"/>
      <c r="L574" s="4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70"/>
      <c r="L575" s="4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70"/>
      <c r="L576" s="4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70"/>
      <c r="L577" s="4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70"/>
      <c r="L578" s="4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70"/>
      <c r="L579" s="4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70"/>
      <c r="L580" s="4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70"/>
      <c r="L581" s="4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70"/>
      <c r="L582" s="4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70"/>
      <c r="L583" s="4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70"/>
      <c r="L584" s="4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70"/>
      <c r="L585" s="4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70"/>
      <c r="L586" s="4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70"/>
      <c r="L587" s="4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70"/>
      <c r="L588" s="4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70"/>
      <c r="L589" s="4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70"/>
      <c r="L590" s="4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70"/>
      <c r="L591" s="4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70"/>
      <c r="L592" s="4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70"/>
      <c r="L593" s="4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70"/>
      <c r="L594" s="4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70"/>
      <c r="L595" s="4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70"/>
      <c r="L596" s="4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70"/>
      <c r="L597" s="4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70"/>
      <c r="L598" s="4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70"/>
      <c r="L599" s="4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70"/>
      <c r="L600" s="4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70"/>
      <c r="L601" s="4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70"/>
      <c r="L602" s="4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70"/>
      <c r="L603" s="4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70"/>
      <c r="L604" s="4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70"/>
      <c r="L605" s="4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70"/>
      <c r="L606" s="4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70"/>
      <c r="L607" s="4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70"/>
      <c r="L608" s="4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70"/>
      <c r="L609" s="4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70"/>
      <c r="L610" s="4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70"/>
      <c r="L611" s="4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70"/>
      <c r="L612" s="4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70"/>
      <c r="L613" s="4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70"/>
      <c r="L614" s="4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70"/>
      <c r="L615" s="4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70"/>
      <c r="L616" s="4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70"/>
      <c r="L617" s="4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70"/>
      <c r="L618" s="4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70"/>
      <c r="L619" s="4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70"/>
      <c r="L620" s="4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70"/>
      <c r="L621" s="4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70"/>
      <c r="L622" s="4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70"/>
      <c r="L623" s="4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70"/>
      <c r="L624" s="4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70"/>
      <c r="L625" s="4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70"/>
      <c r="L626" s="4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70"/>
      <c r="L627" s="4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70"/>
      <c r="L628" s="4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70"/>
      <c r="L629" s="4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70"/>
      <c r="L630" s="4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70"/>
      <c r="L631" s="4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70"/>
      <c r="L632" s="4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70"/>
      <c r="L633" s="4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70"/>
      <c r="L634" s="4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70"/>
      <c r="L635" s="4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70"/>
      <c r="L636" s="4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70"/>
      <c r="L637" s="4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70"/>
      <c r="L638" s="4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70"/>
      <c r="L639" s="4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70"/>
      <c r="L640" s="4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70"/>
      <c r="L641" s="4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70"/>
      <c r="L642" s="4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70"/>
      <c r="L643" s="4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70"/>
      <c r="L644" s="4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70"/>
      <c r="L645" s="4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70"/>
      <c r="L646" s="4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70"/>
      <c r="L647" s="4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70"/>
      <c r="L648" s="4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70"/>
      <c r="L649" s="4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70"/>
      <c r="L650" s="4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70"/>
      <c r="L651" s="4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70"/>
      <c r="L652" s="4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70"/>
      <c r="L653" s="4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70"/>
      <c r="L654" s="4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70"/>
      <c r="L655" s="4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70"/>
      <c r="L656" s="4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70"/>
      <c r="L657" s="4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70"/>
      <c r="L658" s="4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70"/>
      <c r="L659" s="4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70"/>
      <c r="L660" s="4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70"/>
      <c r="L661" s="4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70"/>
      <c r="L662" s="4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70"/>
      <c r="L663" s="4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70"/>
      <c r="L664" s="4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70"/>
      <c r="L665" s="4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70"/>
      <c r="L666" s="4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70"/>
      <c r="L667" s="4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70"/>
      <c r="L668" s="4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70"/>
      <c r="L669" s="4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70"/>
      <c r="L670" s="4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70"/>
      <c r="L671" s="4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70"/>
      <c r="L672" s="4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70"/>
      <c r="L673" s="4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70"/>
      <c r="L674" s="4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70"/>
      <c r="L675" s="4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70"/>
      <c r="L676" s="4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70"/>
      <c r="L677" s="4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70"/>
      <c r="L678" s="4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70"/>
      <c r="L679" s="4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70"/>
      <c r="L680" s="4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70"/>
      <c r="L681" s="4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70"/>
      <c r="L682" s="4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70"/>
      <c r="L683" s="4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70"/>
      <c r="L684" s="4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70"/>
      <c r="L685" s="4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70"/>
      <c r="L686" s="4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70"/>
      <c r="L687" s="4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70"/>
      <c r="L688" s="4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70"/>
      <c r="L689" s="4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70"/>
      <c r="L690" s="4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70"/>
      <c r="L691" s="4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70"/>
      <c r="L692" s="4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70"/>
      <c r="L693" s="4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70"/>
      <c r="L694" s="4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70"/>
      <c r="L695" s="4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70"/>
      <c r="L696" s="4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70"/>
      <c r="L697" s="4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70"/>
      <c r="L698" s="4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70"/>
      <c r="L699" s="4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70"/>
      <c r="L700" s="4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70"/>
      <c r="L701" s="4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70"/>
      <c r="L702" s="4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70"/>
      <c r="L703" s="4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70"/>
      <c r="L704" s="4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70"/>
      <c r="L705" s="4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70"/>
      <c r="L706" s="4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70"/>
      <c r="L707" s="4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70"/>
      <c r="L708" s="4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70"/>
      <c r="L709" s="4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70"/>
      <c r="L710" s="4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70"/>
      <c r="L711" s="4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70"/>
      <c r="L712" s="4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70"/>
      <c r="L713" s="4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70"/>
      <c r="L714" s="4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70"/>
      <c r="L715" s="4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70"/>
      <c r="L716" s="4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70"/>
      <c r="L717" s="4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70"/>
      <c r="L718" s="4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70"/>
      <c r="L719" s="4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70"/>
      <c r="L720" s="4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70"/>
      <c r="L721" s="4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70"/>
      <c r="L722" s="4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70"/>
      <c r="L723" s="4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70"/>
      <c r="L724" s="4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70"/>
      <c r="L725" s="4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70"/>
      <c r="L726" s="4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70"/>
      <c r="L727" s="4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70"/>
      <c r="L728" s="4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70"/>
      <c r="L729" s="4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70"/>
      <c r="L730" s="4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70"/>
      <c r="L731" s="4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70"/>
      <c r="L732" s="4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70"/>
      <c r="L733" s="4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70"/>
      <c r="L734" s="4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70"/>
      <c r="L735" s="4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70"/>
      <c r="L736" s="4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70"/>
      <c r="L737" s="4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70"/>
      <c r="L738" s="4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70"/>
      <c r="L739" s="4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70"/>
      <c r="L740" s="4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70"/>
      <c r="L741" s="4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70"/>
      <c r="L742" s="4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70"/>
      <c r="L743" s="4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70"/>
      <c r="L744" s="4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70"/>
      <c r="L745" s="4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70"/>
      <c r="L746" s="4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70"/>
      <c r="L747" s="4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70"/>
      <c r="L748" s="4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70"/>
      <c r="L749" s="4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70"/>
      <c r="L750" s="4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70"/>
      <c r="L751" s="4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70"/>
      <c r="L752" s="4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70"/>
      <c r="L753" s="4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70"/>
      <c r="L754" s="4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70"/>
      <c r="L755" s="4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70"/>
      <c r="L756" s="4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70"/>
      <c r="L757" s="4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70"/>
      <c r="L758" s="4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70"/>
      <c r="L759" s="4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70"/>
      <c r="L760" s="4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70"/>
      <c r="L761" s="4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70"/>
      <c r="L762" s="4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70"/>
      <c r="L763" s="4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70"/>
      <c r="L764" s="4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70"/>
      <c r="L765" s="4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70"/>
      <c r="L766" s="4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70"/>
      <c r="L767" s="4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70"/>
      <c r="L768" s="4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70"/>
      <c r="L769" s="4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70"/>
      <c r="L770" s="4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70"/>
      <c r="L771" s="4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70"/>
      <c r="L772" s="4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70"/>
      <c r="L773" s="4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70"/>
      <c r="L774" s="4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70"/>
      <c r="L775" s="4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70"/>
      <c r="L776" s="4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70"/>
      <c r="L777" s="4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70"/>
      <c r="L778" s="4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70"/>
      <c r="L779" s="4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70"/>
      <c r="L780" s="4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70"/>
      <c r="L781" s="4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70"/>
      <c r="L782" s="4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70"/>
      <c r="L783" s="4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70"/>
      <c r="L784" s="4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70"/>
      <c r="L785" s="4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70"/>
      <c r="L786" s="4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70"/>
      <c r="L787" s="4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70"/>
      <c r="L788" s="4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70"/>
      <c r="L789" s="4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70"/>
      <c r="L790" s="4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70"/>
      <c r="L791" s="4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70"/>
      <c r="L792" s="4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70"/>
      <c r="L793" s="4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70"/>
      <c r="L794" s="4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70"/>
      <c r="L795" s="4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70"/>
      <c r="L796" s="4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70"/>
      <c r="L797" s="4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70"/>
      <c r="L798" s="4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70"/>
      <c r="L799" s="4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70"/>
      <c r="L800" s="4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70"/>
      <c r="L801" s="4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70"/>
      <c r="L802" s="4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70"/>
      <c r="L803" s="4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70"/>
      <c r="L804" s="4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70"/>
      <c r="L805" s="4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70"/>
      <c r="L806" s="4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70"/>
      <c r="L807" s="4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70"/>
      <c r="L808" s="4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70"/>
      <c r="L809" s="4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70"/>
      <c r="L810" s="4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70"/>
      <c r="L811" s="4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70"/>
      <c r="L812" s="4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70"/>
      <c r="L813" s="4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70"/>
      <c r="L814" s="4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70"/>
      <c r="L815" s="4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70"/>
      <c r="L816" s="4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70"/>
      <c r="L817" s="4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70"/>
      <c r="L818" s="4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70"/>
      <c r="L819" s="4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70"/>
      <c r="L820" s="4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70"/>
      <c r="L821" s="4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70"/>
      <c r="L822" s="4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70"/>
      <c r="L823" s="4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70"/>
      <c r="L824" s="4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70"/>
      <c r="L825" s="4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70"/>
      <c r="L826" s="4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70"/>
      <c r="L827" s="4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70"/>
      <c r="L828" s="4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70"/>
      <c r="L829" s="4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70"/>
      <c r="L830" s="4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70"/>
      <c r="L831" s="4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70"/>
      <c r="L832" s="4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70"/>
      <c r="L833" s="4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70"/>
      <c r="L834" s="4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70"/>
      <c r="L835" s="4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70"/>
      <c r="L836" s="4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70"/>
      <c r="L837" s="4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70"/>
      <c r="L838" s="4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70"/>
      <c r="L839" s="4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70"/>
      <c r="L840" s="4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70"/>
      <c r="L841" s="4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70"/>
      <c r="L842" s="4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70"/>
      <c r="L843" s="4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70"/>
      <c r="L844" s="4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70"/>
      <c r="L845" s="4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70"/>
      <c r="L846" s="4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70"/>
      <c r="L847" s="4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70"/>
      <c r="L848" s="4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70"/>
      <c r="L849" s="4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70"/>
      <c r="L850" s="4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70"/>
      <c r="L851" s="4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70"/>
      <c r="L852" s="4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70"/>
      <c r="L853" s="4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70"/>
      <c r="L854" s="4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70"/>
      <c r="L855" s="4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70"/>
      <c r="L856" s="4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70"/>
      <c r="L857" s="4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70"/>
      <c r="L858" s="4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70"/>
      <c r="L859" s="4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70"/>
      <c r="L860" s="4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70"/>
      <c r="L861" s="4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70"/>
      <c r="L862" s="4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70"/>
      <c r="L863" s="4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70"/>
      <c r="L864" s="4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70"/>
      <c r="L865" s="4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70"/>
      <c r="L866" s="4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70"/>
      <c r="L867" s="4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70"/>
      <c r="L868" s="4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70"/>
      <c r="L869" s="4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70"/>
      <c r="L870" s="4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70"/>
      <c r="L871" s="4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70"/>
      <c r="L872" s="4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70"/>
      <c r="L873" s="4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70"/>
      <c r="L874" s="4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70"/>
      <c r="L875" s="4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70"/>
      <c r="L876" s="4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70"/>
      <c r="L877" s="4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70"/>
      <c r="L878" s="4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70"/>
      <c r="L879" s="4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70"/>
      <c r="L880" s="4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70"/>
      <c r="L881" s="4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70"/>
      <c r="L882" s="4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70"/>
      <c r="L883" s="4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70"/>
      <c r="L884" s="4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70"/>
      <c r="L885" s="4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70"/>
      <c r="L886" s="4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70"/>
      <c r="L887" s="4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70"/>
      <c r="L888" s="4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70"/>
      <c r="L889" s="4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70"/>
      <c r="L890" s="4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70"/>
      <c r="L891" s="4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70"/>
      <c r="L892" s="4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70"/>
      <c r="L893" s="4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70"/>
      <c r="L894" s="4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70"/>
      <c r="L895" s="4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70"/>
      <c r="L896" s="4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70"/>
      <c r="L897" s="4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70"/>
      <c r="L898" s="4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70"/>
      <c r="L899" s="4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70"/>
      <c r="L900" s="4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70"/>
      <c r="L901" s="4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70"/>
      <c r="L902" s="4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70"/>
      <c r="L903" s="4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70"/>
      <c r="L904" s="4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70"/>
      <c r="L905" s="4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70"/>
      <c r="L906" s="4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70"/>
      <c r="L907" s="4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70"/>
      <c r="L908" s="4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70"/>
      <c r="L909" s="4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70"/>
      <c r="L910" s="4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70"/>
      <c r="L911" s="4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70"/>
      <c r="L912" s="4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70"/>
      <c r="L913" s="4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70"/>
      <c r="L914" s="4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70"/>
      <c r="L915" s="4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70"/>
      <c r="L916" s="4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70"/>
      <c r="L917" s="4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70"/>
      <c r="L918" s="4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70"/>
      <c r="L919" s="4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70"/>
      <c r="L920" s="4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70"/>
      <c r="L921" s="4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70"/>
      <c r="L922" s="4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70"/>
      <c r="L923" s="4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70"/>
      <c r="L924" s="4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70"/>
      <c r="L925" s="4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70"/>
      <c r="L926" s="4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70"/>
      <c r="L927" s="4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70"/>
      <c r="L928" s="4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70"/>
      <c r="L929" s="4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70"/>
      <c r="L930" s="4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70"/>
      <c r="L931" s="4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70"/>
      <c r="L932" s="4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70"/>
      <c r="L933" s="4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70"/>
      <c r="L934" s="4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70"/>
      <c r="L935" s="4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70"/>
      <c r="L936" s="4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70"/>
      <c r="L937" s="4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70"/>
      <c r="L938" s="4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70"/>
      <c r="L939" s="4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70"/>
      <c r="L940" s="4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70"/>
      <c r="L941" s="4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70"/>
      <c r="L942" s="4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70"/>
      <c r="L943" s="4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70"/>
      <c r="L944" s="4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70"/>
      <c r="L945" s="4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70"/>
      <c r="L946" s="4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70"/>
      <c r="L947" s="4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70"/>
      <c r="L948" s="4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70"/>
      <c r="L949" s="4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70"/>
      <c r="L950" s="4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70"/>
      <c r="L951" s="4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70"/>
      <c r="L952" s="4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70"/>
      <c r="L953" s="4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70"/>
      <c r="L954" s="4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70"/>
      <c r="L955" s="4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70"/>
      <c r="L956" s="4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70"/>
      <c r="L957" s="4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70"/>
      <c r="L958" s="4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70"/>
      <c r="L959" s="4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70"/>
      <c r="L960" s="4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70"/>
      <c r="L961" s="4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70"/>
      <c r="L962" s="4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70"/>
      <c r="L963" s="4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70"/>
      <c r="L964" s="4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70"/>
      <c r="L965" s="4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70"/>
      <c r="L966" s="4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70"/>
      <c r="L967" s="4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70"/>
      <c r="L968" s="4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70"/>
      <c r="L969" s="4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70"/>
      <c r="L970" s="4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70"/>
      <c r="L971" s="4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70"/>
      <c r="L972" s="4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70"/>
      <c r="L973" s="4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70"/>
      <c r="L974" s="4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70"/>
      <c r="L975" s="4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70"/>
      <c r="L976" s="4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70"/>
      <c r="L977" s="4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70"/>
      <c r="L978" s="4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70"/>
      <c r="L979" s="4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70"/>
      <c r="L980" s="4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70"/>
      <c r="L981" s="4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70"/>
      <c r="L982" s="4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70"/>
      <c r="L983" s="4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70"/>
      <c r="L984" s="4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70"/>
      <c r="L985" s="4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70"/>
      <c r="L986" s="4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70"/>
      <c r="L987" s="4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70"/>
      <c r="L988" s="4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70"/>
      <c r="L989" s="4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70"/>
      <c r="L990" s="4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70"/>
      <c r="L991" s="4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70"/>
      <c r="L992" s="4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70"/>
      <c r="L993" s="4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70"/>
      <c r="L994" s="4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70"/>
      <c r="L995" s="4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70"/>
      <c r="L996" s="4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70"/>
      <c r="L997" s="4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70"/>
      <c r="L998" s="4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70"/>
      <c r="L999" s="4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70"/>
      <c r="L1000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23.86"/>
    <col customWidth="1" min="3" max="3" width="7.57"/>
    <col customWidth="1" min="4" max="4" width="9.43"/>
    <col customWidth="1" min="5" max="5" width="17.57"/>
    <col customWidth="1" min="6" max="6" width="7.0"/>
    <col customWidth="1" min="7" max="7" width="13.29"/>
    <col customWidth="1" min="8" max="8" width="40.57"/>
    <col customWidth="1" min="9" max="9" width="5.43"/>
    <col customWidth="1" min="10" max="10" width="8.43"/>
    <col customWidth="1" min="11" max="11" width="7.14"/>
    <col customWidth="1" hidden="1" min="12" max="12" width="1.57"/>
    <col customWidth="1" hidden="1" min="13" max="13" width="12.14"/>
    <col customWidth="1" min="14" max="14" width="9.57"/>
    <col customWidth="1" min="15" max="26" width="8.71"/>
  </cols>
  <sheetData>
    <row r="1" ht="14.25" customHeight="1">
      <c r="A1" s="91"/>
      <c r="B1" s="91"/>
      <c r="C1" s="91"/>
      <c r="D1" s="91"/>
      <c r="E1" s="91"/>
      <c r="F1" s="92"/>
      <c r="G1" s="91"/>
      <c r="H1" s="71" t="s">
        <v>1841</v>
      </c>
      <c r="I1" s="93"/>
      <c r="J1" s="91"/>
      <c r="K1" s="91"/>
      <c r="L1" s="3"/>
    </row>
    <row r="2" ht="14.25" customHeight="1">
      <c r="A2" s="91"/>
      <c r="B2" s="91"/>
      <c r="C2" s="91"/>
      <c r="D2" s="91"/>
      <c r="E2" s="91"/>
      <c r="F2" s="92"/>
      <c r="G2" s="91"/>
      <c r="H2" s="94"/>
      <c r="I2" s="94"/>
      <c r="J2" s="91"/>
      <c r="K2" s="91"/>
      <c r="L2" s="3"/>
    </row>
    <row r="3" ht="14.25" customHeight="1">
      <c r="A3" s="91"/>
      <c r="B3" s="91"/>
      <c r="C3" s="91"/>
      <c r="D3" s="91"/>
      <c r="E3" s="91"/>
      <c r="F3" s="92"/>
      <c r="G3" s="91"/>
      <c r="H3" s="91"/>
      <c r="I3" s="91"/>
      <c r="J3" s="95" t="s">
        <v>10</v>
      </c>
      <c r="K3" s="96"/>
      <c r="L3" s="3"/>
      <c r="M3" s="97" t="s">
        <v>3</v>
      </c>
      <c r="N3" s="97" t="s">
        <v>1919</v>
      </c>
      <c r="O3" s="97" t="s">
        <v>1919</v>
      </c>
    </row>
    <row r="4" ht="14.25" customHeight="1">
      <c r="A4" s="98" t="s">
        <v>1843</v>
      </c>
      <c r="B4" s="98" t="s">
        <v>1844</v>
      </c>
      <c r="C4" s="98" t="s">
        <v>1920</v>
      </c>
      <c r="D4" s="98" t="s">
        <v>1921</v>
      </c>
      <c r="E4" s="98" t="s">
        <v>1922</v>
      </c>
      <c r="F4" s="99" t="s">
        <v>6</v>
      </c>
      <c r="G4" s="98" t="s">
        <v>7</v>
      </c>
      <c r="H4" s="98" t="s">
        <v>8</v>
      </c>
      <c r="I4" s="98" t="s">
        <v>9</v>
      </c>
      <c r="J4" s="98" t="s">
        <v>1923</v>
      </c>
      <c r="K4" s="100" t="s">
        <v>1924</v>
      </c>
      <c r="L4" s="101"/>
      <c r="M4" s="102" t="s">
        <v>11</v>
      </c>
      <c r="N4" s="102"/>
      <c r="O4" s="102"/>
    </row>
    <row r="5" ht="14.25" customHeight="1">
      <c r="A5" s="103" t="s">
        <v>1925</v>
      </c>
      <c r="B5" s="103" t="s">
        <v>1925</v>
      </c>
      <c r="C5" s="104" t="s">
        <v>1926</v>
      </c>
      <c r="D5" s="104" t="s">
        <v>1927</v>
      </c>
      <c r="E5" s="104" t="s">
        <v>1928</v>
      </c>
      <c r="F5" s="104" t="s">
        <v>1929</v>
      </c>
      <c r="G5" s="103" t="s">
        <v>1930</v>
      </c>
      <c r="H5" s="103" t="s">
        <v>1931</v>
      </c>
      <c r="I5" s="105">
        <v>24.0</v>
      </c>
      <c r="J5" s="106">
        <v>0.039</v>
      </c>
      <c r="K5" s="106">
        <v>0.02925</v>
      </c>
      <c r="L5" s="107"/>
      <c r="M5" s="108">
        <v>10.617531226073915</v>
      </c>
      <c r="N5" s="108">
        <f t="shared" ref="N5:N28" si="1">IF(M5&lt;&gt;"",M5-(M5*0.1),"")</f>
        <v>9.555778103</v>
      </c>
      <c r="O5" s="108"/>
    </row>
    <row r="6" ht="14.25" customHeight="1">
      <c r="A6" s="103" t="s">
        <v>1925</v>
      </c>
      <c r="B6" s="103" t="s">
        <v>1925</v>
      </c>
      <c r="C6" s="104" t="s">
        <v>1926</v>
      </c>
      <c r="D6" s="104" t="s">
        <v>1927</v>
      </c>
      <c r="E6" s="104" t="s">
        <v>1932</v>
      </c>
      <c r="F6" s="104" t="s">
        <v>1933</v>
      </c>
      <c r="G6" s="103" t="s">
        <v>1934</v>
      </c>
      <c r="H6" s="103" t="s">
        <v>1935</v>
      </c>
      <c r="I6" s="105">
        <v>24.0</v>
      </c>
      <c r="J6" s="106">
        <v>0.039</v>
      </c>
      <c r="K6" s="106">
        <v>0.02925</v>
      </c>
      <c r="L6" s="107"/>
      <c r="M6" s="108">
        <v>10.56598981235511</v>
      </c>
      <c r="N6" s="108">
        <f t="shared" si="1"/>
        <v>9.509390831</v>
      </c>
      <c r="O6" s="108"/>
    </row>
    <row r="7" ht="14.25" customHeight="1">
      <c r="A7" s="103" t="s">
        <v>1925</v>
      </c>
      <c r="B7" s="103" t="s">
        <v>1925</v>
      </c>
      <c r="C7" s="104" t="s">
        <v>1926</v>
      </c>
      <c r="D7" s="104" t="s">
        <v>1927</v>
      </c>
      <c r="E7" s="104" t="s">
        <v>1928</v>
      </c>
      <c r="F7" s="104" t="s">
        <v>1936</v>
      </c>
      <c r="G7" s="103" t="s">
        <v>1937</v>
      </c>
      <c r="H7" s="103" t="s">
        <v>1938</v>
      </c>
      <c r="I7" s="105">
        <v>24.0</v>
      </c>
      <c r="J7" s="106">
        <v>0.039</v>
      </c>
      <c r="K7" s="106">
        <v>0.02925</v>
      </c>
      <c r="L7" s="107"/>
      <c r="M7" s="108">
        <v>12.820926662552843</v>
      </c>
      <c r="N7" s="108">
        <f t="shared" si="1"/>
        <v>11.538834</v>
      </c>
      <c r="O7" s="108"/>
    </row>
    <row r="8" ht="14.25" customHeight="1">
      <c r="A8" s="103" t="s">
        <v>1925</v>
      </c>
      <c r="B8" s="103" t="s">
        <v>1925</v>
      </c>
      <c r="C8" s="104" t="s">
        <v>1926</v>
      </c>
      <c r="D8" s="104" t="s">
        <v>1927</v>
      </c>
      <c r="E8" s="104" t="s">
        <v>1939</v>
      </c>
      <c r="F8" s="104" t="s">
        <v>1940</v>
      </c>
      <c r="G8" s="103" t="s">
        <v>1941</v>
      </c>
      <c r="H8" s="103" t="s">
        <v>1942</v>
      </c>
      <c r="I8" s="105">
        <v>24.0</v>
      </c>
      <c r="J8" s="106">
        <v>0.039</v>
      </c>
      <c r="K8" s="106">
        <v>0.02925</v>
      </c>
      <c r="L8" s="107"/>
      <c r="M8" s="108">
        <v>11.880295862184644</v>
      </c>
      <c r="N8" s="108">
        <f t="shared" si="1"/>
        <v>10.69226628</v>
      </c>
      <c r="O8" s="108"/>
    </row>
    <row r="9" ht="14.25" customHeight="1">
      <c r="A9" s="103" t="s">
        <v>1925</v>
      </c>
      <c r="B9" s="103" t="s">
        <v>1925</v>
      </c>
      <c r="C9" s="104" t="s">
        <v>1926</v>
      </c>
      <c r="D9" s="104" t="s">
        <v>1927</v>
      </c>
      <c r="E9" s="104" t="s">
        <v>1928</v>
      </c>
      <c r="F9" s="104" t="s">
        <v>1943</v>
      </c>
      <c r="G9" s="103" t="s">
        <v>1944</v>
      </c>
      <c r="H9" s="103" t="s">
        <v>1945</v>
      </c>
      <c r="I9" s="105">
        <v>24.0</v>
      </c>
      <c r="J9" s="106">
        <v>0.039</v>
      </c>
      <c r="K9" s="106">
        <v>0.02925</v>
      </c>
      <c r="L9" s="107"/>
      <c r="M9" s="108">
        <v>11.351996371566893</v>
      </c>
      <c r="N9" s="108">
        <f t="shared" si="1"/>
        <v>10.21679673</v>
      </c>
      <c r="O9" s="108"/>
    </row>
    <row r="10" ht="14.25" customHeight="1">
      <c r="A10" s="103" t="s">
        <v>1925</v>
      </c>
      <c r="B10" s="103" t="s">
        <v>1925</v>
      </c>
      <c r="C10" s="104" t="s">
        <v>1926</v>
      </c>
      <c r="D10" s="104" t="s">
        <v>1927</v>
      </c>
      <c r="E10" s="104"/>
      <c r="F10" s="104" t="s">
        <v>75</v>
      </c>
      <c r="G10" s="103" t="s">
        <v>1946</v>
      </c>
      <c r="H10" s="103" t="s">
        <v>1947</v>
      </c>
      <c r="I10" s="105">
        <v>24.0</v>
      </c>
      <c r="J10" s="106">
        <v>0.039</v>
      </c>
      <c r="K10" s="106">
        <v>0.02925</v>
      </c>
      <c r="L10" s="107"/>
      <c r="M10" s="108">
        <v>12.163773637638075</v>
      </c>
      <c r="N10" s="108">
        <f t="shared" si="1"/>
        <v>10.94739627</v>
      </c>
      <c r="O10" s="108"/>
    </row>
    <row r="11" ht="14.25" customHeight="1">
      <c r="A11" s="103" t="s">
        <v>1925</v>
      </c>
      <c r="B11" s="103" t="s">
        <v>1925</v>
      </c>
      <c r="C11" s="104" t="s">
        <v>1926</v>
      </c>
      <c r="D11" s="104" t="s">
        <v>1927</v>
      </c>
      <c r="E11" s="104" t="s">
        <v>1928</v>
      </c>
      <c r="F11" s="104" t="s">
        <v>1948</v>
      </c>
      <c r="G11" s="103" t="s">
        <v>1949</v>
      </c>
      <c r="H11" s="103" t="s">
        <v>1950</v>
      </c>
      <c r="I11" s="105">
        <v>24.0</v>
      </c>
      <c r="J11" s="106">
        <v>0.039</v>
      </c>
      <c r="K11" s="106">
        <v>0.02925</v>
      </c>
      <c r="L11" s="107"/>
      <c r="M11" s="108">
        <v>13.606933221764624</v>
      </c>
      <c r="N11" s="108">
        <f t="shared" si="1"/>
        <v>12.2462399</v>
      </c>
      <c r="O11" s="108"/>
    </row>
    <row r="12" ht="14.25" customHeight="1">
      <c r="A12" s="109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110"/>
      <c r="N12" s="110" t="str">
        <f t="shared" si="1"/>
        <v/>
      </c>
      <c r="O12" s="110" t="str">
        <f>IF(N12&lt;&gt;"",N12-(N12*0.1),"")</f>
        <v/>
      </c>
    </row>
    <row r="13" ht="14.25" customHeight="1">
      <c r="A13" s="103" t="s">
        <v>1951</v>
      </c>
      <c r="B13" s="103" t="s">
        <v>1951</v>
      </c>
      <c r="C13" s="104" t="s">
        <v>1952</v>
      </c>
      <c r="D13" s="103" t="s">
        <v>1953</v>
      </c>
      <c r="E13" s="111" t="s">
        <v>1954</v>
      </c>
      <c r="F13" s="104" t="s">
        <v>1955</v>
      </c>
      <c r="G13" s="103" t="s">
        <v>1956</v>
      </c>
      <c r="H13" s="103" t="s">
        <v>1957</v>
      </c>
      <c r="I13" s="105">
        <v>24.0</v>
      </c>
      <c r="J13" s="106">
        <v>0.039</v>
      </c>
      <c r="K13" s="106">
        <v>0.02925</v>
      </c>
      <c r="L13" s="107"/>
      <c r="M13" s="108">
        <v>10.913894354957048</v>
      </c>
      <c r="N13" s="108">
        <f t="shared" si="1"/>
        <v>9.822504919</v>
      </c>
      <c r="O13" s="108"/>
    </row>
    <row r="14" ht="14.25" customHeight="1">
      <c r="A14" s="103" t="s">
        <v>1951</v>
      </c>
      <c r="B14" s="103" t="s">
        <v>1951</v>
      </c>
      <c r="C14" s="104" t="s">
        <v>1952</v>
      </c>
      <c r="D14" s="103" t="s">
        <v>1953</v>
      </c>
      <c r="E14" s="111" t="s">
        <v>1958</v>
      </c>
      <c r="F14" s="104" t="s">
        <v>1959</v>
      </c>
      <c r="G14" s="103" t="s">
        <v>1960</v>
      </c>
      <c r="H14" s="103" t="s">
        <v>1961</v>
      </c>
      <c r="I14" s="105">
        <v>24.0</v>
      </c>
      <c r="J14" s="106">
        <v>0.039</v>
      </c>
      <c r="K14" s="106">
        <v>0.02925</v>
      </c>
      <c r="L14" s="107"/>
      <c r="M14" s="108">
        <v>11.75144232788763</v>
      </c>
      <c r="N14" s="108">
        <f t="shared" si="1"/>
        <v>10.5762981</v>
      </c>
      <c r="O14" s="108"/>
    </row>
    <row r="15" ht="14.25" customHeight="1">
      <c r="A15" s="103" t="s">
        <v>1951</v>
      </c>
      <c r="B15" s="103" t="s">
        <v>1951</v>
      </c>
      <c r="C15" s="104" t="s">
        <v>1952</v>
      </c>
      <c r="D15" s="103" t="s">
        <v>1953</v>
      </c>
      <c r="E15" s="111" t="s">
        <v>1962</v>
      </c>
      <c r="F15" s="104" t="s">
        <v>1963</v>
      </c>
      <c r="G15" s="103" t="s">
        <v>1964</v>
      </c>
      <c r="H15" s="103" t="s">
        <v>1965</v>
      </c>
      <c r="I15" s="105">
        <v>24.0</v>
      </c>
      <c r="J15" s="106">
        <v>0.039</v>
      </c>
      <c r="K15" s="106">
        <v>0.02925</v>
      </c>
      <c r="L15" s="107"/>
      <c r="M15" s="108">
        <v>13.065748377717169</v>
      </c>
      <c r="N15" s="108">
        <f t="shared" si="1"/>
        <v>11.75917354</v>
      </c>
      <c r="O15" s="108"/>
    </row>
    <row r="16" ht="14.25" customHeight="1">
      <c r="A16" s="103" t="s">
        <v>1951</v>
      </c>
      <c r="B16" s="103" t="s">
        <v>1951</v>
      </c>
      <c r="C16" s="104" t="s">
        <v>1952</v>
      </c>
      <c r="D16" s="103" t="s">
        <v>1953</v>
      </c>
      <c r="E16" s="111" t="s">
        <v>1928</v>
      </c>
      <c r="F16" s="104" t="s">
        <v>1966</v>
      </c>
      <c r="G16" s="103" t="s">
        <v>1967</v>
      </c>
      <c r="H16" s="103" t="s">
        <v>1968</v>
      </c>
      <c r="I16" s="105">
        <v>24.0</v>
      </c>
      <c r="J16" s="106">
        <v>0.039</v>
      </c>
      <c r="K16" s="106">
        <v>0.02925</v>
      </c>
      <c r="L16" s="107"/>
      <c r="M16" s="108">
        <v>11.983378689622256</v>
      </c>
      <c r="N16" s="108">
        <f t="shared" si="1"/>
        <v>10.78504082</v>
      </c>
      <c r="O16" s="108"/>
    </row>
    <row r="17" ht="14.25" customHeight="1">
      <c r="A17" s="103" t="s">
        <v>1951</v>
      </c>
      <c r="B17" s="103" t="s">
        <v>1951</v>
      </c>
      <c r="C17" s="104" t="s">
        <v>1952</v>
      </c>
      <c r="D17" s="103" t="s">
        <v>1953</v>
      </c>
      <c r="E17" s="111" t="s">
        <v>1969</v>
      </c>
      <c r="F17" s="104" t="s">
        <v>1970</v>
      </c>
      <c r="G17" s="103" t="s">
        <v>1971</v>
      </c>
      <c r="H17" s="103" t="s">
        <v>1972</v>
      </c>
      <c r="I17" s="105">
        <v>12.0</v>
      </c>
      <c r="J17" s="106">
        <v>0.039</v>
      </c>
      <c r="K17" s="106">
        <v>0.02925</v>
      </c>
      <c r="L17" s="107"/>
      <c r="M17" s="108">
        <v>14.405825134406108</v>
      </c>
      <c r="N17" s="108">
        <f t="shared" si="1"/>
        <v>12.96524262</v>
      </c>
      <c r="O17" s="108"/>
    </row>
    <row r="18" ht="14.25" customHeight="1">
      <c r="A18" s="103" t="s">
        <v>1951</v>
      </c>
      <c r="B18" s="103" t="s">
        <v>1951</v>
      </c>
      <c r="C18" s="104" t="s">
        <v>1952</v>
      </c>
      <c r="D18" s="103" t="s">
        <v>1953</v>
      </c>
      <c r="E18" s="111" t="s">
        <v>1973</v>
      </c>
      <c r="F18" s="104" t="s">
        <v>75</v>
      </c>
      <c r="G18" s="103" t="s">
        <v>1974</v>
      </c>
      <c r="H18" s="103" t="s">
        <v>1975</v>
      </c>
      <c r="I18" s="105">
        <v>12.0</v>
      </c>
      <c r="J18" s="106">
        <v>0.039</v>
      </c>
      <c r="K18" s="106">
        <v>0.02925</v>
      </c>
      <c r="L18" s="107"/>
      <c r="M18" s="108">
        <v>14.676417556429838</v>
      </c>
      <c r="N18" s="108">
        <f t="shared" si="1"/>
        <v>13.2087758</v>
      </c>
      <c r="O18" s="108"/>
    </row>
    <row r="19" ht="14.25" customHeight="1">
      <c r="A19" s="103" t="s">
        <v>1951</v>
      </c>
      <c r="B19" s="103" t="s">
        <v>1951</v>
      </c>
      <c r="C19" s="104" t="s">
        <v>1952</v>
      </c>
      <c r="D19" s="103" t="s">
        <v>1953</v>
      </c>
      <c r="E19" s="111"/>
      <c r="F19" s="104" t="s">
        <v>75</v>
      </c>
      <c r="G19" s="103" t="s">
        <v>1976</v>
      </c>
      <c r="H19" s="103" t="s">
        <v>1977</v>
      </c>
      <c r="I19" s="105">
        <v>12.0</v>
      </c>
      <c r="J19" s="106">
        <v>0.039</v>
      </c>
      <c r="K19" s="106">
        <v>0.02925</v>
      </c>
      <c r="L19" s="107"/>
      <c r="M19" s="108">
        <v>13.90614688571429</v>
      </c>
      <c r="N19" s="108">
        <f t="shared" si="1"/>
        <v>12.5155322</v>
      </c>
      <c r="O19" s="108"/>
    </row>
    <row r="20" ht="14.25" customHeight="1">
      <c r="A20" s="103" t="s">
        <v>1951</v>
      </c>
      <c r="B20" s="103" t="s">
        <v>1951</v>
      </c>
      <c r="C20" s="104" t="s">
        <v>1952</v>
      </c>
      <c r="D20" s="103" t="s">
        <v>1953</v>
      </c>
      <c r="E20" s="111" t="s">
        <v>1978</v>
      </c>
      <c r="F20" s="104" t="s">
        <v>1979</v>
      </c>
      <c r="G20" s="103" t="s">
        <v>1980</v>
      </c>
      <c r="H20" s="103" t="s">
        <v>1981</v>
      </c>
      <c r="I20" s="105">
        <v>24.0</v>
      </c>
      <c r="J20" s="106">
        <v>0.039</v>
      </c>
      <c r="K20" s="106">
        <v>0.02925</v>
      </c>
      <c r="L20" s="107"/>
      <c r="M20" s="108">
        <v>16.2355453214237</v>
      </c>
      <c r="N20" s="108">
        <f t="shared" si="1"/>
        <v>14.61199079</v>
      </c>
      <c r="O20" s="108"/>
    </row>
    <row r="21" ht="14.25" customHeight="1">
      <c r="A21" s="103" t="s">
        <v>1951</v>
      </c>
      <c r="B21" s="103" t="s">
        <v>1951</v>
      </c>
      <c r="C21" s="104" t="s">
        <v>1952</v>
      </c>
      <c r="D21" s="103" t="s">
        <v>1953</v>
      </c>
      <c r="E21" s="111" t="s">
        <v>1982</v>
      </c>
      <c r="F21" s="104" t="s">
        <v>1983</v>
      </c>
      <c r="G21" s="103" t="s">
        <v>1984</v>
      </c>
      <c r="H21" s="103" t="s">
        <v>1985</v>
      </c>
      <c r="I21" s="105">
        <v>24.0</v>
      </c>
      <c r="J21" s="106">
        <v>0.039</v>
      </c>
      <c r="K21" s="106">
        <v>0.02925</v>
      </c>
      <c r="L21" s="107"/>
      <c r="M21" s="108">
        <v>15.733016537665348</v>
      </c>
      <c r="N21" s="108">
        <f t="shared" si="1"/>
        <v>14.15971488</v>
      </c>
      <c r="O21" s="108"/>
    </row>
    <row r="22" ht="14.25" customHeight="1">
      <c r="A22" s="103" t="s">
        <v>1951</v>
      </c>
      <c r="B22" s="103" t="s">
        <v>1951</v>
      </c>
      <c r="C22" s="104" t="s">
        <v>1952</v>
      </c>
      <c r="D22" s="103" t="s">
        <v>1953</v>
      </c>
      <c r="E22" s="111" t="s">
        <v>1986</v>
      </c>
      <c r="F22" s="104" t="s">
        <v>1987</v>
      </c>
      <c r="G22" s="103" t="s">
        <v>1988</v>
      </c>
      <c r="H22" s="103" t="s">
        <v>1989</v>
      </c>
      <c r="I22" s="105">
        <v>24.0</v>
      </c>
      <c r="J22" s="106">
        <v>0.039</v>
      </c>
      <c r="K22" s="106">
        <v>0.02925</v>
      </c>
      <c r="L22" s="107"/>
      <c r="M22" s="108">
        <v>17.62716349183145</v>
      </c>
      <c r="N22" s="108">
        <f t="shared" si="1"/>
        <v>15.86444714</v>
      </c>
      <c r="O22" s="108"/>
    </row>
    <row r="23" ht="14.25" customHeight="1">
      <c r="A23" s="103" t="s">
        <v>1951</v>
      </c>
      <c r="B23" s="103" t="s">
        <v>1951</v>
      </c>
      <c r="C23" s="104" t="s">
        <v>1952</v>
      </c>
      <c r="D23" s="103" t="s">
        <v>1953</v>
      </c>
      <c r="E23" s="111" t="s">
        <v>1990</v>
      </c>
      <c r="F23" s="104" t="s">
        <v>1991</v>
      </c>
      <c r="G23" s="103" t="s">
        <v>1992</v>
      </c>
      <c r="H23" s="103" t="s">
        <v>1993</v>
      </c>
      <c r="I23" s="105">
        <v>24.0</v>
      </c>
      <c r="J23" s="106">
        <v>0.039</v>
      </c>
      <c r="K23" s="106">
        <v>0.02925</v>
      </c>
      <c r="L23" s="107"/>
      <c r="M23" s="108">
        <v>19.93364175574799</v>
      </c>
      <c r="N23" s="108">
        <f t="shared" si="1"/>
        <v>17.94027758</v>
      </c>
      <c r="O23" s="108"/>
    </row>
    <row r="24" ht="14.25" customHeight="1">
      <c r="A24" s="103" t="s">
        <v>1951</v>
      </c>
      <c r="B24" s="103" t="s">
        <v>1951</v>
      </c>
      <c r="C24" s="104" t="s">
        <v>1952</v>
      </c>
      <c r="D24" s="103" t="s">
        <v>1953</v>
      </c>
      <c r="E24" s="111" t="s">
        <v>1990</v>
      </c>
      <c r="F24" s="104" t="s">
        <v>1994</v>
      </c>
      <c r="G24" s="103" t="s">
        <v>1995</v>
      </c>
      <c r="H24" s="103" t="s">
        <v>1996</v>
      </c>
      <c r="I24" s="105">
        <v>24.0</v>
      </c>
      <c r="J24" s="106">
        <v>0.039</v>
      </c>
      <c r="K24" s="106">
        <v>0.02925</v>
      </c>
      <c r="L24" s="107"/>
      <c r="M24" s="108">
        <v>20.668106901240964</v>
      </c>
      <c r="N24" s="108">
        <f t="shared" si="1"/>
        <v>18.60129621</v>
      </c>
      <c r="O24" s="108"/>
    </row>
    <row r="25" ht="14.25" customHeight="1">
      <c r="A25" s="103" t="s">
        <v>1951</v>
      </c>
      <c r="B25" s="103" t="s">
        <v>1951</v>
      </c>
      <c r="C25" s="104" t="s">
        <v>1952</v>
      </c>
      <c r="D25" s="103" t="s">
        <v>1953</v>
      </c>
      <c r="E25" s="111" t="s">
        <v>1990</v>
      </c>
      <c r="F25" s="104" t="s">
        <v>1997</v>
      </c>
      <c r="G25" s="103" t="s">
        <v>1998</v>
      </c>
      <c r="H25" s="103" t="s">
        <v>1999</v>
      </c>
      <c r="I25" s="105">
        <v>12.0</v>
      </c>
      <c r="J25" s="106">
        <v>0.039</v>
      </c>
      <c r="K25" s="106">
        <v>0.02925</v>
      </c>
      <c r="L25" s="107"/>
      <c r="M25" s="108">
        <v>20.668106901240964</v>
      </c>
      <c r="N25" s="108">
        <f t="shared" si="1"/>
        <v>18.60129621</v>
      </c>
      <c r="O25" s="108"/>
    </row>
    <row r="26" ht="14.25" customHeight="1">
      <c r="A26" s="103" t="s">
        <v>1951</v>
      </c>
      <c r="B26" s="103" t="s">
        <v>1951</v>
      </c>
      <c r="C26" s="104" t="s">
        <v>1952</v>
      </c>
      <c r="D26" s="103" t="s">
        <v>1953</v>
      </c>
      <c r="E26" s="111" t="s">
        <v>1986</v>
      </c>
      <c r="F26" s="104" t="s">
        <v>2000</v>
      </c>
      <c r="G26" s="103" t="s">
        <v>2001</v>
      </c>
      <c r="H26" s="103" t="s">
        <v>2002</v>
      </c>
      <c r="I26" s="105">
        <v>24.0</v>
      </c>
      <c r="J26" s="106">
        <v>0.039</v>
      </c>
      <c r="K26" s="106">
        <v>0.02925</v>
      </c>
      <c r="L26" s="107"/>
      <c r="M26" s="108">
        <v>20.9515846766944</v>
      </c>
      <c r="N26" s="108">
        <f t="shared" si="1"/>
        <v>18.85642621</v>
      </c>
      <c r="O26" s="108"/>
    </row>
    <row r="27" ht="14.25" customHeight="1">
      <c r="A27" s="103" t="s">
        <v>1951</v>
      </c>
      <c r="B27" s="103" t="s">
        <v>1951</v>
      </c>
      <c r="C27" s="104" t="s">
        <v>1952</v>
      </c>
      <c r="D27" s="103" t="s">
        <v>1953</v>
      </c>
      <c r="E27" s="111" t="s">
        <v>1986</v>
      </c>
      <c r="F27" s="104" t="s">
        <v>2003</v>
      </c>
      <c r="G27" s="103" t="s">
        <v>2004</v>
      </c>
      <c r="H27" s="103" t="s">
        <v>2005</v>
      </c>
      <c r="I27" s="105">
        <v>6.0</v>
      </c>
      <c r="J27" s="106">
        <v>0.039</v>
      </c>
      <c r="K27" s="106">
        <v>0.02925</v>
      </c>
      <c r="L27" s="107"/>
      <c r="M27" s="108">
        <v>47.817546577621705</v>
      </c>
      <c r="N27" s="108">
        <f t="shared" si="1"/>
        <v>43.03579192</v>
      </c>
      <c r="O27" s="108"/>
    </row>
    <row r="28" ht="14.25" customHeight="1">
      <c r="A28" s="103" t="s">
        <v>1951</v>
      </c>
      <c r="B28" s="103" t="s">
        <v>1951</v>
      </c>
      <c r="C28" s="104" t="s">
        <v>1952</v>
      </c>
      <c r="D28" s="103" t="s">
        <v>1953</v>
      </c>
      <c r="E28" s="111" t="s">
        <v>1986</v>
      </c>
      <c r="F28" s="104" t="s">
        <v>2006</v>
      </c>
      <c r="G28" s="103" t="s">
        <v>2007</v>
      </c>
      <c r="H28" s="103" t="s">
        <v>2008</v>
      </c>
      <c r="I28" s="105">
        <v>6.0</v>
      </c>
      <c r="J28" s="106">
        <v>0.039</v>
      </c>
      <c r="K28" s="106">
        <v>0.02925</v>
      </c>
      <c r="L28" s="107"/>
      <c r="M28" s="108">
        <v>51.74757937368062</v>
      </c>
      <c r="N28" s="108">
        <f t="shared" si="1"/>
        <v>46.57282144</v>
      </c>
      <c r="O28" s="108"/>
    </row>
    <row r="29" ht="14.25" customHeight="1">
      <c r="A29" s="112"/>
      <c r="B29" s="91"/>
      <c r="C29" s="92"/>
      <c r="D29" s="91"/>
      <c r="E29" s="113"/>
      <c r="F29" s="92"/>
      <c r="G29" s="91"/>
      <c r="H29" s="91"/>
      <c r="I29" s="114"/>
      <c r="J29" s="115"/>
      <c r="K29" s="115"/>
      <c r="L29" s="107"/>
      <c r="M29" s="110"/>
      <c r="N29" s="110"/>
      <c r="O29" s="110"/>
    </row>
    <row r="30" ht="14.25" customHeight="1">
      <c r="A30" s="112"/>
      <c r="B30" s="91"/>
      <c r="C30" s="116" t="s">
        <v>2009</v>
      </c>
      <c r="D30" s="117"/>
      <c r="E30" s="117"/>
      <c r="F30" s="118"/>
      <c r="G30" s="119" t="s">
        <v>2010</v>
      </c>
      <c r="H30" s="119" t="s">
        <v>2011</v>
      </c>
      <c r="I30" s="120">
        <v>24.0</v>
      </c>
      <c r="J30" s="121">
        <v>0.039</v>
      </c>
      <c r="K30" s="122">
        <v>0.02925</v>
      </c>
      <c r="L30" s="3"/>
      <c r="M30" s="123">
        <v>5.46360269592037</v>
      </c>
      <c r="N30" s="123">
        <f t="shared" ref="N30:N71" si="2">IF(M30&lt;&gt;"",M30-(M30*0.1),"")</f>
        <v>4.917242426</v>
      </c>
      <c r="O30" s="123"/>
    </row>
    <row r="31" ht="14.25" customHeight="1">
      <c r="A31" s="103" t="s">
        <v>2012</v>
      </c>
      <c r="B31" s="104" t="s">
        <v>2012</v>
      </c>
      <c r="C31" s="104" t="s">
        <v>2009</v>
      </c>
      <c r="D31" s="103"/>
      <c r="E31" s="104"/>
      <c r="F31" s="104" t="s">
        <v>2013</v>
      </c>
      <c r="G31" s="103" t="s">
        <v>2014</v>
      </c>
      <c r="H31" s="103" t="s">
        <v>2015</v>
      </c>
      <c r="I31" s="105">
        <v>24.0</v>
      </c>
      <c r="J31" s="106">
        <v>0.039</v>
      </c>
      <c r="K31" s="106">
        <v>0.02925</v>
      </c>
      <c r="L31" s="107"/>
      <c r="M31" s="108">
        <v>8.22085548814946</v>
      </c>
      <c r="N31" s="108">
        <f t="shared" si="2"/>
        <v>7.398769939</v>
      </c>
      <c r="O31" s="108"/>
    </row>
    <row r="32" ht="14.25" customHeight="1">
      <c r="A32" s="103" t="s">
        <v>2012</v>
      </c>
      <c r="B32" s="104" t="s">
        <v>2012</v>
      </c>
      <c r="C32" s="104" t="s">
        <v>2009</v>
      </c>
      <c r="D32" s="104" t="s">
        <v>1927</v>
      </c>
      <c r="E32" s="104" t="s">
        <v>2016</v>
      </c>
      <c r="F32" s="104" t="s">
        <v>2017</v>
      </c>
      <c r="G32" s="103" t="s">
        <v>2018</v>
      </c>
      <c r="H32" s="103" t="s">
        <v>2019</v>
      </c>
      <c r="I32" s="105">
        <v>24.0</v>
      </c>
      <c r="J32" s="106">
        <v>0.039</v>
      </c>
      <c r="K32" s="106">
        <v>0.02925</v>
      </c>
      <c r="L32" s="107"/>
      <c r="M32" s="108">
        <v>8.207970134719758</v>
      </c>
      <c r="N32" s="108">
        <f t="shared" si="2"/>
        <v>7.387173121</v>
      </c>
      <c r="O32" s="108"/>
    </row>
    <row r="33" ht="14.25" customHeight="1">
      <c r="A33" s="103" t="s">
        <v>2012</v>
      </c>
      <c r="B33" s="104" t="s">
        <v>2012</v>
      </c>
      <c r="C33" s="104" t="s">
        <v>2009</v>
      </c>
      <c r="D33" s="104" t="s">
        <v>1927</v>
      </c>
      <c r="E33" s="104" t="s">
        <v>2020</v>
      </c>
      <c r="F33" s="104" t="s">
        <v>2021</v>
      </c>
      <c r="G33" s="103" t="s">
        <v>2022</v>
      </c>
      <c r="H33" s="103" t="s">
        <v>2023</v>
      </c>
      <c r="I33" s="105">
        <v>24.0</v>
      </c>
      <c r="J33" s="106">
        <v>0.039</v>
      </c>
      <c r="K33" s="106">
        <v>0.02925</v>
      </c>
      <c r="L33" s="107"/>
      <c r="M33" s="108">
        <v>9.895951434010636</v>
      </c>
      <c r="N33" s="108">
        <f t="shared" si="2"/>
        <v>8.906356291</v>
      </c>
      <c r="O33" s="108"/>
    </row>
    <row r="34" ht="14.25" customHeight="1">
      <c r="A34" s="103" t="s">
        <v>2012</v>
      </c>
      <c r="B34" s="104" t="s">
        <v>2012</v>
      </c>
      <c r="C34" s="104" t="s">
        <v>2009</v>
      </c>
      <c r="D34" s="104" t="s">
        <v>1927</v>
      </c>
      <c r="E34" s="104" t="s">
        <v>1928</v>
      </c>
      <c r="F34" s="104" t="s">
        <v>2024</v>
      </c>
      <c r="G34" s="103" t="s">
        <v>2025</v>
      </c>
      <c r="H34" s="103" t="s">
        <v>2026</v>
      </c>
      <c r="I34" s="105">
        <v>24.0</v>
      </c>
      <c r="J34" s="106">
        <v>0.039</v>
      </c>
      <c r="K34" s="106">
        <v>0.02925</v>
      </c>
      <c r="L34" s="107"/>
      <c r="M34" s="108">
        <v>10.024804968307652</v>
      </c>
      <c r="N34" s="108">
        <f t="shared" si="2"/>
        <v>9.022324471</v>
      </c>
      <c r="O34" s="108"/>
    </row>
    <row r="35" ht="14.25" customHeight="1">
      <c r="A35" s="103" t="s">
        <v>2012</v>
      </c>
      <c r="B35" s="104" t="s">
        <v>2012</v>
      </c>
      <c r="C35" s="104" t="s">
        <v>2009</v>
      </c>
      <c r="D35" s="104" t="s">
        <v>1953</v>
      </c>
      <c r="E35" s="104" t="s">
        <v>1954</v>
      </c>
      <c r="F35" s="104" t="s">
        <v>2027</v>
      </c>
      <c r="G35" s="103" t="s">
        <v>2028</v>
      </c>
      <c r="H35" s="103" t="s">
        <v>2029</v>
      </c>
      <c r="I35" s="105">
        <v>24.0</v>
      </c>
      <c r="J35" s="106">
        <v>0.039</v>
      </c>
      <c r="K35" s="106">
        <v>0.02925</v>
      </c>
      <c r="L35" s="107"/>
      <c r="M35" s="108">
        <v>10.024804968307652</v>
      </c>
      <c r="N35" s="108">
        <f t="shared" si="2"/>
        <v>9.022324471</v>
      </c>
      <c r="O35" s="108"/>
    </row>
    <row r="36" ht="14.25" customHeight="1">
      <c r="A36" s="103" t="s">
        <v>2012</v>
      </c>
      <c r="B36" s="104" t="s">
        <v>2012</v>
      </c>
      <c r="C36" s="104" t="s">
        <v>2009</v>
      </c>
      <c r="D36" s="104" t="s">
        <v>1927</v>
      </c>
      <c r="E36" s="104" t="s">
        <v>2016</v>
      </c>
      <c r="F36" s="104" t="s">
        <v>2030</v>
      </c>
      <c r="G36" s="103" t="s">
        <v>2031</v>
      </c>
      <c r="H36" s="103" t="s">
        <v>2032</v>
      </c>
      <c r="I36" s="105">
        <v>12.0</v>
      </c>
      <c r="J36" s="106">
        <v>0.039</v>
      </c>
      <c r="K36" s="106">
        <v>0.02925</v>
      </c>
      <c r="L36" s="107"/>
      <c r="M36" s="108">
        <v>18.174484218464475</v>
      </c>
      <c r="N36" s="108">
        <f t="shared" si="2"/>
        <v>16.3570358</v>
      </c>
      <c r="O36" s="108"/>
    </row>
    <row r="37" ht="14.25" customHeight="1">
      <c r="A37" s="103" t="s">
        <v>2012</v>
      </c>
      <c r="B37" s="104" t="s">
        <v>2012</v>
      </c>
      <c r="C37" s="104" t="s">
        <v>2009</v>
      </c>
      <c r="D37" s="104" t="s">
        <v>1927</v>
      </c>
      <c r="E37" s="104" t="s">
        <v>2016</v>
      </c>
      <c r="F37" s="104" t="s">
        <v>2033</v>
      </c>
      <c r="G37" s="103" t="s">
        <v>2034</v>
      </c>
      <c r="H37" s="103" t="s">
        <v>2035</v>
      </c>
      <c r="I37" s="105">
        <v>12.0</v>
      </c>
      <c r="J37" s="106">
        <v>0.039</v>
      </c>
      <c r="K37" s="106">
        <v>0.02925</v>
      </c>
      <c r="L37" s="107"/>
      <c r="M37" s="108">
        <v>19.63482427383063</v>
      </c>
      <c r="N37" s="108">
        <f t="shared" si="2"/>
        <v>17.67134185</v>
      </c>
      <c r="O37" s="108"/>
    </row>
    <row r="38" ht="14.25" customHeight="1">
      <c r="A38" s="103" t="s">
        <v>2012</v>
      </c>
      <c r="B38" s="104" t="s">
        <v>2012</v>
      </c>
      <c r="C38" s="104" t="s">
        <v>2009</v>
      </c>
      <c r="D38" s="104" t="s">
        <v>1927</v>
      </c>
      <c r="E38" s="104" t="s">
        <v>2020</v>
      </c>
      <c r="F38" s="104" t="s">
        <v>2036</v>
      </c>
      <c r="G38" s="103" t="s">
        <v>2037</v>
      </c>
      <c r="H38" s="103" t="s">
        <v>2038</v>
      </c>
      <c r="I38" s="105">
        <v>12.0</v>
      </c>
      <c r="J38" s="106">
        <v>0.039</v>
      </c>
      <c r="K38" s="106">
        <v>0.02925</v>
      </c>
      <c r="L38" s="107"/>
      <c r="M38" s="108">
        <v>20.395673714441568</v>
      </c>
      <c r="N38" s="108">
        <f t="shared" si="2"/>
        <v>18.35610634</v>
      </c>
      <c r="O38" s="108"/>
    </row>
    <row r="39" ht="14.25" customHeight="1">
      <c r="A39" s="103" t="s">
        <v>2012</v>
      </c>
      <c r="B39" s="104" t="s">
        <v>2012</v>
      </c>
      <c r="C39" s="104" t="s">
        <v>2009</v>
      </c>
      <c r="D39" s="104" t="s">
        <v>1953</v>
      </c>
      <c r="E39" s="104" t="s">
        <v>1954</v>
      </c>
      <c r="F39" s="104" t="s">
        <v>2039</v>
      </c>
      <c r="G39" s="103" t="s">
        <v>2040</v>
      </c>
      <c r="H39" s="103" t="s">
        <v>2041</v>
      </c>
      <c r="I39" s="105">
        <v>12.0</v>
      </c>
      <c r="J39" s="106">
        <v>0.039</v>
      </c>
      <c r="K39" s="106">
        <v>0.02925</v>
      </c>
      <c r="L39" s="107"/>
      <c r="M39" s="108">
        <v>20.837457260602754</v>
      </c>
      <c r="N39" s="108">
        <f t="shared" si="2"/>
        <v>18.75371153</v>
      </c>
      <c r="O39" s="108"/>
    </row>
    <row r="40" ht="14.25" customHeight="1">
      <c r="A40" s="112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110"/>
      <c r="N40" s="110" t="str">
        <f t="shared" si="2"/>
        <v/>
      </c>
      <c r="O40" s="110" t="str">
        <f>IF(N40&lt;&gt;"",N40-(N40*0.1),"")</f>
        <v/>
      </c>
    </row>
    <row r="41" ht="14.25" customHeight="1">
      <c r="A41" s="103" t="s">
        <v>2042</v>
      </c>
      <c r="B41" s="104" t="s">
        <v>2043</v>
      </c>
      <c r="C41" s="104" t="s">
        <v>2044</v>
      </c>
      <c r="D41" s="104" t="s">
        <v>2045</v>
      </c>
      <c r="E41" s="104" t="s">
        <v>2046</v>
      </c>
      <c r="F41" s="104" t="s">
        <v>2047</v>
      </c>
      <c r="G41" s="103" t="s">
        <v>2048</v>
      </c>
      <c r="H41" s="103" t="s">
        <v>2049</v>
      </c>
      <c r="I41" s="105">
        <v>24.0</v>
      </c>
      <c r="J41" s="106">
        <v>0.039</v>
      </c>
      <c r="K41" s="124">
        <v>0.02925</v>
      </c>
      <c r="L41" s="107"/>
      <c r="M41" s="108">
        <v>10.385594864339287</v>
      </c>
      <c r="N41" s="108">
        <f t="shared" si="2"/>
        <v>9.347035378</v>
      </c>
      <c r="O41" s="108"/>
    </row>
    <row r="42" ht="14.25" customHeight="1">
      <c r="A42" s="103" t="s">
        <v>2042</v>
      </c>
      <c r="B42" s="104" t="s">
        <v>2042</v>
      </c>
      <c r="C42" s="104" t="s">
        <v>2045</v>
      </c>
      <c r="D42" s="104" t="s">
        <v>2046</v>
      </c>
      <c r="E42" s="104" t="s">
        <v>2050</v>
      </c>
      <c r="F42" s="104" t="s">
        <v>2051</v>
      </c>
      <c r="G42" s="103" t="s">
        <v>2052</v>
      </c>
      <c r="H42" s="103" t="s">
        <v>2053</v>
      </c>
      <c r="I42" s="105">
        <v>24.0</v>
      </c>
      <c r="J42" s="106">
        <v>0.039</v>
      </c>
      <c r="K42" s="124">
        <v>0.02925</v>
      </c>
      <c r="L42" s="107"/>
      <c r="M42" s="108">
        <v>9.741327192854222</v>
      </c>
      <c r="N42" s="108">
        <f t="shared" si="2"/>
        <v>8.767194474</v>
      </c>
      <c r="O42" s="108"/>
    </row>
    <row r="43" ht="14.25" customHeight="1">
      <c r="A43" s="103" t="s">
        <v>2042</v>
      </c>
      <c r="B43" s="104" t="s">
        <v>2042</v>
      </c>
      <c r="C43" s="104" t="s">
        <v>2045</v>
      </c>
      <c r="D43" s="104" t="s">
        <v>2046</v>
      </c>
      <c r="E43" s="104" t="s">
        <v>2054</v>
      </c>
      <c r="F43" s="104" t="s">
        <v>2055</v>
      </c>
      <c r="G43" s="103" t="s">
        <v>2056</v>
      </c>
      <c r="H43" s="103" t="s">
        <v>2057</v>
      </c>
      <c r="I43" s="105">
        <v>24.0</v>
      </c>
      <c r="J43" s="106">
        <v>0.039</v>
      </c>
      <c r="K43" s="124">
        <v>0.02925</v>
      </c>
      <c r="L43" s="107"/>
      <c r="M43" s="108">
        <v>10.965435768675848</v>
      </c>
      <c r="N43" s="108">
        <f t="shared" si="2"/>
        <v>9.868892192</v>
      </c>
      <c r="O43" s="108"/>
    </row>
    <row r="44" ht="14.25" customHeight="1">
      <c r="A44" s="103" t="s">
        <v>2042</v>
      </c>
      <c r="B44" s="104" t="s">
        <v>2043</v>
      </c>
      <c r="C44" s="104" t="s">
        <v>2044</v>
      </c>
      <c r="D44" s="104" t="s">
        <v>2045</v>
      </c>
      <c r="E44" s="104" t="s">
        <v>1927</v>
      </c>
      <c r="F44" s="104" t="s">
        <v>2058</v>
      </c>
      <c r="G44" s="103" t="s">
        <v>2059</v>
      </c>
      <c r="H44" s="103" t="s">
        <v>2060</v>
      </c>
      <c r="I44" s="105">
        <v>24.0</v>
      </c>
      <c r="J44" s="106">
        <v>0.039</v>
      </c>
      <c r="K44" s="124">
        <v>0.02925</v>
      </c>
      <c r="L44" s="107"/>
      <c r="M44" s="108">
        <v>11.596818086731217</v>
      </c>
      <c r="N44" s="108">
        <f t="shared" si="2"/>
        <v>10.43713628</v>
      </c>
      <c r="O44" s="108"/>
    </row>
    <row r="45" ht="14.25" customHeight="1">
      <c r="A45" s="103" t="s">
        <v>2042</v>
      </c>
      <c r="B45" s="104" t="s">
        <v>2042</v>
      </c>
      <c r="C45" s="104" t="s">
        <v>2045</v>
      </c>
      <c r="D45" s="104"/>
      <c r="E45" s="104" t="s">
        <v>2050</v>
      </c>
      <c r="F45" s="104" t="s">
        <v>75</v>
      </c>
      <c r="G45" s="103" t="s">
        <v>2061</v>
      </c>
      <c r="H45" s="103" t="s">
        <v>2062</v>
      </c>
      <c r="I45" s="105">
        <v>8.0</v>
      </c>
      <c r="J45" s="106">
        <v>0.039</v>
      </c>
      <c r="K45" s="124">
        <v>0.02925</v>
      </c>
      <c r="L45" s="107"/>
      <c r="M45" s="108">
        <v>12.112232223919271</v>
      </c>
      <c r="N45" s="108">
        <f t="shared" si="2"/>
        <v>10.901009</v>
      </c>
      <c r="O45" s="108"/>
    </row>
    <row r="46" ht="14.25" customHeight="1">
      <c r="A46" s="112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110"/>
      <c r="N46" s="110" t="str">
        <f t="shared" si="2"/>
        <v/>
      </c>
      <c r="O46" s="110" t="str">
        <f>IF(N46&lt;&gt;"",N46-(N46*0.1),"")</f>
        <v/>
      </c>
    </row>
    <row r="47" ht="14.25" customHeight="1">
      <c r="A47" s="103" t="s">
        <v>2063</v>
      </c>
      <c r="B47" s="104" t="s">
        <v>2063</v>
      </c>
      <c r="C47" s="104" t="s">
        <v>2064</v>
      </c>
      <c r="D47" s="104" t="s">
        <v>2065</v>
      </c>
      <c r="E47" s="104" t="s">
        <v>2066</v>
      </c>
      <c r="F47" s="104" t="s">
        <v>2067</v>
      </c>
      <c r="G47" s="103" t="s">
        <v>2068</v>
      </c>
      <c r="H47" s="103" t="s">
        <v>2069</v>
      </c>
      <c r="I47" s="105">
        <v>24.0</v>
      </c>
      <c r="J47" s="106">
        <v>0.039</v>
      </c>
      <c r="K47" s="124">
        <v>0.02925</v>
      </c>
      <c r="L47" s="107"/>
      <c r="M47" s="108">
        <v>12.408595352802399</v>
      </c>
      <c r="N47" s="108">
        <f t="shared" si="2"/>
        <v>11.16773582</v>
      </c>
      <c r="O47" s="108"/>
    </row>
    <row r="48" ht="14.25" customHeight="1">
      <c r="A48" s="103" t="s">
        <v>2063</v>
      </c>
      <c r="B48" s="104" t="s">
        <v>2063</v>
      </c>
      <c r="C48" s="104" t="s">
        <v>2064</v>
      </c>
      <c r="D48" s="104" t="s">
        <v>2065</v>
      </c>
      <c r="E48" s="104" t="s">
        <v>1928</v>
      </c>
      <c r="F48" s="104" t="s">
        <v>2070</v>
      </c>
      <c r="G48" s="103" t="s">
        <v>2071</v>
      </c>
      <c r="H48" s="103" t="s">
        <v>2072</v>
      </c>
      <c r="I48" s="105">
        <v>24.0</v>
      </c>
      <c r="J48" s="106">
        <v>0.039</v>
      </c>
      <c r="K48" s="124">
        <v>0.02925</v>
      </c>
      <c r="L48" s="107"/>
      <c r="M48" s="108">
        <v>12.408595352802399</v>
      </c>
      <c r="N48" s="108">
        <f t="shared" si="2"/>
        <v>11.16773582</v>
      </c>
      <c r="O48" s="108"/>
    </row>
    <row r="49" ht="14.25" customHeight="1">
      <c r="A49" s="103" t="s">
        <v>2063</v>
      </c>
      <c r="B49" s="104" t="s">
        <v>2063</v>
      </c>
      <c r="C49" s="104" t="s">
        <v>2064</v>
      </c>
      <c r="D49" s="104" t="s">
        <v>2065</v>
      </c>
      <c r="E49" s="104" t="s">
        <v>2073</v>
      </c>
      <c r="F49" s="104" t="s">
        <v>2074</v>
      </c>
      <c r="G49" s="103" t="s">
        <v>2075</v>
      </c>
      <c r="H49" s="103" t="s">
        <v>2076</v>
      </c>
      <c r="I49" s="105">
        <v>24.0</v>
      </c>
      <c r="J49" s="106">
        <v>0.039</v>
      </c>
      <c r="K49" s="124">
        <v>0.02925</v>
      </c>
      <c r="L49" s="107"/>
      <c r="M49" s="108">
        <v>14.070805945233877</v>
      </c>
      <c r="N49" s="108">
        <f t="shared" si="2"/>
        <v>12.66372535</v>
      </c>
      <c r="O49" s="108"/>
    </row>
    <row r="50" ht="14.25" customHeight="1">
      <c r="A50" s="103" t="s">
        <v>2063</v>
      </c>
      <c r="B50" s="104" t="s">
        <v>2063</v>
      </c>
      <c r="C50" s="104" t="s">
        <v>2064</v>
      </c>
      <c r="D50" s="104" t="s">
        <v>2065</v>
      </c>
      <c r="E50" s="104"/>
      <c r="F50" s="104" t="s">
        <v>75</v>
      </c>
      <c r="G50" s="103" t="s">
        <v>2077</v>
      </c>
      <c r="H50" s="103" t="s">
        <v>2078</v>
      </c>
      <c r="I50" s="105">
        <v>24.0</v>
      </c>
      <c r="J50" s="106">
        <v>0.039</v>
      </c>
      <c r="K50" s="124">
        <v>0.02925</v>
      </c>
      <c r="L50" s="107"/>
      <c r="M50" s="108">
        <v>14.070805945233873</v>
      </c>
      <c r="N50" s="108">
        <f t="shared" si="2"/>
        <v>12.66372535</v>
      </c>
      <c r="O50" s="108"/>
    </row>
    <row r="51" ht="14.25" customHeight="1">
      <c r="A51" s="103" t="s">
        <v>2063</v>
      </c>
      <c r="B51" s="104" t="s">
        <v>2063</v>
      </c>
      <c r="C51" s="104" t="s">
        <v>2064</v>
      </c>
      <c r="D51" s="104" t="s">
        <v>2065</v>
      </c>
      <c r="E51" s="104"/>
      <c r="F51" s="104" t="s">
        <v>75</v>
      </c>
      <c r="G51" s="103" t="s">
        <v>2079</v>
      </c>
      <c r="H51" s="103" t="s">
        <v>2080</v>
      </c>
      <c r="I51" s="105">
        <v>24.0</v>
      </c>
      <c r="J51" s="106">
        <v>0.039</v>
      </c>
      <c r="K51" s="124">
        <v>0.02925</v>
      </c>
      <c r="L51" s="107"/>
      <c r="M51" s="108">
        <v>14.070805945233873</v>
      </c>
      <c r="N51" s="108">
        <f t="shared" si="2"/>
        <v>12.66372535</v>
      </c>
      <c r="O51" s="108"/>
    </row>
    <row r="52" ht="14.25" customHeight="1">
      <c r="A52" s="103" t="s">
        <v>2063</v>
      </c>
      <c r="B52" s="104" t="s">
        <v>2063</v>
      </c>
      <c r="C52" s="104" t="s">
        <v>2064</v>
      </c>
      <c r="D52" s="104" t="s">
        <v>2065</v>
      </c>
      <c r="E52" s="104"/>
      <c r="F52" s="104" t="s">
        <v>75</v>
      </c>
      <c r="G52" s="103" t="s">
        <v>2081</v>
      </c>
      <c r="H52" s="103" t="s">
        <v>2082</v>
      </c>
      <c r="I52" s="105">
        <v>24.0</v>
      </c>
      <c r="J52" s="106">
        <v>0.039</v>
      </c>
      <c r="K52" s="124">
        <v>0.02925</v>
      </c>
      <c r="L52" s="107"/>
      <c r="M52" s="108">
        <v>14.070805945233873</v>
      </c>
      <c r="N52" s="108">
        <f t="shared" si="2"/>
        <v>12.66372535</v>
      </c>
      <c r="O52" s="108"/>
    </row>
    <row r="53" ht="14.25" customHeight="1">
      <c r="A53" s="103" t="s">
        <v>2063</v>
      </c>
      <c r="B53" s="104" t="s">
        <v>2063</v>
      </c>
      <c r="C53" s="104" t="s">
        <v>2064</v>
      </c>
      <c r="D53" s="104" t="s">
        <v>2065</v>
      </c>
      <c r="E53" s="104" t="s">
        <v>1939</v>
      </c>
      <c r="F53" s="104" t="s">
        <v>2083</v>
      </c>
      <c r="G53" s="103" t="s">
        <v>2084</v>
      </c>
      <c r="H53" s="103" t="s">
        <v>2085</v>
      </c>
      <c r="I53" s="105">
        <v>24.0</v>
      </c>
      <c r="J53" s="106">
        <v>0.039</v>
      </c>
      <c r="K53" s="124">
        <v>0.02925</v>
      </c>
      <c r="L53" s="107"/>
      <c r="M53" s="108">
        <v>15.011436745602074</v>
      </c>
      <c r="N53" s="108">
        <f t="shared" si="2"/>
        <v>13.51029307</v>
      </c>
      <c r="O53" s="108"/>
    </row>
    <row r="54" ht="14.25" customHeight="1">
      <c r="A54" s="112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110"/>
      <c r="N54" s="110" t="str">
        <f t="shared" si="2"/>
        <v/>
      </c>
      <c r="O54" s="110" t="str">
        <f>IF(N54&lt;&gt;"",N54-(N54*0.1),"")</f>
        <v/>
      </c>
    </row>
    <row r="55" ht="14.25" customHeight="1">
      <c r="A55" s="103" t="s">
        <v>2086</v>
      </c>
      <c r="B55" s="104" t="s">
        <v>2086</v>
      </c>
      <c r="C55" s="104" t="s">
        <v>2087</v>
      </c>
      <c r="D55" s="104" t="s">
        <v>2088</v>
      </c>
      <c r="E55" s="104" t="s">
        <v>2089</v>
      </c>
      <c r="F55" s="104" t="s">
        <v>2090</v>
      </c>
      <c r="G55" s="103" t="s">
        <v>2091</v>
      </c>
      <c r="H55" s="103" t="s">
        <v>2092</v>
      </c>
      <c r="I55" s="105">
        <v>24.0</v>
      </c>
      <c r="J55" s="106">
        <v>0.039</v>
      </c>
      <c r="K55" s="124">
        <v>0.02925</v>
      </c>
      <c r="L55" s="107"/>
      <c r="M55" s="108">
        <v>10.450021631487795</v>
      </c>
      <c r="N55" s="108">
        <f t="shared" si="2"/>
        <v>9.405019468</v>
      </c>
      <c r="O55" s="108"/>
    </row>
    <row r="56" ht="14.25" customHeight="1">
      <c r="A56" s="103" t="s">
        <v>2086</v>
      </c>
      <c r="B56" s="104" t="s">
        <v>2086</v>
      </c>
      <c r="C56" s="104" t="s">
        <v>2087</v>
      </c>
      <c r="D56" s="104" t="s">
        <v>2088</v>
      </c>
      <c r="E56" s="104" t="s">
        <v>2093</v>
      </c>
      <c r="F56" s="104" t="s">
        <v>2094</v>
      </c>
      <c r="G56" s="103" t="s">
        <v>2095</v>
      </c>
      <c r="H56" s="103" t="s">
        <v>2096</v>
      </c>
      <c r="I56" s="105">
        <v>24.0</v>
      </c>
      <c r="J56" s="106">
        <v>0.039</v>
      </c>
      <c r="K56" s="124">
        <v>0.02925</v>
      </c>
      <c r="L56" s="107"/>
      <c r="M56" s="108">
        <v>10.553104458925405</v>
      </c>
      <c r="N56" s="108">
        <f t="shared" si="2"/>
        <v>9.497794013</v>
      </c>
      <c r="O56" s="108"/>
    </row>
    <row r="57" ht="14.25" customHeight="1">
      <c r="A57" s="103" t="s">
        <v>2086</v>
      </c>
      <c r="B57" s="104" t="s">
        <v>2086</v>
      </c>
      <c r="C57" s="104" t="s">
        <v>2087</v>
      </c>
      <c r="D57" s="104" t="s">
        <v>2088</v>
      </c>
      <c r="E57" s="104" t="s">
        <v>2097</v>
      </c>
      <c r="F57" s="104" t="s">
        <v>2098</v>
      </c>
      <c r="G57" s="103" t="s">
        <v>2099</v>
      </c>
      <c r="H57" s="103" t="s">
        <v>2100</v>
      </c>
      <c r="I57" s="105">
        <v>20.0</v>
      </c>
      <c r="J57" s="106">
        <v>0.039</v>
      </c>
      <c r="K57" s="124">
        <v>0.02925</v>
      </c>
      <c r="L57" s="107"/>
      <c r="M57" s="108">
        <v>13.877525643788355</v>
      </c>
      <c r="N57" s="108">
        <f t="shared" si="2"/>
        <v>12.48977308</v>
      </c>
      <c r="O57" s="108"/>
    </row>
    <row r="58" ht="14.25" customHeight="1">
      <c r="A58" s="103" t="s">
        <v>2086</v>
      </c>
      <c r="B58" s="104" t="s">
        <v>2086</v>
      </c>
      <c r="C58" s="104" t="s">
        <v>2087</v>
      </c>
      <c r="D58" s="104" t="s">
        <v>2088</v>
      </c>
      <c r="E58" s="104" t="s">
        <v>2089</v>
      </c>
      <c r="F58" s="104" t="s">
        <v>2101</v>
      </c>
      <c r="G58" s="103" t="s">
        <v>2102</v>
      </c>
      <c r="H58" s="103" t="s">
        <v>2103</v>
      </c>
      <c r="I58" s="105">
        <v>20.0</v>
      </c>
      <c r="J58" s="106">
        <v>0.039</v>
      </c>
      <c r="K58" s="124">
        <v>0.02925</v>
      </c>
      <c r="L58" s="107"/>
      <c r="M58" s="108">
        <v>13.890410997218055</v>
      </c>
      <c r="N58" s="108">
        <f t="shared" si="2"/>
        <v>12.5013699</v>
      </c>
      <c r="O58" s="108"/>
    </row>
    <row r="59" ht="14.25" customHeight="1">
      <c r="A59" s="103" t="s">
        <v>2086</v>
      </c>
      <c r="B59" s="104" t="s">
        <v>2086</v>
      </c>
      <c r="C59" s="104" t="s">
        <v>2087</v>
      </c>
      <c r="D59" s="104" t="s">
        <v>2088</v>
      </c>
      <c r="E59" s="104" t="s">
        <v>2104</v>
      </c>
      <c r="F59" s="104" t="s">
        <v>2105</v>
      </c>
      <c r="G59" s="103" t="s">
        <v>2106</v>
      </c>
      <c r="H59" s="103" t="s">
        <v>2107</v>
      </c>
      <c r="I59" s="105">
        <v>20.0</v>
      </c>
      <c r="J59" s="106">
        <v>0.039</v>
      </c>
      <c r="K59" s="124">
        <v>0.02925</v>
      </c>
      <c r="L59" s="107"/>
      <c r="M59" s="108">
        <v>14.032149884944769</v>
      </c>
      <c r="N59" s="108">
        <f t="shared" si="2"/>
        <v>12.6289349</v>
      </c>
      <c r="O59" s="108"/>
    </row>
    <row r="60" ht="14.25" customHeight="1">
      <c r="A60" s="103" t="s">
        <v>2086</v>
      </c>
      <c r="B60" s="104" t="s">
        <v>2086</v>
      </c>
      <c r="C60" s="104" t="s">
        <v>2087</v>
      </c>
      <c r="D60" s="104" t="s">
        <v>2088</v>
      </c>
      <c r="E60" s="104" t="s">
        <v>2108</v>
      </c>
      <c r="F60" s="104" t="s">
        <v>2109</v>
      </c>
      <c r="G60" s="103" t="s">
        <v>2110</v>
      </c>
      <c r="H60" s="103" t="s">
        <v>2111</v>
      </c>
      <c r="I60" s="105">
        <v>20.0</v>
      </c>
      <c r="J60" s="106">
        <v>0.039</v>
      </c>
      <c r="K60" s="124">
        <v>0.02925</v>
      </c>
      <c r="L60" s="107"/>
      <c r="M60" s="108">
        <v>15.050092805891179</v>
      </c>
      <c r="N60" s="108">
        <f t="shared" si="2"/>
        <v>13.54508353</v>
      </c>
      <c r="O60" s="108"/>
    </row>
    <row r="61" ht="14.25" customHeight="1">
      <c r="A61" s="103" t="s">
        <v>2086</v>
      </c>
      <c r="B61" s="104" t="s">
        <v>2086</v>
      </c>
      <c r="C61" s="104" t="s">
        <v>2087</v>
      </c>
      <c r="D61" s="104" t="s">
        <v>2088</v>
      </c>
      <c r="E61" s="104" t="s">
        <v>2112</v>
      </c>
      <c r="F61" s="104" t="s">
        <v>2113</v>
      </c>
      <c r="G61" s="103" t="s">
        <v>2114</v>
      </c>
      <c r="H61" s="103" t="s">
        <v>2115</v>
      </c>
      <c r="I61" s="105">
        <v>20.0</v>
      </c>
      <c r="J61" s="106">
        <v>0.039</v>
      </c>
      <c r="K61" s="124">
        <v>0.02925</v>
      </c>
      <c r="L61" s="107"/>
      <c r="M61" s="108">
        <v>18.88992812794218</v>
      </c>
      <c r="N61" s="108">
        <f t="shared" si="2"/>
        <v>17.00093532</v>
      </c>
      <c r="O61" s="108"/>
    </row>
    <row r="62" ht="14.25" customHeight="1">
      <c r="A62" s="112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110"/>
      <c r="N62" s="110" t="str">
        <f t="shared" si="2"/>
        <v/>
      </c>
      <c r="O62" s="110" t="str">
        <f>IF(N62&lt;&gt;"",N62-(N62*0.1),"")</f>
        <v/>
      </c>
    </row>
    <row r="63" ht="14.25" customHeight="1">
      <c r="A63" s="104" t="s">
        <v>2116</v>
      </c>
      <c r="B63" s="104" t="s">
        <v>2116</v>
      </c>
      <c r="C63" s="104" t="s">
        <v>2117</v>
      </c>
      <c r="D63" s="103"/>
      <c r="E63" s="104"/>
      <c r="F63" s="104" t="s">
        <v>1873</v>
      </c>
      <c r="G63" s="103" t="s">
        <v>2118</v>
      </c>
      <c r="H63" s="103" t="s">
        <v>2119</v>
      </c>
      <c r="I63" s="125">
        <v>24.0</v>
      </c>
      <c r="J63" s="106">
        <v>0.039</v>
      </c>
      <c r="K63" s="106">
        <v>0.02925</v>
      </c>
      <c r="L63" s="107"/>
      <c r="M63" s="108">
        <v>7.1053520340924585</v>
      </c>
      <c r="N63" s="108">
        <f t="shared" si="2"/>
        <v>6.394816831</v>
      </c>
      <c r="O63" s="108"/>
    </row>
    <row r="64" ht="14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110"/>
      <c r="N64" s="110" t="str">
        <f t="shared" si="2"/>
        <v/>
      </c>
      <c r="O64" s="110" t="str">
        <f>IF(N64&lt;&gt;"",N64-(N64*0.1),"")</f>
        <v/>
      </c>
    </row>
    <row r="65" ht="14.25" customHeight="1">
      <c r="A65" s="104" t="s">
        <v>2120</v>
      </c>
      <c r="B65" s="104" t="s">
        <v>2121</v>
      </c>
      <c r="C65" s="104" t="s">
        <v>1894</v>
      </c>
      <c r="D65" s="104" t="s">
        <v>1927</v>
      </c>
      <c r="E65" s="104" t="s">
        <v>1954</v>
      </c>
      <c r="F65" s="104" t="s">
        <v>1873</v>
      </c>
      <c r="G65" s="103" t="s">
        <v>2122</v>
      </c>
      <c r="H65" s="103" t="s">
        <v>2123</v>
      </c>
      <c r="I65" s="105">
        <v>12.0</v>
      </c>
      <c r="J65" s="126">
        <v>0.0</v>
      </c>
      <c r="K65" s="126">
        <v>0.0</v>
      </c>
      <c r="L65" s="91"/>
      <c r="M65" s="108">
        <v>6.521149164510166</v>
      </c>
      <c r="N65" s="108">
        <f t="shared" si="2"/>
        <v>5.869034248</v>
      </c>
      <c r="O65" s="108"/>
    </row>
    <row r="66" ht="14.25" customHeight="1">
      <c r="A66" s="104" t="s">
        <v>2120</v>
      </c>
      <c r="B66" s="104" t="s">
        <v>2121</v>
      </c>
      <c r="C66" s="104" t="s">
        <v>1894</v>
      </c>
      <c r="D66" s="104" t="s">
        <v>1927</v>
      </c>
      <c r="E66" s="104" t="s">
        <v>2016</v>
      </c>
      <c r="F66" s="104" t="s">
        <v>1873</v>
      </c>
      <c r="G66" s="103" t="s">
        <v>2124</v>
      </c>
      <c r="H66" s="103" t="s">
        <v>2125</v>
      </c>
      <c r="I66" s="105">
        <v>12.0</v>
      </c>
      <c r="J66" s="126">
        <v>0.0</v>
      </c>
      <c r="K66" s="126">
        <v>0.0</v>
      </c>
      <c r="L66" s="91"/>
      <c r="M66" s="108">
        <v>6.521149164510166</v>
      </c>
      <c r="N66" s="108">
        <f t="shared" si="2"/>
        <v>5.869034248</v>
      </c>
      <c r="O66" s="108"/>
    </row>
    <row r="67" ht="14.25" customHeight="1">
      <c r="A67" s="91"/>
      <c r="B67" s="91"/>
      <c r="C67" s="91"/>
      <c r="D67" s="91"/>
      <c r="E67" s="91"/>
      <c r="F67" s="92"/>
      <c r="G67" s="91"/>
      <c r="H67" s="91"/>
      <c r="I67" s="91"/>
      <c r="J67" s="91"/>
      <c r="K67" s="91"/>
      <c r="L67" s="91"/>
      <c r="M67" s="110"/>
      <c r="N67" s="110" t="str">
        <f t="shared" si="2"/>
        <v/>
      </c>
      <c r="O67" s="110" t="str">
        <f>IF(N67&lt;&gt;"",N67-(N67*0.1),"")</f>
        <v/>
      </c>
    </row>
    <row r="68" ht="14.25" customHeight="1">
      <c r="A68" s="104" t="s">
        <v>2126</v>
      </c>
      <c r="B68" s="104" t="s">
        <v>2126</v>
      </c>
      <c r="C68" s="127" t="s">
        <v>1894</v>
      </c>
      <c r="D68" s="104" t="s">
        <v>2088</v>
      </c>
      <c r="E68" s="128" t="s">
        <v>2127</v>
      </c>
      <c r="F68" s="128"/>
      <c r="G68" s="103" t="s">
        <v>2128</v>
      </c>
      <c r="H68" s="103" t="s">
        <v>2129</v>
      </c>
      <c r="I68" s="105">
        <v>12.0</v>
      </c>
      <c r="J68" s="126">
        <v>0.0</v>
      </c>
      <c r="K68" s="126">
        <v>0.0</v>
      </c>
      <c r="L68" s="91"/>
      <c r="M68" s="108">
        <v>10.426470133086875</v>
      </c>
      <c r="N68" s="108">
        <f t="shared" si="2"/>
        <v>9.38382312</v>
      </c>
      <c r="O68" s="108"/>
    </row>
    <row r="69" ht="14.25" customHeight="1">
      <c r="A69" s="104" t="s">
        <v>2126</v>
      </c>
      <c r="B69" s="104" t="s">
        <v>2126</v>
      </c>
      <c r="C69" s="127" t="s">
        <v>1894</v>
      </c>
      <c r="D69" s="104" t="s">
        <v>2088</v>
      </c>
      <c r="E69" s="128" t="s">
        <v>2130</v>
      </c>
      <c r="F69" s="128"/>
      <c r="G69" s="103" t="s">
        <v>2131</v>
      </c>
      <c r="H69" s="103" t="s">
        <v>2132</v>
      </c>
      <c r="I69" s="105">
        <v>12.0</v>
      </c>
      <c r="J69" s="126">
        <v>0.0</v>
      </c>
      <c r="K69" s="126">
        <v>0.0</v>
      </c>
      <c r="L69" s="91"/>
      <c r="M69" s="108">
        <v>10.684368687615523</v>
      </c>
      <c r="N69" s="108">
        <f t="shared" si="2"/>
        <v>9.615931819</v>
      </c>
      <c r="O69" s="108"/>
    </row>
    <row r="70" ht="14.25" customHeight="1">
      <c r="A70" s="104" t="s">
        <v>2126</v>
      </c>
      <c r="B70" s="104" t="s">
        <v>2126</v>
      </c>
      <c r="C70" s="127" t="s">
        <v>1894</v>
      </c>
      <c r="D70" s="104" t="s">
        <v>2088</v>
      </c>
      <c r="E70" s="128" t="s">
        <v>2127</v>
      </c>
      <c r="F70" s="128"/>
      <c r="G70" s="103" t="s">
        <v>2133</v>
      </c>
      <c r="H70" s="103" t="s">
        <v>2134</v>
      </c>
      <c r="I70" s="105">
        <v>12.0</v>
      </c>
      <c r="J70" s="126">
        <v>0.0</v>
      </c>
      <c r="K70" s="126">
        <v>0.0</v>
      </c>
      <c r="L70" s="91"/>
      <c r="M70" s="108">
        <v>14.93355439556377</v>
      </c>
      <c r="N70" s="108">
        <f t="shared" si="2"/>
        <v>13.44019896</v>
      </c>
      <c r="O70" s="108"/>
    </row>
    <row r="71" ht="14.25" customHeight="1">
      <c r="A71" s="91"/>
      <c r="B71" s="91"/>
      <c r="C71" s="91"/>
      <c r="D71" s="91"/>
      <c r="E71" s="91"/>
      <c r="F71" s="92"/>
      <c r="G71" s="91"/>
      <c r="H71" s="91"/>
      <c r="I71" s="91"/>
      <c r="J71" s="91"/>
      <c r="K71" s="91"/>
      <c r="L71" s="3"/>
      <c r="N71" s="129" t="str">
        <f t="shared" si="2"/>
        <v/>
      </c>
      <c r="O71" s="4"/>
    </row>
    <row r="72" ht="14.25" customHeight="1">
      <c r="A72" s="91"/>
      <c r="B72" s="91"/>
      <c r="C72" s="91"/>
      <c r="D72" s="91"/>
      <c r="E72" s="91"/>
      <c r="F72" s="92"/>
      <c r="G72" s="91"/>
      <c r="H72" s="91"/>
      <c r="I72" s="91"/>
      <c r="J72" s="91"/>
      <c r="K72" s="91"/>
      <c r="L72" s="3"/>
    </row>
    <row r="73" ht="14.25" customHeight="1">
      <c r="A73" s="91"/>
      <c r="B73" s="91"/>
      <c r="C73" s="91"/>
      <c r="D73" s="91"/>
      <c r="E73" s="91"/>
      <c r="F73" s="92"/>
      <c r="G73" s="91"/>
      <c r="H73" s="91"/>
      <c r="I73" s="91"/>
      <c r="J73" s="91"/>
      <c r="K73" s="91"/>
      <c r="L73" s="3"/>
    </row>
    <row r="74" ht="14.25" customHeight="1">
      <c r="A74" s="91"/>
      <c r="B74" s="91"/>
      <c r="C74" s="91"/>
      <c r="D74" s="91"/>
      <c r="E74" s="91"/>
      <c r="F74" s="92"/>
      <c r="G74" s="91"/>
      <c r="H74" s="91"/>
      <c r="I74" s="91"/>
      <c r="J74" s="91"/>
      <c r="K74" s="91"/>
      <c r="L74" s="3"/>
    </row>
    <row r="75" ht="14.25" customHeight="1">
      <c r="A75" s="91"/>
      <c r="B75" s="91"/>
      <c r="C75" s="91"/>
      <c r="D75" s="91"/>
      <c r="E75" s="91"/>
      <c r="F75" s="92"/>
      <c r="G75" s="91"/>
      <c r="H75" s="91"/>
      <c r="I75" s="91"/>
      <c r="J75" s="91"/>
      <c r="K75" s="91"/>
      <c r="L75" s="3"/>
    </row>
    <row r="76" ht="14.25" customHeight="1">
      <c r="A76" s="91"/>
      <c r="B76" s="91"/>
      <c r="C76" s="91"/>
      <c r="D76" s="91"/>
      <c r="E76" s="91"/>
      <c r="F76" s="92"/>
      <c r="G76" s="91"/>
      <c r="H76" s="91"/>
      <c r="I76" s="91"/>
      <c r="J76" s="91"/>
      <c r="K76" s="91"/>
      <c r="L76" s="3"/>
    </row>
    <row r="77" ht="14.25" customHeight="1">
      <c r="A77" s="91"/>
      <c r="B77" s="91"/>
      <c r="C77" s="91"/>
      <c r="D77" s="91"/>
      <c r="E77" s="91"/>
      <c r="F77" s="92"/>
      <c r="G77" s="91"/>
      <c r="H77" s="91"/>
      <c r="I77" s="91"/>
      <c r="J77" s="91"/>
      <c r="K77" s="91"/>
      <c r="L77" s="3"/>
    </row>
    <row r="78" ht="14.25" customHeight="1">
      <c r="A78" s="91"/>
      <c r="B78" s="91"/>
      <c r="C78" s="91"/>
      <c r="D78" s="91"/>
      <c r="E78" s="91"/>
      <c r="F78" s="92"/>
      <c r="G78" s="91"/>
      <c r="H78" s="91"/>
      <c r="I78" s="91"/>
      <c r="J78" s="91"/>
      <c r="K78" s="91"/>
      <c r="L78" s="3"/>
    </row>
    <row r="79" ht="14.25" customHeight="1">
      <c r="A79" s="91"/>
      <c r="B79" s="91"/>
      <c r="C79" s="91"/>
      <c r="D79" s="91"/>
      <c r="E79" s="91"/>
      <c r="F79" s="92"/>
      <c r="G79" s="91"/>
      <c r="H79" s="91"/>
      <c r="I79" s="91"/>
      <c r="J79" s="91"/>
      <c r="K79" s="91"/>
      <c r="L79" s="3"/>
    </row>
    <row r="80" ht="14.25" customHeight="1">
      <c r="A80" s="91"/>
      <c r="B80" s="91"/>
      <c r="C80" s="91"/>
      <c r="D80" s="91"/>
      <c r="E80" s="91"/>
      <c r="F80" s="92"/>
      <c r="G80" s="91"/>
      <c r="H80" s="91"/>
      <c r="I80" s="91"/>
      <c r="J80" s="91"/>
      <c r="K80" s="91"/>
      <c r="L80" s="3"/>
    </row>
    <row r="81" ht="14.25" customHeight="1">
      <c r="A81" s="91"/>
      <c r="B81" s="91"/>
      <c r="C81" s="91"/>
      <c r="D81" s="91"/>
      <c r="E81" s="91"/>
      <c r="F81" s="92"/>
      <c r="G81" s="91"/>
      <c r="H81" s="91"/>
      <c r="I81" s="91"/>
      <c r="J81" s="91"/>
      <c r="K81" s="91"/>
      <c r="L81" s="3"/>
    </row>
    <row r="82" ht="14.25" customHeight="1">
      <c r="A82" s="91"/>
      <c r="B82" s="91"/>
      <c r="C82" s="91"/>
      <c r="D82" s="91"/>
      <c r="E82" s="91"/>
      <c r="F82" s="92"/>
      <c r="G82" s="91"/>
      <c r="H82" s="91"/>
      <c r="I82" s="91"/>
      <c r="J82" s="91"/>
      <c r="K82" s="91"/>
      <c r="L82" s="3"/>
    </row>
    <row r="83" ht="14.25" customHeight="1">
      <c r="A83" s="91"/>
      <c r="B83" s="91"/>
      <c r="C83" s="91"/>
      <c r="D83" s="91"/>
      <c r="E83" s="91"/>
      <c r="F83" s="92"/>
      <c r="G83" s="91"/>
      <c r="H83" s="91"/>
      <c r="I83" s="91"/>
      <c r="J83" s="91"/>
      <c r="K83" s="91"/>
      <c r="L83" s="3"/>
    </row>
    <row r="84" ht="14.25" customHeight="1">
      <c r="A84" s="91"/>
      <c r="B84" s="91"/>
      <c r="C84" s="91"/>
      <c r="D84" s="91"/>
      <c r="E84" s="91"/>
      <c r="F84" s="92"/>
      <c r="G84" s="91"/>
      <c r="H84" s="91"/>
      <c r="I84" s="91"/>
      <c r="J84" s="91"/>
      <c r="K84" s="91"/>
      <c r="L84" s="3"/>
    </row>
    <row r="85" ht="14.25" customHeight="1">
      <c r="A85" s="91"/>
      <c r="B85" s="91"/>
      <c r="C85" s="91"/>
      <c r="D85" s="91"/>
      <c r="E85" s="91"/>
      <c r="F85" s="92"/>
      <c r="G85" s="91"/>
      <c r="H85" s="91"/>
      <c r="I85" s="91"/>
      <c r="J85" s="91"/>
      <c r="K85" s="91"/>
      <c r="L85" s="3"/>
    </row>
    <row r="86" ht="14.25" customHeight="1">
      <c r="A86" s="91"/>
      <c r="B86" s="91"/>
      <c r="C86" s="91"/>
      <c r="D86" s="91"/>
      <c r="E86" s="91"/>
      <c r="F86" s="92"/>
      <c r="G86" s="91"/>
      <c r="H86" s="91"/>
      <c r="I86" s="91"/>
      <c r="J86" s="91"/>
      <c r="K86" s="91"/>
      <c r="L86" s="3"/>
    </row>
    <row r="87" ht="14.25" customHeight="1">
      <c r="A87" s="91"/>
      <c r="B87" s="91"/>
      <c r="C87" s="91"/>
      <c r="D87" s="91"/>
      <c r="E87" s="91"/>
      <c r="F87" s="92"/>
      <c r="G87" s="91"/>
      <c r="H87" s="91"/>
      <c r="I87" s="91"/>
      <c r="J87" s="91"/>
      <c r="K87" s="91"/>
      <c r="L87" s="3"/>
    </row>
    <row r="88" ht="14.25" customHeight="1">
      <c r="A88" s="91"/>
      <c r="B88" s="91"/>
      <c r="C88" s="91"/>
      <c r="D88" s="91"/>
      <c r="E88" s="91"/>
      <c r="F88" s="92"/>
      <c r="G88" s="91"/>
      <c r="H88" s="91"/>
      <c r="I88" s="91"/>
      <c r="J88" s="91"/>
      <c r="K88" s="91"/>
      <c r="L88" s="3"/>
    </row>
    <row r="89" ht="14.25" customHeight="1">
      <c r="A89" s="91"/>
      <c r="B89" s="91"/>
      <c r="C89" s="91"/>
      <c r="D89" s="91"/>
      <c r="E89" s="91"/>
      <c r="F89" s="92"/>
      <c r="G89" s="91"/>
      <c r="H89" s="91"/>
      <c r="I89" s="91"/>
      <c r="J89" s="91"/>
      <c r="K89" s="91"/>
      <c r="L89" s="3"/>
    </row>
    <row r="90" ht="14.25" customHeight="1">
      <c r="A90" s="91"/>
      <c r="B90" s="91"/>
      <c r="C90" s="91"/>
      <c r="D90" s="91"/>
      <c r="E90" s="91"/>
      <c r="F90" s="92"/>
      <c r="G90" s="91"/>
      <c r="H90" s="91"/>
      <c r="I90" s="91"/>
      <c r="J90" s="91"/>
      <c r="K90" s="91"/>
      <c r="L90" s="3"/>
    </row>
    <row r="91" ht="14.25" customHeight="1">
      <c r="A91" s="91"/>
      <c r="B91" s="91"/>
      <c r="C91" s="91"/>
      <c r="D91" s="91"/>
      <c r="E91" s="91"/>
      <c r="F91" s="92"/>
      <c r="G91" s="91"/>
      <c r="H91" s="91"/>
      <c r="I91" s="91"/>
      <c r="J91" s="91"/>
      <c r="K91" s="91"/>
      <c r="L91" s="3"/>
    </row>
    <row r="92" ht="14.25" customHeight="1">
      <c r="A92" s="91"/>
      <c r="B92" s="91"/>
      <c r="C92" s="91"/>
      <c r="D92" s="91"/>
      <c r="E92" s="91"/>
      <c r="F92" s="92"/>
      <c r="G92" s="91"/>
      <c r="H92" s="91"/>
      <c r="I92" s="91"/>
      <c r="J92" s="91"/>
      <c r="K92" s="91"/>
      <c r="L92" s="3"/>
    </row>
    <row r="93" ht="14.25" customHeight="1">
      <c r="A93" s="91"/>
      <c r="B93" s="91"/>
      <c r="C93" s="91"/>
      <c r="D93" s="91"/>
      <c r="E93" s="91"/>
      <c r="F93" s="92"/>
      <c r="G93" s="91"/>
      <c r="H93" s="91"/>
      <c r="I93" s="91"/>
      <c r="J93" s="91"/>
      <c r="K93" s="91"/>
      <c r="L93" s="3"/>
    </row>
    <row r="94" ht="14.25" customHeight="1">
      <c r="A94" s="91"/>
      <c r="B94" s="91"/>
      <c r="C94" s="91"/>
      <c r="D94" s="91"/>
      <c r="E94" s="91"/>
      <c r="F94" s="92"/>
      <c r="G94" s="91"/>
      <c r="H94" s="91"/>
      <c r="I94" s="91"/>
      <c r="J94" s="91"/>
      <c r="K94" s="91"/>
      <c r="L94" s="3"/>
    </row>
    <row r="95" ht="14.25" customHeight="1">
      <c r="A95" s="91"/>
      <c r="B95" s="91"/>
      <c r="C95" s="91"/>
      <c r="D95" s="91"/>
      <c r="E95" s="91"/>
      <c r="F95" s="92"/>
      <c r="G95" s="91"/>
      <c r="H95" s="91"/>
      <c r="I95" s="91"/>
      <c r="J95" s="91"/>
      <c r="K95" s="91"/>
      <c r="L95" s="3"/>
    </row>
    <row r="96" ht="14.25" customHeight="1">
      <c r="A96" s="91"/>
      <c r="B96" s="91"/>
      <c r="C96" s="91"/>
      <c r="D96" s="91"/>
      <c r="E96" s="91"/>
      <c r="F96" s="92"/>
      <c r="G96" s="91"/>
      <c r="H96" s="91"/>
      <c r="I96" s="91"/>
      <c r="J96" s="91"/>
      <c r="K96" s="91"/>
      <c r="L96" s="3"/>
    </row>
    <row r="97" ht="14.25" customHeight="1">
      <c r="A97" s="91"/>
      <c r="B97" s="91"/>
      <c r="C97" s="91"/>
      <c r="D97" s="91"/>
      <c r="E97" s="91"/>
      <c r="F97" s="92"/>
      <c r="G97" s="91"/>
      <c r="H97" s="91"/>
      <c r="I97" s="91"/>
      <c r="J97" s="91"/>
      <c r="K97" s="91"/>
      <c r="L97" s="3"/>
    </row>
    <row r="98" ht="14.25" customHeight="1">
      <c r="A98" s="91"/>
      <c r="B98" s="91"/>
      <c r="C98" s="91"/>
      <c r="D98" s="91"/>
      <c r="E98" s="91"/>
      <c r="F98" s="92"/>
      <c r="G98" s="91"/>
      <c r="H98" s="91"/>
      <c r="I98" s="91"/>
      <c r="J98" s="91"/>
      <c r="K98" s="91"/>
      <c r="L98" s="3"/>
    </row>
    <row r="99" ht="14.25" customHeight="1">
      <c r="A99" s="91"/>
      <c r="B99" s="91"/>
      <c r="C99" s="91"/>
      <c r="D99" s="91"/>
      <c r="E99" s="91"/>
      <c r="F99" s="92"/>
      <c r="G99" s="91"/>
      <c r="H99" s="91"/>
      <c r="I99" s="91"/>
      <c r="J99" s="91"/>
      <c r="K99" s="91"/>
      <c r="L99" s="3"/>
    </row>
    <row r="100" ht="14.25" customHeight="1">
      <c r="A100" s="91"/>
      <c r="B100" s="91"/>
      <c r="C100" s="91"/>
      <c r="D100" s="91"/>
      <c r="E100" s="91"/>
      <c r="F100" s="92"/>
      <c r="G100" s="91"/>
      <c r="H100" s="91"/>
      <c r="I100" s="91"/>
      <c r="J100" s="91"/>
      <c r="K100" s="91"/>
      <c r="L100" s="3"/>
    </row>
    <row r="101" ht="14.25" customHeight="1">
      <c r="A101" s="91"/>
      <c r="B101" s="91"/>
      <c r="C101" s="91"/>
      <c r="D101" s="91"/>
      <c r="E101" s="91"/>
      <c r="F101" s="92"/>
      <c r="G101" s="91"/>
      <c r="H101" s="91"/>
      <c r="I101" s="91"/>
      <c r="J101" s="91"/>
      <c r="K101" s="91"/>
      <c r="L101" s="3"/>
    </row>
    <row r="102" ht="14.25" customHeight="1">
      <c r="A102" s="91"/>
      <c r="B102" s="91"/>
      <c r="C102" s="91"/>
      <c r="D102" s="91"/>
      <c r="E102" s="91"/>
      <c r="F102" s="92"/>
      <c r="G102" s="91"/>
      <c r="H102" s="91"/>
      <c r="I102" s="91"/>
      <c r="J102" s="91"/>
      <c r="K102" s="91"/>
      <c r="L102" s="3"/>
    </row>
    <row r="103" ht="14.25" customHeight="1">
      <c r="A103" s="91"/>
      <c r="B103" s="91"/>
      <c r="C103" s="91"/>
      <c r="D103" s="91"/>
      <c r="E103" s="91"/>
      <c r="F103" s="92"/>
      <c r="G103" s="91"/>
      <c r="H103" s="91"/>
      <c r="I103" s="91"/>
      <c r="J103" s="91"/>
      <c r="K103" s="91"/>
      <c r="L103" s="3"/>
    </row>
    <row r="104" ht="14.25" customHeight="1">
      <c r="A104" s="91"/>
      <c r="B104" s="91"/>
      <c r="C104" s="91"/>
      <c r="D104" s="91"/>
      <c r="E104" s="91"/>
      <c r="F104" s="92"/>
      <c r="G104" s="91"/>
      <c r="H104" s="91"/>
      <c r="I104" s="91"/>
      <c r="J104" s="91"/>
      <c r="K104" s="91"/>
      <c r="L104" s="3"/>
    </row>
    <row r="105" ht="14.25" customHeight="1">
      <c r="A105" s="91"/>
      <c r="B105" s="91"/>
      <c r="C105" s="91"/>
      <c r="D105" s="91"/>
      <c r="E105" s="91"/>
      <c r="F105" s="92"/>
      <c r="G105" s="91"/>
      <c r="H105" s="91"/>
      <c r="I105" s="91"/>
      <c r="J105" s="91"/>
      <c r="K105" s="91"/>
      <c r="L105" s="3"/>
    </row>
    <row r="106" ht="14.25" customHeight="1">
      <c r="A106" s="91"/>
      <c r="B106" s="91"/>
      <c r="C106" s="91"/>
      <c r="D106" s="91"/>
      <c r="E106" s="91"/>
      <c r="F106" s="92"/>
      <c r="G106" s="91"/>
      <c r="H106" s="91"/>
      <c r="I106" s="91"/>
      <c r="J106" s="91"/>
      <c r="K106" s="91"/>
      <c r="L106" s="3"/>
    </row>
    <row r="107" ht="14.25" customHeight="1">
      <c r="A107" s="91"/>
      <c r="B107" s="91"/>
      <c r="C107" s="91"/>
      <c r="D107" s="91"/>
      <c r="E107" s="91"/>
      <c r="F107" s="92"/>
      <c r="G107" s="91"/>
      <c r="H107" s="91"/>
      <c r="I107" s="91"/>
      <c r="J107" s="91"/>
      <c r="K107" s="91"/>
      <c r="L107" s="3"/>
    </row>
    <row r="108" ht="14.25" customHeight="1">
      <c r="A108" s="91"/>
      <c r="B108" s="91"/>
      <c r="C108" s="91"/>
      <c r="D108" s="91"/>
      <c r="E108" s="91"/>
      <c r="F108" s="92"/>
      <c r="G108" s="91"/>
      <c r="H108" s="91"/>
      <c r="I108" s="91"/>
      <c r="J108" s="91"/>
      <c r="K108" s="91"/>
      <c r="L108" s="3"/>
    </row>
    <row r="109" ht="14.25" customHeight="1">
      <c r="A109" s="91"/>
      <c r="B109" s="91"/>
      <c r="C109" s="91"/>
      <c r="D109" s="91"/>
      <c r="E109" s="91"/>
      <c r="F109" s="92"/>
      <c r="G109" s="91"/>
      <c r="H109" s="91"/>
      <c r="I109" s="91"/>
      <c r="J109" s="91"/>
      <c r="K109" s="91"/>
      <c r="L109" s="3"/>
    </row>
    <row r="110" ht="14.25" customHeight="1">
      <c r="A110" s="91"/>
      <c r="B110" s="91"/>
      <c r="C110" s="91"/>
      <c r="D110" s="91"/>
      <c r="E110" s="91"/>
      <c r="F110" s="92"/>
      <c r="G110" s="91"/>
      <c r="H110" s="91"/>
      <c r="I110" s="91"/>
      <c r="J110" s="91"/>
      <c r="K110" s="91"/>
      <c r="L110" s="3"/>
    </row>
    <row r="111" ht="14.25" customHeight="1">
      <c r="A111" s="91"/>
      <c r="B111" s="91"/>
      <c r="C111" s="91"/>
      <c r="D111" s="91"/>
      <c r="E111" s="91"/>
      <c r="F111" s="92"/>
      <c r="G111" s="91"/>
      <c r="H111" s="91"/>
      <c r="I111" s="91"/>
      <c r="J111" s="91"/>
      <c r="K111" s="91"/>
      <c r="L111" s="3"/>
    </row>
    <row r="112" ht="14.25" customHeight="1">
      <c r="A112" s="91"/>
      <c r="B112" s="91"/>
      <c r="C112" s="91"/>
      <c r="D112" s="91"/>
      <c r="E112" s="91"/>
      <c r="F112" s="92"/>
      <c r="G112" s="91"/>
      <c r="H112" s="91"/>
      <c r="I112" s="91"/>
      <c r="J112" s="91"/>
      <c r="K112" s="91"/>
      <c r="L112" s="3"/>
    </row>
    <row r="113" ht="14.25" customHeight="1">
      <c r="A113" s="91"/>
      <c r="B113" s="91"/>
      <c r="C113" s="91"/>
      <c r="D113" s="91"/>
      <c r="E113" s="91"/>
      <c r="F113" s="92"/>
      <c r="G113" s="91"/>
      <c r="H113" s="91"/>
      <c r="I113" s="91"/>
      <c r="J113" s="91"/>
      <c r="K113" s="91"/>
      <c r="L113" s="3"/>
    </row>
    <row r="114" ht="14.25" customHeight="1">
      <c r="A114" s="91"/>
      <c r="B114" s="91"/>
      <c r="C114" s="91"/>
      <c r="D114" s="91"/>
      <c r="E114" s="91"/>
      <c r="F114" s="92"/>
      <c r="G114" s="91"/>
      <c r="H114" s="91"/>
      <c r="I114" s="91"/>
      <c r="J114" s="91"/>
      <c r="K114" s="91"/>
      <c r="L114" s="3"/>
    </row>
    <row r="115" ht="14.25" customHeight="1">
      <c r="A115" s="91"/>
      <c r="B115" s="91"/>
      <c r="C115" s="91"/>
      <c r="D115" s="91"/>
      <c r="E115" s="91"/>
      <c r="F115" s="92"/>
      <c r="G115" s="91"/>
      <c r="H115" s="91"/>
      <c r="I115" s="91"/>
      <c r="J115" s="91"/>
      <c r="K115" s="91"/>
      <c r="L115" s="3"/>
    </row>
    <row r="116" ht="14.25" customHeight="1">
      <c r="A116" s="91"/>
      <c r="B116" s="91"/>
      <c r="C116" s="91"/>
      <c r="D116" s="91"/>
      <c r="E116" s="91"/>
      <c r="F116" s="92"/>
      <c r="G116" s="91"/>
      <c r="H116" s="91"/>
      <c r="I116" s="91"/>
      <c r="J116" s="91"/>
      <c r="K116" s="91"/>
      <c r="L116" s="3"/>
    </row>
    <row r="117" ht="14.25" customHeight="1">
      <c r="A117" s="91"/>
      <c r="B117" s="91"/>
      <c r="C117" s="91"/>
      <c r="D117" s="91"/>
      <c r="E117" s="91"/>
      <c r="F117" s="92"/>
      <c r="G117" s="91"/>
      <c r="H117" s="91"/>
      <c r="I117" s="91"/>
      <c r="J117" s="91"/>
      <c r="K117" s="91"/>
      <c r="L117" s="3"/>
    </row>
    <row r="118" ht="14.25" customHeight="1">
      <c r="A118" s="91"/>
      <c r="B118" s="91"/>
      <c r="C118" s="91"/>
      <c r="D118" s="91"/>
      <c r="E118" s="91"/>
      <c r="F118" s="92"/>
      <c r="G118" s="91"/>
      <c r="H118" s="91"/>
      <c r="I118" s="91"/>
      <c r="J118" s="91"/>
      <c r="K118" s="91"/>
      <c r="L118" s="3"/>
    </row>
    <row r="119" ht="14.25" customHeight="1">
      <c r="A119" s="91"/>
      <c r="B119" s="91"/>
      <c r="C119" s="91"/>
      <c r="D119" s="91"/>
      <c r="E119" s="91"/>
      <c r="F119" s="92"/>
      <c r="G119" s="91"/>
      <c r="H119" s="91"/>
      <c r="I119" s="91"/>
      <c r="J119" s="91"/>
      <c r="K119" s="91"/>
      <c r="L119" s="3"/>
    </row>
    <row r="120" ht="14.25" customHeight="1">
      <c r="A120" s="91"/>
      <c r="B120" s="91"/>
      <c r="C120" s="91"/>
      <c r="D120" s="91"/>
      <c r="E120" s="91"/>
      <c r="F120" s="92"/>
      <c r="G120" s="91"/>
      <c r="H120" s="91"/>
      <c r="I120" s="91"/>
      <c r="J120" s="91"/>
      <c r="K120" s="91"/>
      <c r="L120" s="3"/>
    </row>
    <row r="121" ht="14.25" customHeight="1">
      <c r="A121" s="91"/>
      <c r="B121" s="91"/>
      <c r="C121" s="91"/>
      <c r="D121" s="91"/>
      <c r="E121" s="91"/>
      <c r="F121" s="92"/>
      <c r="G121" s="91"/>
      <c r="H121" s="91"/>
      <c r="I121" s="91"/>
      <c r="J121" s="91"/>
      <c r="K121" s="91"/>
      <c r="L121" s="3"/>
    </row>
    <row r="122" ht="14.25" customHeight="1">
      <c r="A122" s="91"/>
      <c r="B122" s="91"/>
      <c r="C122" s="91"/>
      <c r="D122" s="91"/>
      <c r="E122" s="91"/>
      <c r="F122" s="92"/>
      <c r="G122" s="91"/>
      <c r="H122" s="91"/>
      <c r="I122" s="91"/>
      <c r="J122" s="91"/>
      <c r="K122" s="91"/>
      <c r="L122" s="3"/>
    </row>
    <row r="123" ht="14.25" customHeight="1">
      <c r="A123" s="91"/>
      <c r="B123" s="91"/>
      <c r="C123" s="91"/>
      <c r="D123" s="91"/>
      <c r="E123" s="91"/>
      <c r="F123" s="92"/>
      <c r="G123" s="91"/>
      <c r="H123" s="91"/>
      <c r="I123" s="91"/>
      <c r="J123" s="91"/>
      <c r="K123" s="91"/>
      <c r="L123" s="3"/>
    </row>
    <row r="124" ht="14.25" customHeight="1">
      <c r="A124" s="91"/>
      <c r="B124" s="91"/>
      <c r="C124" s="91"/>
      <c r="D124" s="91"/>
      <c r="E124" s="91"/>
      <c r="F124" s="92"/>
      <c r="G124" s="91"/>
      <c r="H124" s="91"/>
      <c r="I124" s="91"/>
      <c r="J124" s="91"/>
      <c r="K124" s="91"/>
      <c r="L124" s="3"/>
    </row>
    <row r="125" ht="14.25" customHeight="1">
      <c r="A125" s="91"/>
      <c r="B125" s="91"/>
      <c r="C125" s="91"/>
      <c r="D125" s="91"/>
      <c r="E125" s="91"/>
      <c r="F125" s="92"/>
      <c r="G125" s="91"/>
      <c r="H125" s="91"/>
      <c r="I125" s="91"/>
      <c r="J125" s="91"/>
      <c r="K125" s="91"/>
      <c r="L125" s="3"/>
    </row>
    <row r="126" ht="14.25" customHeight="1">
      <c r="A126" s="91"/>
      <c r="B126" s="91"/>
      <c r="C126" s="91"/>
      <c r="D126" s="91"/>
      <c r="E126" s="91"/>
      <c r="F126" s="92"/>
      <c r="G126" s="91"/>
      <c r="H126" s="91"/>
      <c r="I126" s="91"/>
      <c r="J126" s="91"/>
      <c r="K126" s="91"/>
      <c r="L126" s="3"/>
    </row>
    <row r="127" ht="14.25" customHeight="1">
      <c r="A127" s="91"/>
      <c r="B127" s="91"/>
      <c r="C127" s="91"/>
      <c r="D127" s="91"/>
      <c r="E127" s="91"/>
      <c r="F127" s="92"/>
      <c r="G127" s="91"/>
      <c r="H127" s="91"/>
      <c r="I127" s="91"/>
      <c r="J127" s="91"/>
      <c r="K127" s="91"/>
      <c r="L127" s="3"/>
    </row>
    <row r="128" ht="14.25" customHeight="1">
      <c r="A128" s="91"/>
      <c r="B128" s="91"/>
      <c r="C128" s="91"/>
      <c r="D128" s="91"/>
      <c r="E128" s="91"/>
      <c r="F128" s="92"/>
      <c r="G128" s="91"/>
      <c r="H128" s="91"/>
      <c r="I128" s="91"/>
      <c r="J128" s="91"/>
      <c r="K128" s="91"/>
      <c r="L128" s="3"/>
    </row>
    <row r="129" ht="14.25" customHeight="1">
      <c r="A129" s="91"/>
      <c r="B129" s="91"/>
      <c r="C129" s="91"/>
      <c r="D129" s="91"/>
      <c r="E129" s="91"/>
      <c r="F129" s="92"/>
      <c r="G129" s="91"/>
      <c r="H129" s="91"/>
      <c r="I129" s="91"/>
      <c r="J129" s="91"/>
      <c r="K129" s="91"/>
      <c r="L129" s="3"/>
    </row>
    <row r="130" ht="14.25" customHeight="1">
      <c r="A130" s="91"/>
      <c r="B130" s="91"/>
      <c r="C130" s="91"/>
      <c r="D130" s="91"/>
      <c r="E130" s="91"/>
      <c r="F130" s="92"/>
      <c r="G130" s="91"/>
      <c r="H130" s="91"/>
      <c r="I130" s="91"/>
      <c r="J130" s="91"/>
      <c r="K130" s="91"/>
      <c r="L130" s="3"/>
    </row>
    <row r="131" ht="14.25" customHeight="1">
      <c r="A131" s="91"/>
      <c r="B131" s="91"/>
      <c r="C131" s="91"/>
      <c r="D131" s="91"/>
      <c r="E131" s="91"/>
      <c r="F131" s="92"/>
      <c r="G131" s="91"/>
      <c r="H131" s="91"/>
      <c r="I131" s="91"/>
      <c r="J131" s="91"/>
      <c r="K131" s="91"/>
      <c r="L131" s="3"/>
    </row>
    <row r="132" ht="14.25" customHeight="1">
      <c r="A132" s="91"/>
      <c r="B132" s="91"/>
      <c r="C132" s="91"/>
      <c r="D132" s="91"/>
      <c r="E132" s="91"/>
      <c r="F132" s="92"/>
      <c r="G132" s="91"/>
      <c r="H132" s="91"/>
      <c r="I132" s="91"/>
      <c r="J132" s="91"/>
      <c r="K132" s="91"/>
      <c r="L132" s="3"/>
    </row>
    <row r="133" ht="14.25" customHeight="1">
      <c r="A133" s="91"/>
      <c r="B133" s="91"/>
      <c r="C133" s="91"/>
      <c r="D133" s="91"/>
      <c r="E133" s="91"/>
      <c r="F133" s="92"/>
      <c r="G133" s="91"/>
      <c r="H133" s="91"/>
      <c r="I133" s="91"/>
      <c r="J133" s="91"/>
      <c r="K133" s="91"/>
      <c r="L133" s="3"/>
    </row>
    <row r="134" ht="14.25" customHeight="1">
      <c r="A134" s="91"/>
      <c r="B134" s="91"/>
      <c r="C134" s="91"/>
      <c r="D134" s="91"/>
      <c r="E134" s="91"/>
      <c r="F134" s="92"/>
      <c r="G134" s="91"/>
      <c r="H134" s="91"/>
      <c r="I134" s="91"/>
      <c r="J134" s="91"/>
      <c r="K134" s="91"/>
      <c r="L134" s="3"/>
    </row>
    <row r="135" ht="14.25" customHeight="1">
      <c r="A135" s="91"/>
      <c r="B135" s="91"/>
      <c r="C135" s="91"/>
      <c r="D135" s="91"/>
      <c r="E135" s="91"/>
      <c r="F135" s="92"/>
      <c r="G135" s="91"/>
      <c r="H135" s="91"/>
      <c r="I135" s="91"/>
      <c r="J135" s="91"/>
      <c r="K135" s="91"/>
      <c r="L135" s="3"/>
    </row>
    <row r="136" ht="14.25" customHeight="1">
      <c r="A136" s="91"/>
      <c r="B136" s="91"/>
      <c r="C136" s="91"/>
      <c r="D136" s="91"/>
      <c r="E136" s="91"/>
      <c r="F136" s="92"/>
      <c r="G136" s="91"/>
      <c r="H136" s="91"/>
      <c r="I136" s="91"/>
      <c r="J136" s="91"/>
      <c r="K136" s="91"/>
      <c r="L136" s="3"/>
    </row>
    <row r="137" ht="14.25" customHeight="1">
      <c r="A137" s="91"/>
      <c r="B137" s="91"/>
      <c r="C137" s="91"/>
      <c r="D137" s="91"/>
      <c r="E137" s="91"/>
      <c r="F137" s="92"/>
      <c r="G137" s="91"/>
      <c r="H137" s="91"/>
      <c r="I137" s="91"/>
      <c r="J137" s="91"/>
      <c r="K137" s="91"/>
      <c r="L137" s="3"/>
    </row>
    <row r="138" ht="14.25" customHeight="1">
      <c r="A138" s="91"/>
      <c r="B138" s="91"/>
      <c r="C138" s="91"/>
      <c r="D138" s="91"/>
      <c r="E138" s="91"/>
      <c r="F138" s="92"/>
      <c r="G138" s="91"/>
      <c r="H138" s="91"/>
      <c r="I138" s="91"/>
      <c r="J138" s="91"/>
      <c r="K138" s="91"/>
      <c r="L138" s="3"/>
    </row>
    <row r="139" ht="14.25" customHeight="1">
      <c r="A139" s="91"/>
      <c r="B139" s="91"/>
      <c r="C139" s="91"/>
      <c r="D139" s="91"/>
      <c r="E139" s="91"/>
      <c r="F139" s="92"/>
      <c r="G139" s="91"/>
      <c r="H139" s="91"/>
      <c r="I139" s="91"/>
      <c r="J139" s="91"/>
      <c r="K139" s="91"/>
      <c r="L139" s="3"/>
    </row>
    <row r="140" ht="14.25" customHeight="1">
      <c r="A140" s="91"/>
      <c r="B140" s="91"/>
      <c r="C140" s="91"/>
      <c r="D140" s="91"/>
      <c r="E140" s="91"/>
      <c r="F140" s="92"/>
      <c r="G140" s="91"/>
      <c r="H140" s="91"/>
      <c r="I140" s="91"/>
      <c r="J140" s="91"/>
      <c r="K140" s="91"/>
      <c r="L140" s="3"/>
    </row>
    <row r="141" ht="14.25" customHeight="1">
      <c r="A141" s="91"/>
      <c r="B141" s="91"/>
      <c r="C141" s="91"/>
      <c r="D141" s="91"/>
      <c r="E141" s="91"/>
      <c r="F141" s="92"/>
      <c r="G141" s="91"/>
      <c r="H141" s="91"/>
      <c r="I141" s="91"/>
      <c r="J141" s="91"/>
      <c r="K141" s="91"/>
      <c r="L141" s="3"/>
    </row>
    <row r="142" ht="14.25" customHeight="1">
      <c r="A142" s="91"/>
      <c r="B142" s="91"/>
      <c r="C142" s="91"/>
      <c r="D142" s="91"/>
      <c r="E142" s="91"/>
      <c r="F142" s="92"/>
      <c r="G142" s="91"/>
      <c r="H142" s="91"/>
      <c r="I142" s="91"/>
      <c r="J142" s="91"/>
      <c r="K142" s="91"/>
      <c r="L142" s="3"/>
    </row>
    <row r="143" ht="14.25" customHeight="1">
      <c r="A143" s="91"/>
      <c r="B143" s="91"/>
      <c r="C143" s="91"/>
      <c r="D143" s="91"/>
      <c r="E143" s="91"/>
      <c r="F143" s="92"/>
      <c r="G143" s="91"/>
      <c r="H143" s="91"/>
      <c r="I143" s="91"/>
      <c r="J143" s="91"/>
      <c r="K143" s="91"/>
      <c r="L143" s="3"/>
    </row>
    <row r="144" ht="14.25" customHeight="1">
      <c r="A144" s="91"/>
      <c r="B144" s="91"/>
      <c r="C144" s="91"/>
      <c r="D144" s="91"/>
      <c r="E144" s="91"/>
      <c r="F144" s="92"/>
      <c r="G144" s="91"/>
      <c r="H144" s="91"/>
      <c r="I144" s="91"/>
      <c r="J144" s="91"/>
      <c r="K144" s="91"/>
      <c r="L144" s="3"/>
    </row>
    <row r="145" ht="14.25" customHeight="1">
      <c r="A145" s="91"/>
      <c r="B145" s="91"/>
      <c r="C145" s="91"/>
      <c r="D145" s="91"/>
      <c r="E145" s="91"/>
      <c r="F145" s="92"/>
      <c r="G145" s="91"/>
      <c r="H145" s="91"/>
      <c r="I145" s="91"/>
      <c r="J145" s="91"/>
      <c r="K145" s="91"/>
      <c r="L145" s="3"/>
    </row>
    <row r="146" ht="14.25" customHeight="1">
      <c r="A146" s="91"/>
      <c r="B146" s="91"/>
      <c r="C146" s="91"/>
      <c r="D146" s="91"/>
      <c r="E146" s="91"/>
      <c r="F146" s="92"/>
      <c r="G146" s="91"/>
      <c r="H146" s="91"/>
      <c r="I146" s="91"/>
      <c r="J146" s="91"/>
      <c r="K146" s="91"/>
      <c r="L146" s="3"/>
    </row>
    <row r="147" ht="14.25" customHeight="1">
      <c r="A147" s="91"/>
      <c r="B147" s="91"/>
      <c r="C147" s="91"/>
      <c r="D147" s="91"/>
      <c r="E147" s="91"/>
      <c r="F147" s="92"/>
      <c r="G147" s="91"/>
      <c r="H147" s="91"/>
      <c r="I147" s="91"/>
      <c r="J147" s="91"/>
      <c r="K147" s="91"/>
      <c r="L147" s="3"/>
    </row>
    <row r="148" ht="14.25" customHeight="1">
      <c r="A148" s="91"/>
      <c r="B148" s="91"/>
      <c r="C148" s="91"/>
      <c r="D148" s="91"/>
      <c r="E148" s="91"/>
      <c r="F148" s="92"/>
      <c r="G148" s="91"/>
      <c r="H148" s="91"/>
      <c r="I148" s="91"/>
      <c r="J148" s="91"/>
      <c r="K148" s="91"/>
      <c r="L148" s="3"/>
    </row>
    <row r="149" ht="14.25" customHeight="1">
      <c r="A149" s="91"/>
      <c r="B149" s="91"/>
      <c r="C149" s="91"/>
      <c r="D149" s="91"/>
      <c r="E149" s="91"/>
      <c r="F149" s="92"/>
      <c r="G149" s="91"/>
      <c r="H149" s="91"/>
      <c r="I149" s="91"/>
      <c r="J149" s="91"/>
      <c r="K149" s="91"/>
      <c r="L149" s="3"/>
    </row>
    <row r="150" ht="14.25" customHeight="1">
      <c r="A150" s="91"/>
      <c r="B150" s="91"/>
      <c r="C150" s="91"/>
      <c r="D150" s="91"/>
      <c r="E150" s="91"/>
      <c r="F150" s="92"/>
      <c r="G150" s="91"/>
      <c r="H150" s="91"/>
      <c r="I150" s="91"/>
      <c r="J150" s="91"/>
      <c r="K150" s="91"/>
      <c r="L150" s="3"/>
    </row>
    <row r="151" ht="14.25" customHeight="1">
      <c r="A151" s="91"/>
      <c r="B151" s="91"/>
      <c r="C151" s="91"/>
      <c r="D151" s="91"/>
      <c r="E151" s="91"/>
      <c r="F151" s="92"/>
      <c r="G151" s="91"/>
      <c r="H151" s="91"/>
      <c r="I151" s="91"/>
      <c r="J151" s="91"/>
      <c r="K151" s="91"/>
      <c r="L151" s="3"/>
    </row>
    <row r="152" ht="14.25" customHeight="1">
      <c r="A152" s="91"/>
      <c r="B152" s="91"/>
      <c r="C152" s="91"/>
      <c r="D152" s="91"/>
      <c r="E152" s="91"/>
      <c r="F152" s="92"/>
      <c r="G152" s="91"/>
      <c r="H152" s="91"/>
      <c r="I152" s="91"/>
      <c r="J152" s="91"/>
      <c r="K152" s="91"/>
      <c r="L152" s="3"/>
    </row>
    <row r="153" ht="14.25" customHeight="1">
      <c r="A153" s="91"/>
      <c r="B153" s="91"/>
      <c r="C153" s="91"/>
      <c r="D153" s="91"/>
      <c r="E153" s="91"/>
      <c r="F153" s="92"/>
      <c r="G153" s="91"/>
      <c r="H153" s="91"/>
      <c r="I153" s="91"/>
      <c r="J153" s="91"/>
      <c r="K153" s="91"/>
      <c r="L153" s="3"/>
    </row>
    <row r="154" ht="14.25" customHeight="1">
      <c r="A154" s="91"/>
      <c r="B154" s="91"/>
      <c r="C154" s="91"/>
      <c r="D154" s="91"/>
      <c r="E154" s="91"/>
      <c r="F154" s="92"/>
      <c r="G154" s="91"/>
      <c r="H154" s="91"/>
      <c r="I154" s="91"/>
      <c r="J154" s="91"/>
      <c r="K154" s="91"/>
      <c r="L154" s="3"/>
    </row>
    <row r="155" ht="14.25" customHeight="1">
      <c r="A155" s="91"/>
      <c r="B155" s="91"/>
      <c r="C155" s="91"/>
      <c r="D155" s="91"/>
      <c r="E155" s="91"/>
      <c r="F155" s="92"/>
      <c r="G155" s="91"/>
      <c r="H155" s="91"/>
      <c r="I155" s="91"/>
      <c r="J155" s="91"/>
      <c r="K155" s="91"/>
      <c r="L155" s="3"/>
    </row>
    <row r="156" ht="14.25" customHeight="1">
      <c r="A156" s="91"/>
      <c r="B156" s="91"/>
      <c r="C156" s="91"/>
      <c r="D156" s="91"/>
      <c r="E156" s="91"/>
      <c r="F156" s="92"/>
      <c r="G156" s="91"/>
      <c r="H156" s="91"/>
      <c r="I156" s="91"/>
      <c r="J156" s="91"/>
      <c r="K156" s="91"/>
      <c r="L156" s="3"/>
    </row>
    <row r="157" ht="14.25" customHeight="1">
      <c r="A157" s="91"/>
      <c r="B157" s="91"/>
      <c r="C157" s="91"/>
      <c r="D157" s="91"/>
      <c r="E157" s="91"/>
      <c r="F157" s="92"/>
      <c r="G157" s="91"/>
      <c r="H157" s="91"/>
      <c r="I157" s="91"/>
      <c r="J157" s="91"/>
      <c r="K157" s="91"/>
      <c r="L157" s="3"/>
    </row>
    <row r="158" ht="14.25" customHeight="1">
      <c r="A158" s="91"/>
      <c r="B158" s="91"/>
      <c r="C158" s="91"/>
      <c r="D158" s="91"/>
      <c r="E158" s="91"/>
      <c r="F158" s="92"/>
      <c r="G158" s="91"/>
      <c r="H158" s="91"/>
      <c r="I158" s="91"/>
      <c r="J158" s="91"/>
      <c r="K158" s="91"/>
      <c r="L158" s="3"/>
    </row>
    <row r="159" ht="14.25" customHeight="1">
      <c r="A159" s="91"/>
      <c r="B159" s="91"/>
      <c r="C159" s="91"/>
      <c r="D159" s="91"/>
      <c r="E159" s="91"/>
      <c r="F159" s="92"/>
      <c r="G159" s="91"/>
      <c r="H159" s="91"/>
      <c r="I159" s="91"/>
      <c r="J159" s="91"/>
      <c r="K159" s="91"/>
      <c r="L159" s="3"/>
    </row>
    <row r="160" ht="14.25" customHeight="1">
      <c r="A160" s="91"/>
      <c r="B160" s="91"/>
      <c r="C160" s="91"/>
      <c r="D160" s="91"/>
      <c r="E160" s="91"/>
      <c r="F160" s="92"/>
      <c r="G160" s="91"/>
      <c r="H160" s="91"/>
      <c r="I160" s="91"/>
      <c r="J160" s="91"/>
      <c r="K160" s="91"/>
      <c r="L160" s="3"/>
    </row>
    <row r="161" ht="14.25" customHeight="1">
      <c r="A161" s="91"/>
      <c r="B161" s="91"/>
      <c r="C161" s="91"/>
      <c r="D161" s="91"/>
      <c r="E161" s="91"/>
      <c r="F161" s="92"/>
      <c r="G161" s="91"/>
      <c r="H161" s="91"/>
      <c r="I161" s="91"/>
      <c r="J161" s="91"/>
      <c r="K161" s="91"/>
      <c r="L161" s="3"/>
    </row>
    <row r="162" ht="14.25" customHeight="1">
      <c r="A162" s="91"/>
      <c r="B162" s="91"/>
      <c r="C162" s="91"/>
      <c r="D162" s="91"/>
      <c r="E162" s="91"/>
      <c r="F162" s="92"/>
      <c r="G162" s="91"/>
      <c r="H162" s="91"/>
      <c r="I162" s="91"/>
      <c r="J162" s="91"/>
      <c r="K162" s="91"/>
      <c r="L162" s="3"/>
    </row>
    <row r="163" ht="14.25" customHeight="1">
      <c r="A163" s="91"/>
      <c r="B163" s="91"/>
      <c r="C163" s="91"/>
      <c r="D163" s="91"/>
      <c r="E163" s="91"/>
      <c r="F163" s="92"/>
      <c r="G163" s="91"/>
      <c r="H163" s="91"/>
      <c r="I163" s="91"/>
      <c r="J163" s="91"/>
      <c r="K163" s="91"/>
      <c r="L163" s="3"/>
    </row>
    <row r="164" ht="14.25" customHeight="1">
      <c r="A164" s="91"/>
      <c r="B164" s="91"/>
      <c r="C164" s="91"/>
      <c r="D164" s="91"/>
      <c r="E164" s="91"/>
      <c r="F164" s="92"/>
      <c r="G164" s="91"/>
      <c r="H164" s="91"/>
      <c r="I164" s="91"/>
      <c r="J164" s="91"/>
      <c r="K164" s="91"/>
      <c r="L164" s="3"/>
    </row>
    <row r="165" ht="14.25" customHeight="1">
      <c r="A165" s="91"/>
      <c r="B165" s="91"/>
      <c r="C165" s="91"/>
      <c r="D165" s="91"/>
      <c r="E165" s="91"/>
      <c r="F165" s="92"/>
      <c r="G165" s="91"/>
      <c r="H165" s="91"/>
      <c r="I165" s="91"/>
      <c r="J165" s="91"/>
      <c r="K165" s="91"/>
      <c r="L165" s="3"/>
    </row>
    <row r="166" ht="14.25" customHeight="1">
      <c r="A166" s="91"/>
      <c r="B166" s="91"/>
      <c r="C166" s="91"/>
      <c r="D166" s="91"/>
      <c r="E166" s="91"/>
      <c r="F166" s="92"/>
      <c r="G166" s="91"/>
      <c r="H166" s="91"/>
      <c r="I166" s="91"/>
      <c r="J166" s="91"/>
      <c r="K166" s="91"/>
      <c r="L166" s="3"/>
    </row>
    <row r="167" ht="14.25" customHeight="1">
      <c r="A167" s="91"/>
      <c r="B167" s="91"/>
      <c r="C167" s="91"/>
      <c r="D167" s="91"/>
      <c r="E167" s="91"/>
      <c r="F167" s="92"/>
      <c r="G167" s="91"/>
      <c r="H167" s="91"/>
      <c r="I167" s="91"/>
      <c r="J167" s="91"/>
      <c r="K167" s="91"/>
      <c r="L167" s="3"/>
    </row>
    <row r="168" ht="14.25" customHeight="1">
      <c r="A168" s="91"/>
      <c r="B168" s="91"/>
      <c r="C168" s="91"/>
      <c r="D168" s="91"/>
      <c r="E168" s="91"/>
      <c r="F168" s="92"/>
      <c r="G168" s="91"/>
      <c r="H168" s="91"/>
      <c r="I168" s="91"/>
      <c r="J168" s="91"/>
      <c r="K168" s="91"/>
      <c r="L168" s="3"/>
    </row>
    <row r="169" ht="14.25" customHeight="1">
      <c r="A169" s="91"/>
      <c r="B169" s="91"/>
      <c r="C169" s="91"/>
      <c r="D169" s="91"/>
      <c r="E169" s="91"/>
      <c r="F169" s="92"/>
      <c r="G169" s="91"/>
      <c r="H169" s="91"/>
      <c r="I169" s="91"/>
      <c r="J169" s="91"/>
      <c r="K169" s="91"/>
      <c r="L169" s="3"/>
    </row>
    <row r="170" ht="14.25" customHeight="1">
      <c r="A170" s="91"/>
      <c r="B170" s="91"/>
      <c r="C170" s="91"/>
      <c r="D170" s="91"/>
      <c r="E170" s="91"/>
      <c r="F170" s="92"/>
      <c r="G170" s="91"/>
      <c r="H170" s="91"/>
      <c r="I170" s="91"/>
      <c r="J170" s="91"/>
      <c r="K170" s="91"/>
      <c r="L170" s="3"/>
    </row>
    <row r="171" ht="14.25" customHeight="1">
      <c r="A171" s="91"/>
      <c r="B171" s="91"/>
      <c r="C171" s="91"/>
      <c r="D171" s="91"/>
      <c r="E171" s="91"/>
      <c r="F171" s="92"/>
      <c r="G171" s="91"/>
      <c r="H171" s="91"/>
      <c r="I171" s="91"/>
      <c r="J171" s="91"/>
      <c r="K171" s="91"/>
      <c r="L171" s="3"/>
    </row>
    <row r="172" ht="14.25" customHeight="1">
      <c r="A172" s="91"/>
      <c r="B172" s="91"/>
      <c r="C172" s="91"/>
      <c r="D172" s="91"/>
      <c r="E172" s="91"/>
      <c r="F172" s="92"/>
      <c r="G172" s="91"/>
      <c r="H172" s="91"/>
      <c r="I172" s="91"/>
      <c r="J172" s="91"/>
      <c r="K172" s="91"/>
      <c r="L172" s="3"/>
    </row>
    <row r="173" ht="14.25" customHeight="1">
      <c r="A173" s="91"/>
      <c r="B173" s="91"/>
      <c r="C173" s="91"/>
      <c r="D173" s="91"/>
      <c r="E173" s="91"/>
      <c r="F173" s="92"/>
      <c r="G173" s="91"/>
      <c r="H173" s="91"/>
      <c r="I173" s="91"/>
      <c r="J173" s="91"/>
      <c r="K173" s="91"/>
      <c r="L173" s="3"/>
    </row>
    <row r="174" ht="14.25" customHeight="1">
      <c r="A174" s="91"/>
      <c r="B174" s="91"/>
      <c r="C174" s="91"/>
      <c r="D174" s="91"/>
      <c r="E174" s="91"/>
      <c r="F174" s="92"/>
      <c r="G174" s="91"/>
      <c r="H174" s="91"/>
      <c r="I174" s="91"/>
      <c r="J174" s="91"/>
      <c r="K174" s="91"/>
      <c r="L174" s="3"/>
    </row>
    <row r="175" ht="14.25" customHeight="1">
      <c r="A175" s="91"/>
      <c r="B175" s="91"/>
      <c r="C175" s="91"/>
      <c r="D175" s="91"/>
      <c r="E175" s="91"/>
      <c r="F175" s="92"/>
      <c r="G175" s="91"/>
      <c r="H175" s="91"/>
      <c r="I175" s="91"/>
      <c r="J175" s="91"/>
      <c r="K175" s="91"/>
      <c r="L175" s="3"/>
    </row>
    <row r="176" ht="14.25" customHeight="1">
      <c r="A176" s="91"/>
      <c r="B176" s="91"/>
      <c r="C176" s="91"/>
      <c r="D176" s="91"/>
      <c r="E176" s="91"/>
      <c r="F176" s="92"/>
      <c r="G176" s="91"/>
      <c r="H176" s="91"/>
      <c r="I176" s="91"/>
      <c r="J176" s="91"/>
      <c r="K176" s="91"/>
      <c r="L176" s="3"/>
    </row>
    <row r="177" ht="14.25" customHeight="1">
      <c r="A177" s="91"/>
      <c r="B177" s="91"/>
      <c r="C177" s="91"/>
      <c r="D177" s="91"/>
      <c r="E177" s="91"/>
      <c r="F177" s="92"/>
      <c r="G177" s="91"/>
      <c r="H177" s="91"/>
      <c r="I177" s="91"/>
      <c r="J177" s="91"/>
      <c r="K177" s="91"/>
      <c r="L177" s="3"/>
    </row>
    <row r="178" ht="14.25" customHeight="1">
      <c r="A178" s="91"/>
      <c r="B178" s="91"/>
      <c r="C178" s="91"/>
      <c r="D178" s="91"/>
      <c r="E178" s="91"/>
      <c r="F178" s="92"/>
      <c r="G178" s="91"/>
      <c r="H178" s="91"/>
      <c r="I178" s="91"/>
      <c r="J178" s="91"/>
      <c r="K178" s="91"/>
      <c r="L178" s="3"/>
    </row>
    <row r="179" ht="14.25" customHeight="1">
      <c r="A179" s="91"/>
      <c r="B179" s="91"/>
      <c r="C179" s="91"/>
      <c r="D179" s="91"/>
      <c r="E179" s="91"/>
      <c r="F179" s="92"/>
      <c r="G179" s="91"/>
      <c r="H179" s="91"/>
      <c r="I179" s="91"/>
      <c r="J179" s="91"/>
      <c r="K179" s="91"/>
      <c r="L179" s="3"/>
    </row>
    <row r="180" ht="14.25" customHeight="1">
      <c r="A180" s="91"/>
      <c r="B180" s="91"/>
      <c r="C180" s="91"/>
      <c r="D180" s="91"/>
      <c r="E180" s="91"/>
      <c r="F180" s="92"/>
      <c r="G180" s="91"/>
      <c r="H180" s="91"/>
      <c r="I180" s="91"/>
      <c r="J180" s="91"/>
      <c r="K180" s="91"/>
      <c r="L180" s="3"/>
    </row>
    <row r="181" ht="14.25" customHeight="1">
      <c r="A181" s="91"/>
      <c r="B181" s="91"/>
      <c r="C181" s="91"/>
      <c r="D181" s="91"/>
      <c r="E181" s="91"/>
      <c r="F181" s="92"/>
      <c r="G181" s="91"/>
      <c r="H181" s="91"/>
      <c r="I181" s="91"/>
      <c r="J181" s="91"/>
      <c r="K181" s="91"/>
      <c r="L181" s="3"/>
    </row>
    <row r="182" ht="14.25" customHeight="1">
      <c r="A182" s="91"/>
      <c r="B182" s="91"/>
      <c r="C182" s="91"/>
      <c r="D182" s="91"/>
      <c r="E182" s="91"/>
      <c r="F182" s="92"/>
      <c r="G182" s="91"/>
      <c r="H182" s="91"/>
      <c r="I182" s="91"/>
      <c r="J182" s="91"/>
      <c r="K182" s="91"/>
      <c r="L182" s="3"/>
    </row>
    <row r="183" ht="14.25" customHeight="1">
      <c r="A183" s="91"/>
      <c r="B183" s="91"/>
      <c r="C183" s="91"/>
      <c r="D183" s="91"/>
      <c r="E183" s="91"/>
      <c r="F183" s="92"/>
      <c r="G183" s="91"/>
      <c r="H183" s="91"/>
      <c r="I183" s="91"/>
      <c r="J183" s="91"/>
      <c r="K183" s="91"/>
      <c r="L183" s="3"/>
    </row>
    <row r="184" ht="14.25" customHeight="1">
      <c r="A184" s="91"/>
      <c r="B184" s="91"/>
      <c r="C184" s="91"/>
      <c r="D184" s="91"/>
      <c r="E184" s="91"/>
      <c r="F184" s="92"/>
      <c r="G184" s="91"/>
      <c r="H184" s="91"/>
      <c r="I184" s="91"/>
      <c r="J184" s="91"/>
      <c r="K184" s="91"/>
      <c r="L184" s="3"/>
    </row>
    <row r="185" ht="14.25" customHeight="1">
      <c r="A185" s="91"/>
      <c r="B185" s="91"/>
      <c r="C185" s="91"/>
      <c r="D185" s="91"/>
      <c r="E185" s="91"/>
      <c r="F185" s="92"/>
      <c r="G185" s="91"/>
      <c r="H185" s="91"/>
      <c r="I185" s="91"/>
      <c r="J185" s="91"/>
      <c r="K185" s="91"/>
      <c r="L185" s="3"/>
    </row>
    <row r="186" ht="14.25" customHeight="1">
      <c r="A186" s="91"/>
      <c r="B186" s="91"/>
      <c r="C186" s="91"/>
      <c r="D186" s="91"/>
      <c r="E186" s="91"/>
      <c r="F186" s="92"/>
      <c r="G186" s="91"/>
      <c r="H186" s="91"/>
      <c r="I186" s="91"/>
      <c r="J186" s="91"/>
      <c r="K186" s="91"/>
      <c r="L186" s="3"/>
    </row>
    <row r="187" ht="14.25" customHeight="1">
      <c r="A187" s="91"/>
      <c r="B187" s="91"/>
      <c r="C187" s="91"/>
      <c r="D187" s="91"/>
      <c r="E187" s="91"/>
      <c r="F187" s="92"/>
      <c r="G187" s="91"/>
      <c r="H187" s="91"/>
      <c r="I187" s="91"/>
      <c r="J187" s="91"/>
      <c r="K187" s="91"/>
      <c r="L187" s="3"/>
    </row>
    <row r="188" ht="14.25" customHeight="1">
      <c r="A188" s="91"/>
      <c r="B188" s="91"/>
      <c r="C188" s="91"/>
      <c r="D188" s="91"/>
      <c r="E188" s="91"/>
      <c r="F188" s="92"/>
      <c r="G188" s="91"/>
      <c r="H188" s="91"/>
      <c r="I188" s="91"/>
      <c r="J188" s="91"/>
      <c r="K188" s="91"/>
      <c r="L188" s="3"/>
    </row>
    <row r="189" ht="14.25" customHeight="1">
      <c r="A189" s="91"/>
      <c r="B189" s="91"/>
      <c r="C189" s="91"/>
      <c r="D189" s="91"/>
      <c r="E189" s="91"/>
      <c r="F189" s="92"/>
      <c r="G189" s="91"/>
      <c r="H189" s="91"/>
      <c r="I189" s="91"/>
      <c r="J189" s="91"/>
      <c r="K189" s="91"/>
      <c r="L189" s="3"/>
    </row>
    <row r="190" ht="14.25" customHeight="1">
      <c r="A190" s="91"/>
      <c r="B190" s="91"/>
      <c r="C190" s="91"/>
      <c r="D190" s="91"/>
      <c r="E190" s="91"/>
      <c r="F190" s="92"/>
      <c r="G190" s="91"/>
      <c r="H190" s="91"/>
      <c r="I190" s="91"/>
      <c r="J190" s="91"/>
      <c r="K190" s="91"/>
      <c r="L190" s="3"/>
    </row>
    <row r="191" ht="14.25" customHeight="1">
      <c r="A191" s="91"/>
      <c r="B191" s="91"/>
      <c r="C191" s="91"/>
      <c r="D191" s="91"/>
      <c r="E191" s="91"/>
      <c r="F191" s="92"/>
      <c r="G191" s="91"/>
      <c r="H191" s="91"/>
      <c r="I191" s="91"/>
      <c r="J191" s="91"/>
      <c r="K191" s="91"/>
      <c r="L191" s="3"/>
    </row>
    <row r="192" ht="14.25" customHeight="1">
      <c r="A192" s="91"/>
      <c r="B192" s="91"/>
      <c r="C192" s="91"/>
      <c r="D192" s="91"/>
      <c r="E192" s="91"/>
      <c r="F192" s="92"/>
      <c r="G192" s="91"/>
      <c r="H192" s="91"/>
      <c r="I192" s="91"/>
      <c r="J192" s="91"/>
      <c r="K192" s="91"/>
      <c r="L192" s="3"/>
    </row>
    <row r="193" ht="14.25" customHeight="1">
      <c r="A193" s="91"/>
      <c r="B193" s="91"/>
      <c r="C193" s="91"/>
      <c r="D193" s="91"/>
      <c r="E193" s="91"/>
      <c r="F193" s="92"/>
      <c r="G193" s="91"/>
      <c r="H193" s="91"/>
      <c r="I193" s="91"/>
      <c r="J193" s="91"/>
      <c r="K193" s="91"/>
      <c r="L193" s="3"/>
    </row>
    <row r="194" ht="14.25" customHeight="1">
      <c r="A194" s="91"/>
      <c r="B194" s="91"/>
      <c r="C194" s="91"/>
      <c r="D194" s="91"/>
      <c r="E194" s="91"/>
      <c r="F194" s="92"/>
      <c r="G194" s="91"/>
      <c r="H194" s="91"/>
      <c r="I194" s="91"/>
      <c r="J194" s="91"/>
      <c r="K194" s="91"/>
      <c r="L194" s="3"/>
    </row>
    <row r="195" ht="14.25" customHeight="1">
      <c r="A195" s="91"/>
      <c r="B195" s="91"/>
      <c r="C195" s="91"/>
      <c r="D195" s="91"/>
      <c r="E195" s="91"/>
      <c r="F195" s="92"/>
      <c r="G195" s="91"/>
      <c r="H195" s="91"/>
      <c r="I195" s="91"/>
      <c r="J195" s="91"/>
      <c r="K195" s="91"/>
      <c r="L195" s="3"/>
    </row>
    <row r="196" ht="14.25" customHeight="1">
      <c r="A196" s="91"/>
      <c r="B196" s="91"/>
      <c r="C196" s="91"/>
      <c r="D196" s="91"/>
      <c r="E196" s="91"/>
      <c r="F196" s="92"/>
      <c r="G196" s="91"/>
      <c r="H196" s="91"/>
      <c r="I196" s="91"/>
      <c r="J196" s="91"/>
      <c r="K196" s="91"/>
      <c r="L196" s="3"/>
    </row>
    <row r="197" ht="14.25" customHeight="1">
      <c r="A197" s="91"/>
      <c r="B197" s="91"/>
      <c r="C197" s="91"/>
      <c r="D197" s="91"/>
      <c r="E197" s="91"/>
      <c r="F197" s="92"/>
      <c r="G197" s="91"/>
      <c r="H197" s="91"/>
      <c r="I197" s="91"/>
      <c r="J197" s="91"/>
      <c r="K197" s="91"/>
      <c r="L197" s="3"/>
    </row>
    <row r="198" ht="14.25" customHeight="1">
      <c r="A198" s="91"/>
      <c r="B198" s="91"/>
      <c r="C198" s="91"/>
      <c r="D198" s="91"/>
      <c r="E198" s="91"/>
      <c r="F198" s="92"/>
      <c r="G198" s="91"/>
      <c r="H198" s="91"/>
      <c r="I198" s="91"/>
      <c r="J198" s="91"/>
      <c r="K198" s="91"/>
      <c r="L198" s="3"/>
    </row>
    <row r="199" ht="14.25" customHeight="1">
      <c r="A199" s="91"/>
      <c r="B199" s="91"/>
      <c r="C199" s="91"/>
      <c r="D199" s="91"/>
      <c r="E199" s="91"/>
      <c r="F199" s="92"/>
      <c r="G199" s="91"/>
      <c r="H199" s="91"/>
      <c r="I199" s="91"/>
      <c r="J199" s="91"/>
      <c r="K199" s="91"/>
      <c r="L199" s="3"/>
    </row>
    <row r="200" ht="14.25" customHeight="1">
      <c r="A200" s="91"/>
      <c r="B200" s="91"/>
      <c r="C200" s="91"/>
      <c r="D200" s="91"/>
      <c r="E200" s="91"/>
      <c r="F200" s="92"/>
      <c r="G200" s="91"/>
      <c r="H200" s="91"/>
      <c r="I200" s="91"/>
      <c r="J200" s="91"/>
      <c r="K200" s="91"/>
      <c r="L200" s="3"/>
    </row>
    <row r="201" ht="14.25" customHeight="1">
      <c r="A201" s="91"/>
      <c r="B201" s="91"/>
      <c r="C201" s="91"/>
      <c r="D201" s="91"/>
      <c r="E201" s="91"/>
      <c r="F201" s="92"/>
      <c r="G201" s="91"/>
      <c r="H201" s="91"/>
      <c r="I201" s="91"/>
      <c r="J201" s="91"/>
      <c r="K201" s="91"/>
      <c r="L201" s="3"/>
    </row>
    <row r="202" ht="14.25" customHeight="1">
      <c r="A202" s="91"/>
      <c r="B202" s="91"/>
      <c r="C202" s="91"/>
      <c r="D202" s="91"/>
      <c r="E202" s="91"/>
      <c r="F202" s="92"/>
      <c r="G202" s="91"/>
      <c r="H202" s="91"/>
      <c r="I202" s="91"/>
      <c r="J202" s="91"/>
      <c r="K202" s="91"/>
      <c r="L202" s="3"/>
    </row>
    <row r="203" ht="14.25" customHeight="1">
      <c r="A203" s="91"/>
      <c r="B203" s="91"/>
      <c r="C203" s="91"/>
      <c r="D203" s="91"/>
      <c r="E203" s="91"/>
      <c r="F203" s="92"/>
      <c r="G203" s="91"/>
      <c r="H203" s="91"/>
      <c r="I203" s="91"/>
      <c r="J203" s="91"/>
      <c r="K203" s="91"/>
      <c r="L203" s="3"/>
    </row>
    <row r="204" ht="14.25" customHeight="1">
      <c r="A204" s="91"/>
      <c r="B204" s="91"/>
      <c r="C204" s="91"/>
      <c r="D204" s="91"/>
      <c r="E204" s="91"/>
      <c r="F204" s="92"/>
      <c r="G204" s="91"/>
      <c r="H204" s="91"/>
      <c r="I204" s="91"/>
      <c r="J204" s="91"/>
      <c r="K204" s="91"/>
      <c r="L204" s="3"/>
    </row>
    <row r="205" ht="14.25" customHeight="1">
      <c r="A205" s="91"/>
      <c r="B205" s="91"/>
      <c r="C205" s="91"/>
      <c r="D205" s="91"/>
      <c r="E205" s="91"/>
      <c r="F205" s="92"/>
      <c r="G205" s="91"/>
      <c r="H205" s="91"/>
      <c r="I205" s="91"/>
      <c r="J205" s="91"/>
      <c r="K205" s="91"/>
      <c r="L205" s="3"/>
    </row>
    <row r="206" ht="14.25" customHeight="1">
      <c r="A206" s="91"/>
      <c r="B206" s="91"/>
      <c r="C206" s="91"/>
      <c r="D206" s="91"/>
      <c r="E206" s="91"/>
      <c r="F206" s="92"/>
      <c r="G206" s="91"/>
      <c r="H206" s="91"/>
      <c r="I206" s="91"/>
      <c r="J206" s="91"/>
      <c r="K206" s="91"/>
      <c r="L206" s="3"/>
    </row>
    <row r="207" ht="14.25" customHeight="1">
      <c r="A207" s="91"/>
      <c r="B207" s="91"/>
      <c r="C207" s="91"/>
      <c r="D207" s="91"/>
      <c r="E207" s="91"/>
      <c r="F207" s="92"/>
      <c r="G207" s="91"/>
      <c r="H207" s="91"/>
      <c r="I207" s="91"/>
      <c r="J207" s="91"/>
      <c r="K207" s="91"/>
      <c r="L207" s="3"/>
    </row>
    <row r="208" ht="14.25" customHeight="1">
      <c r="A208" s="91"/>
      <c r="B208" s="91"/>
      <c r="C208" s="91"/>
      <c r="D208" s="91"/>
      <c r="E208" s="91"/>
      <c r="F208" s="92"/>
      <c r="G208" s="91"/>
      <c r="H208" s="91"/>
      <c r="I208" s="91"/>
      <c r="J208" s="91"/>
      <c r="K208" s="91"/>
      <c r="L208" s="3"/>
    </row>
    <row r="209" ht="14.25" customHeight="1">
      <c r="A209" s="91"/>
      <c r="B209" s="91"/>
      <c r="C209" s="91"/>
      <c r="D209" s="91"/>
      <c r="E209" s="91"/>
      <c r="F209" s="92"/>
      <c r="G209" s="91"/>
      <c r="H209" s="91"/>
      <c r="I209" s="91"/>
      <c r="J209" s="91"/>
      <c r="K209" s="91"/>
      <c r="L209" s="3"/>
    </row>
    <row r="210" ht="14.25" customHeight="1">
      <c r="A210" s="91"/>
      <c r="B210" s="91"/>
      <c r="C210" s="91"/>
      <c r="D210" s="91"/>
      <c r="E210" s="91"/>
      <c r="F210" s="92"/>
      <c r="G210" s="91"/>
      <c r="H210" s="91"/>
      <c r="I210" s="91"/>
      <c r="J210" s="91"/>
      <c r="K210" s="91"/>
      <c r="L210" s="3"/>
    </row>
    <row r="211" ht="14.25" customHeight="1">
      <c r="A211" s="91"/>
      <c r="B211" s="91"/>
      <c r="C211" s="91"/>
      <c r="D211" s="91"/>
      <c r="E211" s="91"/>
      <c r="F211" s="92"/>
      <c r="G211" s="91"/>
      <c r="H211" s="91"/>
      <c r="I211" s="91"/>
      <c r="J211" s="91"/>
      <c r="K211" s="91"/>
      <c r="L211" s="3"/>
    </row>
    <row r="212" ht="14.25" customHeight="1">
      <c r="A212" s="91"/>
      <c r="B212" s="91"/>
      <c r="C212" s="91"/>
      <c r="D212" s="91"/>
      <c r="E212" s="91"/>
      <c r="F212" s="92"/>
      <c r="G212" s="91"/>
      <c r="H212" s="91"/>
      <c r="I212" s="91"/>
      <c r="J212" s="91"/>
      <c r="K212" s="91"/>
      <c r="L212" s="3"/>
    </row>
    <row r="213" ht="14.25" customHeight="1">
      <c r="A213" s="91"/>
      <c r="B213" s="91"/>
      <c r="C213" s="91"/>
      <c r="D213" s="91"/>
      <c r="E213" s="91"/>
      <c r="F213" s="92"/>
      <c r="G213" s="91"/>
      <c r="H213" s="91"/>
      <c r="I213" s="91"/>
      <c r="J213" s="91"/>
      <c r="K213" s="91"/>
      <c r="L213" s="3"/>
    </row>
    <row r="214" ht="14.25" customHeight="1">
      <c r="A214" s="91"/>
      <c r="B214" s="91"/>
      <c r="C214" s="91"/>
      <c r="D214" s="91"/>
      <c r="E214" s="91"/>
      <c r="F214" s="92"/>
      <c r="G214" s="91"/>
      <c r="H214" s="91"/>
      <c r="I214" s="91"/>
      <c r="J214" s="91"/>
      <c r="K214" s="91"/>
      <c r="L214" s="3"/>
    </row>
    <row r="215" ht="14.25" customHeight="1">
      <c r="A215" s="91"/>
      <c r="B215" s="91"/>
      <c r="C215" s="91"/>
      <c r="D215" s="91"/>
      <c r="E215" s="91"/>
      <c r="F215" s="92"/>
      <c r="G215" s="91"/>
      <c r="H215" s="91"/>
      <c r="I215" s="91"/>
      <c r="J215" s="91"/>
      <c r="K215" s="91"/>
      <c r="L215" s="3"/>
    </row>
    <row r="216" ht="14.25" customHeight="1">
      <c r="A216" s="91"/>
      <c r="B216" s="91"/>
      <c r="C216" s="91"/>
      <c r="D216" s="91"/>
      <c r="E216" s="91"/>
      <c r="F216" s="92"/>
      <c r="G216" s="91"/>
      <c r="H216" s="91"/>
      <c r="I216" s="91"/>
      <c r="J216" s="91"/>
      <c r="K216" s="91"/>
      <c r="L216" s="3"/>
    </row>
    <row r="217" ht="14.25" customHeight="1">
      <c r="A217" s="91"/>
      <c r="B217" s="91"/>
      <c r="C217" s="91"/>
      <c r="D217" s="91"/>
      <c r="E217" s="91"/>
      <c r="F217" s="92"/>
      <c r="G217" s="91"/>
      <c r="H217" s="91"/>
      <c r="I217" s="91"/>
      <c r="J217" s="91"/>
      <c r="K217" s="91"/>
      <c r="L217" s="3"/>
    </row>
    <row r="218" ht="14.25" customHeight="1">
      <c r="A218" s="91"/>
      <c r="B218" s="91"/>
      <c r="C218" s="91"/>
      <c r="D218" s="91"/>
      <c r="E218" s="91"/>
      <c r="F218" s="92"/>
      <c r="G218" s="91"/>
      <c r="H218" s="91"/>
      <c r="I218" s="91"/>
      <c r="J218" s="91"/>
      <c r="K218" s="91"/>
      <c r="L218" s="3"/>
    </row>
    <row r="219" ht="14.25" customHeight="1">
      <c r="A219" s="91"/>
      <c r="B219" s="91"/>
      <c r="C219" s="91"/>
      <c r="D219" s="91"/>
      <c r="E219" s="91"/>
      <c r="F219" s="92"/>
      <c r="G219" s="91"/>
      <c r="H219" s="91"/>
      <c r="I219" s="91"/>
      <c r="J219" s="91"/>
      <c r="K219" s="91"/>
      <c r="L219" s="3"/>
    </row>
    <row r="220" ht="14.25" customHeight="1">
      <c r="A220" s="91"/>
      <c r="B220" s="91"/>
      <c r="C220" s="91"/>
      <c r="D220" s="91"/>
      <c r="E220" s="91"/>
      <c r="F220" s="92"/>
      <c r="G220" s="91"/>
      <c r="H220" s="91"/>
      <c r="I220" s="91"/>
      <c r="J220" s="91"/>
      <c r="K220" s="91"/>
      <c r="L220" s="3"/>
    </row>
    <row r="221" ht="14.25" customHeight="1">
      <c r="A221" s="91"/>
      <c r="B221" s="91"/>
      <c r="C221" s="91"/>
      <c r="D221" s="91"/>
      <c r="E221" s="91"/>
      <c r="F221" s="92"/>
      <c r="G221" s="91"/>
      <c r="H221" s="91"/>
      <c r="I221" s="91"/>
      <c r="J221" s="91"/>
      <c r="K221" s="91"/>
      <c r="L221" s="3"/>
    </row>
    <row r="222" ht="14.25" customHeight="1">
      <c r="A222" s="91"/>
      <c r="B222" s="91"/>
      <c r="C222" s="91"/>
      <c r="D222" s="91"/>
      <c r="E222" s="91"/>
      <c r="F222" s="92"/>
      <c r="G222" s="91"/>
      <c r="H222" s="91"/>
      <c r="I222" s="91"/>
      <c r="J222" s="91"/>
      <c r="K222" s="91"/>
      <c r="L222" s="3"/>
    </row>
    <row r="223" ht="14.25" customHeight="1">
      <c r="A223" s="91"/>
      <c r="B223" s="91"/>
      <c r="C223" s="91"/>
      <c r="D223" s="91"/>
      <c r="E223" s="91"/>
      <c r="F223" s="92"/>
      <c r="G223" s="91"/>
      <c r="H223" s="91"/>
      <c r="I223" s="91"/>
      <c r="J223" s="91"/>
      <c r="K223" s="91"/>
      <c r="L223" s="3"/>
    </row>
    <row r="224" ht="14.25" customHeight="1">
      <c r="A224" s="91"/>
      <c r="B224" s="91"/>
      <c r="C224" s="91"/>
      <c r="D224" s="91"/>
      <c r="E224" s="91"/>
      <c r="F224" s="92"/>
      <c r="G224" s="91"/>
      <c r="H224" s="91"/>
      <c r="I224" s="91"/>
      <c r="J224" s="91"/>
      <c r="K224" s="91"/>
      <c r="L224" s="3"/>
    </row>
    <row r="225" ht="14.25" customHeight="1">
      <c r="A225" s="91"/>
      <c r="B225" s="91"/>
      <c r="C225" s="91"/>
      <c r="D225" s="91"/>
      <c r="E225" s="91"/>
      <c r="F225" s="92"/>
      <c r="G225" s="91"/>
      <c r="H225" s="91"/>
      <c r="I225" s="91"/>
      <c r="J225" s="91"/>
      <c r="K225" s="91"/>
      <c r="L225" s="3"/>
    </row>
    <row r="226" ht="14.25" customHeight="1">
      <c r="A226" s="91"/>
      <c r="B226" s="91"/>
      <c r="C226" s="91"/>
      <c r="D226" s="91"/>
      <c r="E226" s="91"/>
      <c r="F226" s="92"/>
      <c r="G226" s="91"/>
      <c r="H226" s="91"/>
      <c r="I226" s="91"/>
      <c r="J226" s="91"/>
      <c r="K226" s="91"/>
      <c r="L226" s="3"/>
    </row>
    <row r="227" ht="14.25" customHeight="1">
      <c r="A227" s="91"/>
      <c r="B227" s="91"/>
      <c r="C227" s="91"/>
      <c r="D227" s="91"/>
      <c r="E227" s="91"/>
      <c r="F227" s="92"/>
      <c r="G227" s="91"/>
      <c r="H227" s="91"/>
      <c r="I227" s="91"/>
      <c r="J227" s="91"/>
      <c r="K227" s="91"/>
      <c r="L227" s="3"/>
    </row>
    <row r="228" ht="14.25" customHeight="1">
      <c r="A228" s="91"/>
      <c r="B228" s="91"/>
      <c r="C228" s="91"/>
      <c r="D228" s="91"/>
      <c r="E228" s="91"/>
      <c r="F228" s="92"/>
      <c r="G228" s="91"/>
      <c r="H228" s="91"/>
      <c r="I228" s="91"/>
      <c r="J228" s="91"/>
      <c r="K228" s="91"/>
      <c r="L228" s="3"/>
    </row>
    <row r="229" ht="14.25" customHeight="1">
      <c r="A229" s="91"/>
      <c r="B229" s="91"/>
      <c r="C229" s="91"/>
      <c r="D229" s="91"/>
      <c r="E229" s="91"/>
      <c r="F229" s="92"/>
      <c r="G229" s="91"/>
      <c r="H229" s="91"/>
      <c r="I229" s="91"/>
      <c r="J229" s="91"/>
      <c r="K229" s="91"/>
      <c r="L229" s="3"/>
    </row>
    <row r="230" ht="14.25" customHeight="1">
      <c r="A230" s="91"/>
      <c r="B230" s="91"/>
      <c r="C230" s="91"/>
      <c r="D230" s="91"/>
      <c r="E230" s="91"/>
      <c r="F230" s="92"/>
      <c r="G230" s="91"/>
      <c r="H230" s="91"/>
      <c r="I230" s="91"/>
      <c r="J230" s="91"/>
      <c r="K230" s="91"/>
      <c r="L230" s="3"/>
    </row>
    <row r="231" ht="14.25" customHeight="1">
      <c r="A231" s="91"/>
      <c r="B231" s="91"/>
      <c r="C231" s="91"/>
      <c r="D231" s="91"/>
      <c r="E231" s="91"/>
      <c r="F231" s="92"/>
      <c r="G231" s="91"/>
      <c r="H231" s="91"/>
      <c r="I231" s="91"/>
      <c r="J231" s="91"/>
      <c r="K231" s="91"/>
      <c r="L231" s="3"/>
    </row>
    <row r="232" ht="14.25" customHeight="1">
      <c r="A232" s="91"/>
      <c r="B232" s="91"/>
      <c r="C232" s="91"/>
      <c r="D232" s="91"/>
      <c r="E232" s="91"/>
      <c r="F232" s="92"/>
      <c r="G232" s="91"/>
      <c r="H232" s="91"/>
      <c r="I232" s="91"/>
      <c r="J232" s="91"/>
      <c r="K232" s="91"/>
      <c r="L232" s="3"/>
    </row>
    <row r="233" ht="14.25" customHeight="1">
      <c r="A233" s="91"/>
      <c r="B233" s="91"/>
      <c r="C233" s="91"/>
      <c r="D233" s="91"/>
      <c r="E233" s="91"/>
      <c r="F233" s="92"/>
      <c r="G233" s="91"/>
      <c r="H233" s="91"/>
      <c r="I233" s="91"/>
      <c r="J233" s="91"/>
      <c r="K233" s="91"/>
      <c r="L233" s="3"/>
    </row>
    <row r="234" ht="14.25" customHeight="1">
      <c r="A234" s="91"/>
      <c r="B234" s="91"/>
      <c r="C234" s="91"/>
      <c r="D234" s="91"/>
      <c r="E234" s="91"/>
      <c r="F234" s="92"/>
      <c r="G234" s="91"/>
      <c r="H234" s="91"/>
      <c r="I234" s="91"/>
      <c r="J234" s="91"/>
      <c r="K234" s="91"/>
      <c r="L234" s="3"/>
    </row>
    <row r="235" ht="14.25" customHeight="1">
      <c r="A235" s="91"/>
      <c r="B235" s="91"/>
      <c r="C235" s="91"/>
      <c r="D235" s="91"/>
      <c r="E235" s="91"/>
      <c r="F235" s="92"/>
      <c r="G235" s="91"/>
      <c r="H235" s="91"/>
      <c r="I235" s="91"/>
      <c r="J235" s="91"/>
      <c r="K235" s="91"/>
      <c r="L235" s="3"/>
    </row>
    <row r="236" ht="14.25" customHeight="1">
      <c r="A236" s="91"/>
      <c r="B236" s="91"/>
      <c r="C236" s="91"/>
      <c r="D236" s="91"/>
      <c r="E236" s="91"/>
      <c r="F236" s="92"/>
      <c r="G236" s="91"/>
      <c r="H236" s="91"/>
      <c r="I236" s="91"/>
      <c r="J236" s="91"/>
      <c r="K236" s="91"/>
      <c r="L236" s="3"/>
    </row>
    <row r="237" ht="14.25" customHeight="1">
      <c r="A237" s="91"/>
      <c r="B237" s="91"/>
      <c r="C237" s="91"/>
      <c r="D237" s="91"/>
      <c r="E237" s="91"/>
      <c r="F237" s="92"/>
      <c r="G237" s="91"/>
      <c r="H237" s="91"/>
      <c r="I237" s="91"/>
      <c r="J237" s="91"/>
      <c r="K237" s="91"/>
      <c r="L237" s="3"/>
    </row>
    <row r="238" ht="14.25" customHeight="1">
      <c r="A238" s="91"/>
      <c r="B238" s="91"/>
      <c r="C238" s="91"/>
      <c r="D238" s="91"/>
      <c r="E238" s="91"/>
      <c r="F238" s="92"/>
      <c r="G238" s="91"/>
      <c r="H238" s="91"/>
      <c r="I238" s="91"/>
      <c r="J238" s="91"/>
      <c r="K238" s="91"/>
      <c r="L238" s="3"/>
    </row>
    <row r="239" ht="14.25" customHeight="1">
      <c r="A239" s="91"/>
      <c r="B239" s="91"/>
      <c r="C239" s="91"/>
      <c r="D239" s="91"/>
      <c r="E239" s="91"/>
      <c r="F239" s="92"/>
      <c r="G239" s="91"/>
      <c r="H239" s="91"/>
      <c r="I239" s="91"/>
      <c r="J239" s="91"/>
      <c r="K239" s="91"/>
      <c r="L239" s="3"/>
    </row>
    <row r="240" ht="14.25" customHeight="1">
      <c r="A240" s="91"/>
      <c r="B240" s="91"/>
      <c r="C240" s="91"/>
      <c r="D240" s="91"/>
      <c r="E240" s="91"/>
      <c r="F240" s="92"/>
      <c r="G240" s="91"/>
      <c r="H240" s="91"/>
      <c r="I240" s="91"/>
      <c r="J240" s="91"/>
      <c r="K240" s="91"/>
      <c r="L240" s="3"/>
    </row>
    <row r="241" ht="14.25" customHeight="1">
      <c r="A241" s="91"/>
      <c r="B241" s="91"/>
      <c r="C241" s="91"/>
      <c r="D241" s="91"/>
      <c r="E241" s="91"/>
      <c r="F241" s="92"/>
      <c r="G241" s="91"/>
      <c r="H241" s="91"/>
      <c r="I241" s="91"/>
      <c r="J241" s="91"/>
      <c r="K241" s="91"/>
      <c r="L241" s="3"/>
    </row>
    <row r="242" ht="14.25" customHeight="1">
      <c r="A242" s="91"/>
      <c r="B242" s="91"/>
      <c r="C242" s="91"/>
      <c r="D242" s="91"/>
      <c r="E242" s="91"/>
      <c r="F242" s="92"/>
      <c r="G242" s="91"/>
      <c r="H242" s="91"/>
      <c r="I242" s="91"/>
      <c r="J242" s="91"/>
      <c r="K242" s="91"/>
      <c r="L242" s="3"/>
    </row>
    <row r="243" ht="14.25" customHeight="1">
      <c r="A243" s="91"/>
      <c r="B243" s="91"/>
      <c r="C243" s="91"/>
      <c r="D243" s="91"/>
      <c r="E243" s="91"/>
      <c r="F243" s="92"/>
      <c r="G243" s="91"/>
      <c r="H243" s="91"/>
      <c r="I243" s="91"/>
      <c r="J243" s="91"/>
      <c r="K243" s="91"/>
      <c r="L243" s="3"/>
    </row>
    <row r="244" ht="14.25" customHeight="1">
      <c r="A244" s="91"/>
      <c r="B244" s="91"/>
      <c r="C244" s="91"/>
      <c r="D244" s="91"/>
      <c r="E244" s="91"/>
      <c r="F244" s="92"/>
      <c r="G244" s="91"/>
      <c r="H244" s="91"/>
      <c r="I244" s="91"/>
      <c r="J244" s="91"/>
      <c r="K244" s="91"/>
      <c r="L244" s="3"/>
    </row>
    <row r="245" ht="14.25" customHeight="1">
      <c r="A245" s="91"/>
      <c r="B245" s="91"/>
      <c r="C245" s="91"/>
      <c r="D245" s="91"/>
      <c r="E245" s="91"/>
      <c r="F245" s="92"/>
      <c r="G245" s="91"/>
      <c r="H245" s="91"/>
      <c r="I245" s="91"/>
      <c r="J245" s="91"/>
      <c r="K245" s="91"/>
      <c r="L245" s="3"/>
    </row>
    <row r="246" ht="14.25" customHeight="1">
      <c r="A246" s="91"/>
      <c r="B246" s="91"/>
      <c r="C246" s="91"/>
      <c r="D246" s="91"/>
      <c r="E246" s="91"/>
      <c r="F246" s="92"/>
      <c r="G246" s="91"/>
      <c r="H246" s="91"/>
      <c r="I246" s="91"/>
      <c r="J246" s="91"/>
      <c r="K246" s="91"/>
      <c r="L246" s="3"/>
    </row>
    <row r="247" ht="14.25" customHeight="1">
      <c r="A247" s="91"/>
      <c r="B247" s="91"/>
      <c r="C247" s="91"/>
      <c r="D247" s="91"/>
      <c r="E247" s="91"/>
      <c r="F247" s="92"/>
      <c r="G247" s="91"/>
      <c r="H247" s="91"/>
      <c r="I247" s="91"/>
      <c r="J247" s="91"/>
      <c r="K247" s="91"/>
      <c r="L247" s="3"/>
    </row>
    <row r="248" ht="14.25" customHeight="1">
      <c r="A248" s="91"/>
      <c r="B248" s="91"/>
      <c r="C248" s="91"/>
      <c r="D248" s="91"/>
      <c r="E248" s="91"/>
      <c r="F248" s="92"/>
      <c r="G248" s="91"/>
      <c r="H248" s="91"/>
      <c r="I248" s="91"/>
      <c r="J248" s="91"/>
      <c r="K248" s="91"/>
      <c r="L248" s="3"/>
    </row>
    <row r="249" ht="14.25" customHeight="1">
      <c r="A249" s="91"/>
      <c r="B249" s="91"/>
      <c r="C249" s="91"/>
      <c r="D249" s="91"/>
      <c r="E249" s="91"/>
      <c r="F249" s="92"/>
      <c r="G249" s="91"/>
      <c r="H249" s="91"/>
      <c r="I249" s="91"/>
      <c r="J249" s="91"/>
      <c r="K249" s="91"/>
      <c r="L249" s="3"/>
    </row>
    <row r="250" ht="14.25" customHeight="1">
      <c r="A250" s="91"/>
      <c r="B250" s="91"/>
      <c r="C250" s="91"/>
      <c r="D250" s="91"/>
      <c r="E250" s="91"/>
      <c r="F250" s="92"/>
      <c r="G250" s="91"/>
      <c r="H250" s="91"/>
      <c r="I250" s="91"/>
      <c r="J250" s="91"/>
      <c r="K250" s="91"/>
      <c r="L250" s="3"/>
    </row>
    <row r="251" ht="14.25" customHeight="1">
      <c r="A251" s="91"/>
      <c r="B251" s="91"/>
      <c r="C251" s="91"/>
      <c r="D251" s="91"/>
      <c r="E251" s="91"/>
      <c r="F251" s="92"/>
      <c r="G251" s="91"/>
      <c r="H251" s="91"/>
      <c r="I251" s="91"/>
      <c r="J251" s="91"/>
      <c r="K251" s="91"/>
      <c r="L251" s="3"/>
    </row>
    <row r="252" ht="14.25" customHeight="1">
      <c r="A252" s="91"/>
      <c r="B252" s="91"/>
      <c r="C252" s="91"/>
      <c r="D252" s="91"/>
      <c r="E252" s="91"/>
      <c r="F252" s="92"/>
      <c r="G252" s="91"/>
      <c r="H252" s="91"/>
      <c r="I252" s="91"/>
      <c r="J252" s="91"/>
      <c r="K252" s="91"/>
      <c r="L252" s="3"/>
    </row>
    <row r="253" ht="14.25" customHeight="1">
      <c r="A253" s="91"/>
      <c r="B253" s="91"/>
      <c r="C253" s="91"/>
      <c r="D253" s="91"/>
      <c r="E253" s="91"/>
      <c r="F253" s="92"/>
      <c r="G253" s="91"/>
      <c r="H253" s="91"/>
      <c r="I253" s="91"/>
      <c r="J253" s="91"/>
      <c r="K253" s="91"/>
      <c r="L253" s="3"/>
    </row>
    <row r="254" ht="14.25" customHeight="1">
      <c r="A254" s="91"/>
      <c r="B254" s="91"/>
      <c r="C254" s="91"/>
      <c r="D254" s="91"/>
      <c r="E254" s="91"/>
      <c r="F254" s="92"/>
      <c r="G254" s="91"/>
      <c r="H254" s="91"/>
      <c r="I254" s="91"/>
      <c r="J254" s="91"/>
      <c r="K254" s="91"/>
      <c r="L254" s="3"/>
    </row>
    <row r="255" ht="14.25" customHeight="1">
      <c r="A255" s="91"/>
      <c r="B255" s="91"/>
      <c r="C255" s="91"/>
      <c r="D255" s="91"/>
      <c r="E255" s="91"/>
      <c r="F255" s="92"/>
      <c r="G255" s="91"/>
      <c r="H255" s="91"/>
      <c r="I255" s="91"/>
      <c r="J255" s="91"/>
      <c r="K255" s="91"/>
      <c r="L255" s="3"/>
    </row>
    <row r="256" ht="14.25" customHeight="1">
      <c r="A256" s="91"/>
      <c r="B256" s="91"/>
      <c r="C256" s="91"/>
      <c r="D256" s="91"/>
      <c r="E256" s="91"/>
      <c r="F256" s="92"/>
      <c r="G256" s="91"/>
      <c r="H256" s="91"/>
      <c r="I256" s="91"/>
      <c r="J256" s="91"/>
      <c r="K256" s="91"/>
      <c r="L256" s="3"/>
    </row>
    <row r="257" ht="14.25" customHeight="1">
      <c r="A257" s="91"/>
      <c r="B257" s="91"/>
      <c r="C257" s="91"/>
      <c r="D257" s="91"/>
      <c r="E257" s="91"/>
      <c r="F257" s="92"/>
      <c r="G257" s="91"/>
      <c r="H257" s="91"/>
      <c r="I257" s="91"/>
      <c r="J257" s="91"/>
      <c r="K257" s="91"/>
      <c r="L257" s="3"/>
    </row>
    <row r="258" ht="14.25" customHeight="1">
      <c r="A258" s="91"/>
      <c r="B258" s="91"/>
      <c r="C258" s="91"/>
      <c r="D258" s="91"/>
      <c r="E258" s="91"/>
      <c r="F258" s="92"/>
      <c r="G258" s="91"/>
      <c r="H258" s="91"/>
      <c r="I258" s="91"/>
      <c r="J258" s="91"/>
      <c r="K258" s="91"/>
      <c r="L258" s="3"/>
    </row>
    <row r="259" ht="14.25" customHeight="1">
      <c r="A259" s="91"/>
      <c r="B259" s="91"/>
      <c r="C259" s="91"/>
      <c r="D259" s="91"/>
      <c r="E259" s="91"/>
      <c r="F259" s="92"/>
      <c r="G259" s="91"/>
      <c r="H259" s="91"/>
      <c r="I259" s="91"/>
      <c r="J259" s="91"/>
      <c r="K259" s="91"/>
      <c r="L259" s="3"/>
    </row>
    <row r="260" ht="14.25" customHeight="1">
      <c r="A260" s="91"/>
      <c r="B260" s="91"/>
      <c r="C260" s="91"/>
      <c r="D260" s="91"/>
      <c r="E260" s="91"/>
      <c r="F260" s="92"/>
      <c r="G260" s="91"/>
      <c r="H260" s="91"/>
      <c r="I260" s="91"/>
      <c r="J260" s="91"/>
      <c r="K260" s="91"/>
      <c r="L260" s="3"/>
    </row>
    <row r="261" ht="14.25" customHeight="1">
      <c r="A261" s="91"/>
      <c r="B261" s="91"/>
      <c r="C261" s="91"/>
      <c r="D261" s="91"/>
      <c r="E261" s="91"/>
      <c r="F261" s="92"/>
      <c r="G261" s="91"/>
      <c r="H261" s="91"/>
      <c r="I261" s="91"/>
      <c r="J261" s="91"/>
      <c r="K261" s="91"/>
      <c r="L261" s="3"/>
    </row>
    <row r="262" ht="14.25" customHeight="1">
      <c r="A262" s="91"/>
      <c r="B262" s="91"/>
      <c r="C262" s="91"/>
      <c r="D262" s="91"/>
      <c r="E262" s="91"/>
      <c r="F262" s="92"/>
      <c r="G262" s="91"/>
      <c r="H262" s="91"/>
      <c r="I262" s="91"/>
      <c r="J262" s="91"/>
      <c r="K262" s="91"/>
      <c r="L262" s="3"/>
    </row>
    <row r="263" ht="14.25" customHeight="1">
      <c r="A263" s="91"/>
      <c r="B263" s="91"/>
      <c r="C263" s="91"/>
      <c r="D263" s="91"/>
      <c r="E263" s="91"/>
      <c r="F263" s="92"/>
      <c r="G263" s="91"/>
      <c r="H263" s="91"/>
      <c r="I263" s="91"/>
      <c r="J263" s="91"/>
      <c r="K263" s="91"/>
      <c r="L263" s="3"/>
    </row>
    <row r="264" ht="14.25" customHeight="1">
      <c r="A264" s="91"/>
      <c r="B264" s="91"/>
      <c r="C264" s="91"/>
      <c r="D264" s="91"/>
      <c r="E264" s="91"/>
      <c r="F264" s="92"/>
      <c r="G264" s="91"/>
      <c r="H264" s="91"/>
      <c r="I264" s="91"/>
      <c r="J264" s="91"/>
      <c r="K264" s="91"/>
      <c r="L264" s="3"/>
    </row>
    <row r="265" ht="14.25" customHeight="1">
      <c r="A265" s="91"/>
      <c r="B265" s="91"/>
      <c r="C265" s="91"/>
      <c r="D265" s="91"/>
      <c r="E265" s="91"/>
      <c r="F265" s="92"/>
      <c r="G265" s="91"/>
      <c r="H265" s="91"/>
      <c r="I265" s="91"/>
      <c r="J265" s="91"/>
      <c r="K265" s="91"/>
      <c r="L265" s="3"/>
    </row>
    <row r="266" ht="14.25" customHeight="1">
      <c r="A266" s="91"/>
      <c r="B266" s="91"/>
      <c r="C266" s="91"/>
      <c r="D266" s="91"/>
      <c r="E266" s="91"/>
      <c r="F266" s="92"/>
      <c r="G266" s="91"/>
      <c r="H266" s="91"/>
      <c r="I266" s="91"/>
      <c r="J266" s="91"/>
      <c r="K266" s="91"/>
      <c r="L266" s="3"/>
    </row>
    <row r="267" ht="14.25" customHeight="1">
      <c r="A267" s="91"/>
      <c r="B267" s="91"/>
      <c r="C267" s="91"/>
      <c r="D267" s="91"/>
      <c r="E267" s="91"/>
      <c r="F267" s="92"/>
      <c r="G267" s="91"/>
      <c r="H267" s="91"/>
      <c r="I267" s="91"/>
      <c r="J267" s="91"/>
      <c r="K267" s="91"/>
      <c r="L267" s="3"/>
    </row>
    <row r="268" ht="14.25" customHeight="1">
      <c r="A268" s="91"/>
      <c r="B268" s="91"/>
      <c r="C268" s="91"/>
      <c r="D268" s="91"/>
      <c r="E268" s="91"/>
      <c r="F268" s="92"/>
      <c r="G268" s="91"/>
      <c r="H268" s="91"/>
      <c r="I268" s="91"/>
      <c r="J268" s="91"/>
      <c r="K268" s="91"/>
      <c r="L268" s="3"/>
    </row>
    <row r="269" ht="14.25" customHeight="1">
      <c r="A269" s="91"/>
      <c r="B269" s="91"/>
      <c r="C269" s="91"/>
      <c r="D269" s="91"/>
      <c r="E269" s="91"/>
      <c r="F269" s="92"/>
      <c r="G269" s="91"/>
      <c r="H269" s="91"/>
      <c r="I269" s="91"/>
      <c r="J269" s="91"/>
      <c r="K269" s="91"/>
      <c r="L269" s="3"/>
    </row>
    <row r="270" ht="14.25" customHeight="1">
      <c r="A270" s="91"/>
      <c r="B270" s="91"/>
      <c r="C270" s="91"/>
      <c r="D270" s="91"/>
      <c r="E270" s="91"/>
      <c r="F270" s="92"/>
      <c r="G270" s="91"/>
      <c r="H270" s="91"/>
      <c r="I270" s="91"/>
      <c r="J270" s="91"/>
      <c r="K270" s="91"/>
      <c r="L270" s="3"/>
    </row>
    <row r="271" ht="14.25" customHeight="1">
      <c r="A271" s="91"/>
      <c r="B271" s="91"/>
      <c r="C271" s="91"/>
      <c r="D271" s="91"/>
      <c r="E271" s="91"/>
      <c r="F271" s="92"/>
      <c r="G271" s="91"/>
      <c r="H271" s="91"/>
      <c r="I271" s="91"/>
      <c r="J271" s="91"/>
      <c r="K271" s="91"/>
      <c r="L271" s="3"/>
    </row>
    <row r="272" ht="14.25" customHeight="1">
      <c r="A272" s="91"/>
      <c r="B272" s="91"/>
      <c r="C272" s="91"/>
      <c r="D272" s="91"/>
      <c r="E272" s="91"/>
      <c r="F272" s="92"/>
      <c r="G272" s="91"/>
      <c r="H272" s="91"/>
      <c r="I272" s="91"/>
      <c r="J272" s="91"/>
      <c r="K272" s="91"/>
      <c r="L272" s="3"/>
    </row>
    <row r="273" ht="14.25" customHeight="1">
      <c r="A273" s="91"/>
      <c r="B273" s="91"/>
      <c r="C273" s="91"/>
      <c r="D273" s="91"/>
      <c r="E273" s="91"/>
      <c r="F273" s="92"/>
      <c r="G273" s="91"/>
      <c r="H273" s="91"/>
      <c r="I273" s="91"/>
      <c r="J273" s="91"/>
      <c r="K273" s="91"/>
      <c r="L273" s="3"/>
    </row>
    <row r="274" ht="14.25" customHeight="1">
      <c r="A274" s="91"/>
      <c r="B274" s="91"/>
      <c r="C274" s="91"/>
      <c r="D274" s="91"/>
      <c r="E274" s="91"/>
      <c r="F274" s="92"/>
      <c r="G274" s="91"/>
      <c r="H274" s="91"/>
      <c r="I274" s="91"/>
      <c r="J274" s="91"/>
      <c r="K274" s="91"/>
      <c r="L274" s="3"/>
    </row>
    <row r="275" ht="14.25" customHeight="1">
      <c r="A275" s="91"/>
      <c r="B275" s="91"/>
      <c r="C275" s="91"/>
      <c r="D275" s="91"/>
      <c r="E275" s="91"/>
      <c r="F275" s="92"/>
      <c r="G275" s="91"/>
      <c r="H275" s="91"/>
      <c r="I275" s="91"/>
      <c r="J275" s="91"/>
      <c r="K275" s="91"/>
      <c r="L275" s="3"/>
    </row>
    <row r="276" ht="14.25" customHeight="1">
      <c r="A276" s="91"/>
      <c r="B276" s="91"/>
      <c r="C276" s="91"/>
      <c r="D276" s="91"/>
      <c r="E276" s="91"/>
      <c r="F276" s="92"/>
      <c r="G276" s="91"/>
      <c r="H276" s="91"/>
      <c r="I276" s="91"/>
      <c r="J276" s="91"/>
      <c r="K276" s="91"/>
      <c r="L276" s="3"/>
    </row>
    <row r="277" ht="14.25" customHeight="1">
      <c r="A277" s="91"/>
      <c r="B277" s="91"/>
      <c r="C277" s="91"/>
      <c r="D277" s="91"/>
      <c r="E277" s="91"/>
      <c r="F277" s="92"/>
      <c r="G277" s="91"/>
      <c r="H277" s="91"/>
      <c r="I277" s="91"/>
      <c r="J277" s="91"/>
      <c r="K277" s="91"/>
      <c r="L277" s="3"/>
    </row>
    <row r="278" ht="14.25" customHeight="1">
      <c r="A278" s="91"/>
      <c r="B278" s="91"/>
      <c r="C278" s="91"/>
      <c r="D278" s="91"/>
      <c r="E278" s="91"/>
      <c r="F278" s="92"/>
      <c r="G278" s="91"/>
      <c r="H278" s="91"/>
      <c r="I278" s="91"/>
      <c r="J278" s="91"/>
      <c r="K278" s="91"/>
      <c r="L278" s="3"/>
    </row>
    <row r="279" ht="14.25" customHeight="1">
      <c r="A279" s="91"/>
      <c r="B279" s="91"/>
      <c r="C279" s="91"/>
      <c r="D279" s="91"/>
      <c r="E279" s="91"/>
      <c r="F279" s="92"/>
      <c r="G279" s="91"/>
      <c r="H279" s="91"/>
      <c r="I279" s="91"/>
      <c r="J279" s="91"/>
      <c r="K279" s="91"/>
      <c r="L279" s="3"/>
    </row>
    <row r="280" ht="14.25" customHeight="1">
      <c r="A280" s="91"/>
      <c r="B280" s="91"/>
      <c r="C280" s="91"/>
      <c r="D280" s="91"/>
      <c r="E280" s="91"/>
      <c r="F280" s="92"/>
      <c r="G280" s="91"/>
      <c r="H280" s="91"/>
      <c r="I280" s="91"/>
      <c r="J280" s="91"/>
      <c r="K280" s="91"/>
      <c r="L280" s="3"/>
    </row>
    <row r="281" ht="14.25" customHeight="1">
      <c r="A281" s="91"/>
      <c r="B281" s="91"/>
      <c r="C281" s="91"/>
      <c r="D281" s="91"/>
      <c r="E281" s="91"/>
      <c r="F281" s="92"/>
      <c r="G281" s="91"/>
      <c r="H281" s="91"/>
      <c r="I281" s="91"/>
      <c r="J281" s="91"/>
      <c r="K281" s="91"/>
      <c r="L281" s="3"/>
    </row>
    <row r="282" ht="14.25" customHeight="1">
      <c r="A282" s="91"/>
      <c r="B282" s="91"/>
      <c r="C282" s="91"/>
      <c r="D282" s="91"/>
      <c r="E282" s="91"/>
      <c r="F282" s="92"/>
      <c r="G282" s="91"/>
      <c r="H282" s="91"/>
      <c r="I282" s="91"/>
      <c r="J282" s="91"/>
      <c r="K282" s="91"/>
      <c r="L282" s="3"/>
    </row>
    <row r="283" ht="14.25" customHeight="1">
      <c r="A283" s="91"/>
      <c r="B283" s="91"/>
      <c r="C283" s="91"/>
      <c r="D283" s="91"/>
      <c r="E283" s="91"/>
      <c r="F283" s="92"/>
      <c r="G283" s="91"/>
      <c r="H283" s="91"/>
      <c r="I283" s="91"/>
      <c r="J283" s="91"/>
      <c r="K283" s="91"/>
      <c r="L283" s="3"/>
    </row>
    <row r="284" ht="14.25" customHeight="1">
      <c r="A284" s="91"/>
      <c r="B284" s="91"/>
      <c r="C284" s="91"/>
      <c r="D284" s="91"/>
      <c r="E284" s="91"/>
      <c r="F284" s="92"/>
      <c r="G284" s="91"/>
      <c r="H284" s="91"/>
      <c r="I284" s="91"/>
      <c r="J284" s="91"/>
      <c r="K284" s="91"/>
      <c r="L284" s="3"/>
    </row>
    <row r="285" ht="14.25" customHeight="1">
      <c r="A285" s="91"/>
      <c r="B285" s="91"/>
      <c r="C285" s="91"/>
      <c r="D285" s="91"/>
      <c r="E285" s="91"/>
      <c r="F285" s="92"/>
      <c r="G285" s="91"/>
      <c r="H285" s="91"/>
      <c r="I285" s="91"/>
      <c r="J285" s="91"/>
      <c r="K285" s="91"/>
      <c r="L285" s="3"/>
    </row>
    <row r="286" ht="14.25" customHeight="1">
      <c r="A286" s="91"/>
      <c r="B286" s="91"/>
      <c r="C286" s="91"/>
      <c r="D286" s="91"/>
      <c r="E286" s="91"/>
      <c r="F286" s="92"/>
      <c r="G286" s="91"/>
      <c r="H286" s="91"/>
      <c r="I286" s="91"/>
      <c r="J286" s="91"/>
      <c r="K286" s="91"/>
      <c r="L286" s="3"/>
    </row>
    <row r="287" ht="14.25" customHeight="1">
      <c r="A287" s="91"/>
      <c r="B287" s="91"/>
      <c r="C287" s="91"/>
      <c r="D287" s="91"/>
      <c r="E287" s="91"/>
      <c r="F287" s="92"/>
      <c r="G287" s="91"/>
      <c r="H287" s="91"/>
      <c r="I287" s="91"/>
      <c r="J287" s="91"/>
      <c r="K287" s="91"/>
      <c r="L287" s="3"/>
    </row>
    <row r="288" ht="14.25" customHeight="1">
      <c r="A288" s="91"/>
      <c r="B288" s="91"/>
      <c r="C288" s="91"/>
      <c r="D288" s="91"/>
      <c r="E288" s="91"/>
      <c r="F288" s="92"/>
      <c r="G288" s="91"/>
      <c r="H288" s="91"/>
      <c r="I288" s="91"/>
      <c r="J288" s="91"/>
      <c r="K288" s="91"/>
      <c r="L288" s="3"/>
    </row>
    <row r="289" ht="14.25" customHeight="1">
      <c r="A289" s="91"/>
      <c r="B289" s="91"/>
      <c r="C289" s="91"/>
      <c r="D289" s="91"/>
      <c r="E289" s="91"/>
      <c r="F289" s="92"/>
      <c r="G289" s="91"/>
      <c r="H289" s="91"/>
      <c r="I289" s="91"/>
      <c r="J289" s="91"/>
      <c r="K289" s="91"/>
      <c r="L289" s="3"/>
    </row>
    <row r="290" ht="14.25" customHeight="1">
      <c r="A290" s="91"/>
      <c r="B290" s="91"/>
      <c r="C290" s="91"/>
      <c r="D290" s="91"/>
      <c r="E290" s="91"/>
      <c r="F290" s="92"/>
      <c r="G290" s="91"/>
      <c r="H290" s="91"/>
      <c r="I290" s="91"/>
      <c r="J290" s="91"/>
      <c r="K290" s="91"/>
      <c r="L290" s="3"/>
    </row>
    <row r="291" ht="14.25" customHeight="1">
      <c r="A291" s="91"/>
      <c r="B291" s="91"/>
      <c r="C291" s="91"/>
      <c r="D291" s="91"/>
      <c r="E291" s="91"/>
      <c r="F291" s="92"/>
      <c r="G291" s="91"/>
      <c r="H291" s="91"/>
      <c r="I291" s="91"/>
      <c r="J291" s="91"/>
      <c r="K291" s="91"/>
      <c r="L291" s="3"/>
    </row>
    <row r="292" ht="14.25" customHeight="1">
      <c r="A292" s="91"/>
      <c r="B292" s="91"/>
      <c r="C292" s="91"/>
      <c r="D292" s="91"/>
      <c r="E292" s="91"/>
      <c r="F292" s="92"/>
      <c r="G292" s="91"/>
      <c r="H292" s="91"/>
      <c r="I292" s="91"/>
      <c r="J292" s="91"/>
      <c r="K292" s="91"/>
      <c r="L292" s="3"/>
    </row>
    <row r="293" ht="14.25" customHeight="1">
      <c r="A293" s="91"/>
      <c r="B293" s="91"/>
      <c r="C293" s="91"/>
      <c r="D293" s="91"/>
      <c r="E293" s="91"/>
      <c r="F293" s="92"/>
      <c r="G293" s="91"/>
      <c r="H293" s="91"/>
      <c r="I293" s="91"/>
      <c r="J293" s="91"/>
      <c r="K293" s="91"/>
      <c r="L293" s="3"/>
    </row>
    <row r="294" ht="14.25" customHeight="1">
      <c r="A294" s="91"/>
      <c r="B294" s="91"/>
      <c r="C294" s="91"/>
      <c r="D294" s="91"/>
      <c r="E294" s="91"/>
      <c r="F294" s="92"/>
      <c r="G294" s="91"/>
      <c r="H294" s="91"/>
      <c r="I294" s="91"/>
      <c r="J294" s="91"/>
      <c r="K294" s="91"/>
      <c r="L294" s="3"/>
    </row>
    <row r="295" ht="14.25" customHeight="1">
      <c r="A295" s="91"/>
      <c r="B295" s="91"/>
      <c r="C295" s="91"/>
      <c r="D295" s="91"/>
      <c r="E295" s="91"/>
      <c r="F295" s="92"/>
      <c r="G295" s="91"/>
      <c r="H295" s="91"/>
      <c r="I295" s="91"/>
      <c r="J295" s="91"/>
      <c r="K295" s="91"/>
      <c r="L295" s="3"/>
    </row>
    <row r="296" ht="14.25" customHeight="1">
      <c r="A296" s="91"/>
      <c r="B296" s="91"/>
      <c r="C296" s="91"/>
      <c r="D296" s="91"/>
      <c r="E296" s="91"/>
      <c r="F296" s="92"/>
      <c r="G296" s="91"/>
      <c r="H296" s="91"/>
      <c r="I296" s="91"/>
      <c r="J296" s="91"/>
      <c r="K296" s="91"/>
      <c r="L296" s="3"/>
    </row>
    <row r="297" ht="14.25" customHeight="1">
      <c r="A297" s="91"/>
      <c r="B297" s="91"/>
      <c r="C297" s="91"/>
      <c r="D297" s="91"/>
      <c r="E297" s="91"/>
      <c r="F297" s="92"/>
      <c r="G297" s="91"/>
      <c r="H297" s="91"/>
      <c r="I297" s="91"/>
      <c r="J297" s="91"/>
      <c r="K297" s="91"/>
      <c r="L297" s="3"/>
    </row>
    <row r="298" ht="14.25" customHeight="1">
      <c r="A298" s="91"/>
      <c r="B298" s="91"/>
      <c r="C298" s="91"/>
      <c r="D298" s="91"/>
      <c r="E298" s="91"/>
      <c r="F298" s="92"/>
      <c r="G298" s="91"/>
      <c r="H298" s="91"/>
      <c r="I298" s="91"/>
      <c r="J298" s="91"/>
      <c r="K298" s="91"/>
      <c r="L298" s="3"/>
    </row>
    <row r="299" ht="14.25" customHeight="1">
      <c r="A299" s="91"/>
      <c r="B299" s="91"/>
      <c r="C299" s="91"/>
      <c r="D299" s="91"/>
      <c r="E299" s="91"/>
      <c r="F299" s="92"/>
      <c r="G299" s="91"/>
      <c r="H299" s="91"/>
      <c r="I299" s="91"/>
      <c r="J299" s="91"/>
      <c r="K299" s="91"/>
      <c r="L299" s="3"/>
    </row>
    <row r="300" ht="14.25" customHeight="1">
      <c r="A300" s="91"/>
      <c r="B300" s="91"/>
      <c r="C300" s="91"/>
      <c r="D300" s="91"/>
      <c r="E300" s="91"/>
      <c r="F300" s="92"/>
      <c r="G300" s="91"/>
      <c r="H300" s="91"/>
      <c r="I300" s="91"/>
      <c r="J300" s="91"/>
      <c r="K300" s="91"/>
      <c r="L300" s="3"/>
    </row>
    <row r="301" ht="14.25" customHeight="1">
      <c r="A301" s="91"/>
      <c r="B301" s="91"/>
      <c r="C301" s="91"/>
      <c r="D301" s="91"/>
      <c r="E301" s="91"/>
      <c r="F301" s="92"/>
      <c r="G301" s="91"/>
      <c r="H301" s="91"/>
      <c r="I301" s="91"/>
      <c r="J301" s="91"/>
      <c r="K301" s="91"/>
      <c r="L301" s="3"/>
    </row>
    <row r="302" ht="14.25" customHeight="1">
      <c r="A302" s="91"/>
      <c r="B302" s="91"/>
      <c r="C302" s="91"/>
      <c r="D302" s="91"/>
      <c r="E302" s="91"/>
      <c r="F302" s="92"/>
      <c r="G302" s="91"/>
      <c r="H302" s="91"/>
      <c r="I302" s="91"/>
      <c r="J302" s="91"/>
      <c r="K302" s="91"/>
      <c r="L302" s="3"/>
    </row>
    <row r="303" ht="14.25" customHeight="1">
      <c r="A303" s="91"/>
      <c r="B303" s="91"/>
      <c r="C303" s="91"/>
      <c r="D303" s="91"/>
      <c r="E303" s="91"/>
      <c r="F303" s="92"/>
      <c r="G303" s="91"/>
      <c r="H303" s="91"/>
      <c r="I303" s="91"/>
      <c r="J303" s="91"/>
      <c r="K303" s="91"/>
      <c r="L303" s="3"/>
    </row>
    <row r="304" ht="14.25" customHeight="1">
      <c r="A304" s="91"/>
      <c r="B304" s="91"/>
      <c r="C304" s="91"/>
      <c r="D304" s="91"/>
      <c r="E304" s="91"/>
      <c r="F304" s="92"/>
      <c r="G304" s="91"/>
      <c r="H304" s="91"/>
      <c r="I304" s="91"/>
      <c r="J304" s="91"/>
      <c r="K304" s="91"/>
      <c r="L304" s="3"/>
    </row>
    <row r="305" ht="14.25" customHeight="1">
      <c r="A305" s="91"/>
      <c r="B305" s="91"/>
      <c r="C305" s="91"/>
      <c r="D305" s="91"/>
      <c r="E305" s="91"/>
      <c r="F305" s="92"/>
      <c r="G305" s="91"/>
      <c r="H305" s="91"/>
      <c r="I305" s="91"/>
      <c r="J305" s="91"/>
      <c r="K305" s="91"/>
      <c r="L305" s="3"/>
    </row>
    <row r="306" ht="14.25" customHeight="1">
      <c r="A306" s="91"/>
      <c r="B306" s="91"/>
      <c r="C306" s="91"/>
      <c r="D306" s="91"/>
      <c r="E306" s="91"/>
      <c r="F306" s="92"/>
      <c r="G306" s="91"/>
      <c r="H306" s="91"/>
      <c r="I306" s="91"/>
      <c r="J306" s="91"/>
      <c r="K306" s="91"/>
      <c r="L306" s="3"/>
    </row>
    <row r="307" ht="14.25" customHeight="1">
      <c r="A307" s="91"/>
      <c r="B307" s="91"/>
      <c r="C307" s="91"/>
      <c r="D307" s="91"/>
      <c r="E307" s="91"/>
      <c r="F307" s="92"/>
      <c r="G307" s="91"/>
      <c r="H307" s="91"/>
      <c r="I307" s="91"/>
      <c r="J307" s="91"/>
      <c r="K307" s="91"/>
      <c r="L307" s="3"/>
    </row>
    <row r="308" ht="14.25" customHeight="1">
      <c r="A308" s="91"/>
      <c r="B308" s="91"/>
      <c r="C308" s="91"/>
      <c r="D308" s="91"/>
      <c r="E308" s="91"/>
      <c r="F308" s="92"/>
      <c r="G308" s="91"/>
      <c r="H308" s="91"/>
      <c r="I308" s="91"/>
      <c r="J308" s="91"/>
      <c r="K308" s="91"/>
      <c r="L308" s="3"/>
    </row>
    <row r="309" ht="14.25" customHeight="1">
      <c r="A309" s="91"/>
      <c r="B309" s="91"/>
      <c r="C309" s="91"/>
      <c r="D309" s="91"/>
      <c r="E309" s="91"/>
      <c r="F309" s="92"/>
      <c r="G309" s="91"/>
      <c r="H309" s="91"/>
      <c r="I309" s="91"/>
      <c r="J309" s="91"/>
      <c r="K309" s="91"/>
      <c r="L309" s="3"/>
    </row>
    <row r="310" ht="14.25" customHeight="1">
      <c r="A310" s="91"/>
      <c r="B310" s="91"/>
      <c r="C310" s="91"/>
      <c r="D310" s="91"/>
      <c r="E310" s="91"/>
      <c r="F310" s="92"/>
      <c r="G310" s="91"/>
      <c r="H310" s="91"/>
      <c r="I310" s="91"/>
      <c r="J310" s="91"/>
      <c r="K310" s="91"/>
      <c r="L310" s="3"/>
    </row>
    <row r="311" ht="14.25" customHeight="1">
      <c r="A311" s="91"/>
      <c r="B311" s="91"/>
      <c r="C311" s="91"/>
      <c r="D311" s="91"/>
      <c r="E311" s="91"/>
      <c r="F311" s="92"/>
      <c r="G311" s="91"/>
      <c r="H311" s="91"/>
      <c r="I311" s="91"/>
      <c r="J311" s="91"/>
      <c r="K311" s="91"/>
      <c r="L311" s="3"/>
    </row>
    <row r="312" ht="14.25" customHeight="1">
      <c r="A312" s="91"/>
      <c r="B312" s="91"/>
      <c r="C312" s="91"/>
      <c r="D312" s="91"/>
      <c r="E312" s="91"/>
      <c r="F312" s="92"/>
      <c r="G312" s="91"/>
      <c r="H312" s="91"/>
      <c r="I312" s="91"/>
      <c r="J312" s="91"/>
      <c r="K312" s="91"/>
      <c r="L312" s="3"/>
    </row>
    <row r="313" ht="14.25" customHeight="1">
      <c r="A313" s="91"/>
      <c r="B313" s="91"/>
      <c r="C313" s="91"/>
      <c r="D313" s="91"/>
      <c r="E313" s="91"/>
      <c r="F313" s="92"/>
      <c r="G313" s="91"/>
      <c r="H313" s="91"/>
      <c r="I313" s="91"/>
      <c r="J313" s="91"/>
      <c r="K313" s="91"/>
      <c r="L313" s="3"/>
    </row>
    <row r="314" ht="14.25" customHeight="1">
      <c r="A314" s="91"/>
      <c r="B314" s="91"/>
      <c r="C314" s="91"/>
      <c r="D314" s="91"/>
      <c r="E314" s="91"/>
      <c r="F314" s="92"/>
      <c r="G314" s="91"/>
      <c r="H314" s="91"/>
      <c r="I314" s="91"/>
      <c r="J314" s="91"/>
      <c r="K314" s="91"/>
      <c r="L314" s="3"/>
    </row>
    <row r="315" ht="14.25" customHeight="1">
      <c r="A315" s="91"/>
      <c r="B315" s="91"/>
      <c r="C315" s="91"/>
      <c r="D315" s="91"/>
      <c r="E315" s="91"/>
      <c r="F315" s="92"/>
      <c r="G315" s="91"/>
      <c r="H315" s="91"/>
      <c r="I315" s="91"/>
      <c r="J315" s="91"/>
      <c r="K315" s="91"/>
      <c r="L315" s="3"/>
    </row>
    <row r="316" ht="14.25" customHeight="1">
      <c r="A316" s="91"/>
      <c r="B316" s="91"/>
      <c r="C316" s="91"/>
      <c r="D316" s="91"/>
      <c r="E316" s="91"/>
      <c r="F316" s="92"/>
      <c r="G316" s="91"/>
      <c r="H316" s="91"/>
      <c r="I316" s="91"/>
      <c r="J316" s="91"/>
      <c r="K316" s="91"/>
      <c r="L316" s="3"/>
    </row>
    <row r="317" ht="14.25" customHeight="1">
      <c r="A317" s="91"/>
      <c r="B317" s="91"/>
      <c r="C317" s="91"/>
      <c r="D317" s="91"/>
      <c r="E317" s="91"/>
      <c r="F317" s="92"/>
      <c r="G317" s="91"/>
      <c r="H317" s="91"/>
      <c r="I317" s="91"/>
      <c r="J317" s="91"/>
      <c r="K317" s="91"/>
      <c r="L317" s="3"/>
    </row>
    <row r="318" ht="14.25" customHeight="1">
      <c r="A318" s="91"/>
      <c r="B318" s="91"/>
      <c r="C318" s="91"/>
      <c r="D318" s="91"/>
      <c r="E318" s="91"/>
      <c r="F318" s="92"/>
      <c r="G318" s="91"/>
      <c r="H318" s="91"/>
      <c r="I318" s="91"/>
      <c r="J318" s="91"/>
      <c r="K318" s="91"/>
      <c r="L318" s="3"/>
    </row>
    <row r="319" ht="14.25" customHeight="1">
      <c r="A319" s="91"/>
      <c r="B319" s="91"/>
      <c r="C319" s="91"/>
      <c r="D319" s="91"/>
      <c r="E319" s="91"/>
      <c r="F319" s="92"/>
      <c r="G319" s="91"/>
      <c r="H319" s="91"/>
      <c r="I319" s="91"/>
      <c r="J319" s="91"/>
      <c r="K319" s="91"/>
      <c r="L319" s="3"/>
    </row>
    <row r="320" ht="14.25" customHeight="1">
      <c r="A320" s="91"/>
      <c r="B320" s="91"/>
      <c r="C320" s="91"/>
      <c r="D320" s="91"/>
      <c r="E320" s="91"/>
      <c r="F320" s="92"/>
      <c r="G320" s="91"/>
      <c r="H320" s="91"/>
      <c r="I320" s="91"/>
      <c r="J320" s="91"/>
      <c r="K320" s="91"/>
      <c r="L320" s="3"/>
    </row>
    <row r="321" ht="14.25" customHeight="1">
      <c r="A321" s="91"/>
      <c r="B321" s="91"/>
      <c r="C321" s="91"/>
      <c r="D321" s="91"/>
      <c r="E321" s="91"/>
      <c r="F321" s="92"/>
      <c r="G321" s="91"/>
      <c r="H321" s="91"/>
      <c r="I321" s="91"/>
      <c r="J321" s="91"/>
      <c r="K321" s="91"/>
      <c r="L321" s="3"/>
    </row>
    <row r="322" ht="14.25" customHeight="1">
      <c r="A322" s="91"/>
      <c r="B322" s="91"/>
      <c r="C322" s="91"/>
      <c r="D322" s="91"/>
      <c r="E322" s="91"/>
      <c r="F322" s="92"/>
      <c r="G322" s="91"/>
      <c r="H322" s="91"/>
      <c r="I322" s="91"/>
      <c r="J322" s="91"/>
      <c r="K322" s="91"/>
      <c r="L322" s="3"/>
    </row>
    <row r="323" ht="14.25" customHeight="1">
      <c r="A323" s="91"/>
      <c r="B323" s="91"/>
      <c r="C323" s="91"/>
      <c r="D323" s="91"/>
      <c r="E323" s="91"/>
      <c r="F323" s="92"/>
      <c r="G323" s="91"/>
      <c r="H323" s="91"/>
      <c r="I323" s="91"/>
      <c r="J323" s="91"/>
      <c r="K323" s="91"/>
      <c r="L323" s="3"/>
    </row>
    <row r="324" ht="14.25" customHeight="1">
      <c r="A324" s="91"/>
      <c r="B324" s="91"/>
      <c r="C324" s="91"/>
      <c r="D324" s="91"/>
      <c r="E324" s="91"/>
      <c r="F324" s="92"/>
      <c r="G324" s="91"/>
      <c r="H324" s="91"/>
      <c r="I324" s="91"/>
      <c r="J324" s="91"/>
      <c r="K324" s="91"/>
      <c r="L324" s="3"/>
    </row>
    <row r="325" ht="14.25" customHeight="1">
      <c r="A325" s="91"/>
      <c r="B325" s="91"/>
      <c r="C325" s="91"/>
      <c r="D325" s="91"/>
      <c r="E325" s="91"/>
      <c r="F325" s="92"/>
      <c r="G325" s="91"/>
      <c r="H325" s="91"/>
      <c r="I325" s="91"/>
      <c r="J325" s="91"/>
      <c r="K325" s="91"/>
      <c r="L325" s="3"/>
    </row>
    <row r="326" ht="14.25" customHeight="1">
      <c r="A326" s="91"/>
      <c r="B326" s="91"/>
      <c r="C326" s="91"/>
      <c r="D326" s="91"/>
      <c r="E326" s="91"/>
      <c r="F326" s="92"/>
      <c r="G326" s="91"/>
      <c r="H326" s="91"/>
      <c r="I326" s="91"/>
      <c r="J326" s="91"/>
      <c r="K326" s="91"/>
      <c r="L326" s="3"/>
    </row>
    <row r="327" ht="14.25" customHeight="1">
      <c r="A327" s="91"/>
      <c r="B327" s="91"/>
      <c r="C327" s="91"/>
      <c r="D327" s="91"/>
      <c r="E327" s="91"/>
      <c r="F327" s="92"/>
      <c r="G327" s="91"/>
      <c r="H327" s="91"/>
      <c r="I327" s="91"/>
      <c r="J327" s="91"/>
      <c r="K327" s="91"/>
      <c r="L327" s="3"/>
    </row>
    <row r="328" ht="14.25" customHeight="1">
      <c r="A328" s="91"/>
      <c r="B328" s="91"/>
      <c r="C328" s="91"/>
      <c r="D328" s="91"/>
      <c r="E328" s="91"/>
      <c r="F328" s="92"/>
      <c r="G328" s="91"/>
      <c r="H328" s="91"/>
      <c r="I328" s="91"/>
      <c r="J328" s="91"/>
      <c r="K328" s="91"/>
      <c r="L328" s="3"/>
    </row>
    <row r="329" ht="14.25" customHeight="1">
      <c r="A329" s="91"/>
      <c r="B329" s="91"/>
      <c r="C329" s="91"/>
      <c r="D329" s="91"/>
      <c r="E329" s="91"/>
      <c r="F329" s="92"/>
      <c r="G329" s="91"/>
      <c r="H329" s="91"/>
      <c r="I329" s="91"/>
      <c r="J329" s="91"/>
      <c r="K329" s="91"/>
      <c r="L329" s="3"/>
    </row>
    <row r="330" ht="14.25" customHeight="1">
      <c r="A330" s="91"/>
      <c r="B330" s="91"/>
      <c r="C330" s="91"/>
      <c r="D330" s="91"/>
      <c r="E330" s="91"/>
      <c r="F330" s="92"/>
      <c r="G330" s="91"/>
      <c r="H330" s="91"/>
      <c r="I330" s="91"/>
      <c r="J330" s="91"/>
      <c r="K330" s="91"/>
      <c r="L330" s="3"/>
    </row>
    <row r="331" ht="14.25" customHeight="1">
      <c r="A331" s="91"/>
      <c r="B331" s="91"/>
      <c r="C331" s="91"/>
      <c r="D331" s="91"/>
      <c r="E331" s="91"/>
      <c r="F331" s="92"/>
      <c r="G331" s="91"/>
      <c r="H331" s="91"/>
      <c r="I331" s="91"/>
      <c r="J331" s="91"/>
      <c r="K331" s="91"/>
      <c r="L331" s="3"/>
    </row>
    <row r="332" ht="14.25" customHeight="1">
      <c r="A332" s="91"/>
      <c r="B332" s="91"/>
      <c r="C332" s="91"/>
      <c r="D332" s="91"/>
      <c r="E332" s="91"/>
      <c r="F332" s="92"/>
      <c r="G332" s="91"/>
      <c r="H332" s="91"/>
      <c r="I332" s="91"/>
      <c r="J332" s="91"/>
      <c r="K332" s="91"/>
      <c r="L332" s="3"/>
    </row>
    <row r="333" ht="14.25" customHeight="1">
      <c r="A333" s="91"/>
      <c r="B333" s="91"/>
      <c r="C333" s="91"/>
      <c r="D333" s="91"/>
      <c r="E333" s="91"/>
      <c r="F333" s="92"/>
      <c r="G333" s="91"/>
      <c r="H333" s="91"/>
      <c r="I333" s="91"/>
      <c r="J333" s="91"/>
      <c r="K333" s="91"/>
      <c r="L333" s="3"/>
    </row>
    <row r="334" ht="14.25" customHeight="1">
      <c r="A334" s="91"/>
      <c r="B334" s="91"/>
      <c r="C334" s="91"/>
      <c r="D334" s="91"/>
      <c r="E334" s="91"/>
      <c r="F334" s="92"/>
      <c r="G334" s="91"/>
      <c r="H334" s="91"/>
      <c r="I334" s="91"/>
      <c r="J334" s="91"/>
      <c r="K334" s="91"/>
      <c r="L334" s="3"/>
    </row>
    <row r="335" ht="14.25" customHeight="1">
      <c r="A335" s="91"/>
      <c r="B335" s="91"/>
      <c r="C335" s="91"/>
      <c r="D335" s="91"/>
      <c r="E335" s="91"/>
      <c r="F335" s="92"/>
      <c r="G335" s="91"/>
      <c r="H335" s="91"/>
      <c r="I335" s="91"/>
      <c r="J335" s="91"/>
      <c r="K335" s="91"/>
      <c r="L335" s="3"/>
    </row>
    <row r="336" ht="14.25" customHeight="1">
      <c r="A336" s="91"/>
      <c r="B336" s="91"/>
      <c r="C336" s="91"/>
      <c r="D336" s="91"/>
      <c r="E336" s="91"/>
      <c r="F336" s="92"/>
      <c r="G336" s="91"/>
      <c r="H336" s="91"/>
      <c r="I336" s="91"/>
      <c r="J336" s="91"/>
      <c r="K336" s="91"/>
      <c r="L336" s="3"/>
    </row>
    <row r="337" ht="14.25" customHeight="1">
      <c r="A337" s="91"/>
      <c r="B337" s="91"/>
      <c r="C337" s="91"/>
      <c r="D337" s="91"/>
      <c r="E337" s="91"/>
      <c r="F337" s="92"/>
      <c r="G337" s="91"/>
      <c r="H337" s="91"/>
      <c r="I337" s="91"/>
      <c r="J337" s="91"/>
      <c r="K337" s="91"/>
      <c r="L337" s="3"/>
    </row>
    <row r="338" ht="14.25" customHeight="1">
      <c r="A338" s="91"/>
      <c r="B338" s="91"/>
      <c r="C338" s="91"/>
      <c r="D338" s="91"/>
      <c r="E338" s="91"/>
      <c r="F338" s="92"/>
      <c r="G338" s="91"/>
      <c r="H338" s="91"/>
      <c r="I338" s="91"/>
      <c r="J338" s="91"/>
      <c r="K338" s="91"/>
      <c r="L338" s="3"/>
    </row>
    <row r="339" ht="14.25" customHeight="1">
      <c r="A339" s="91"/>
      <c r="B339" s="91"/>
      <c r="C339" s="91"/>
      <c r="D339" s="91"/>
      <c r="E339" s="91"/>
      <c r="F339" s="92"/>
      <c r="G339" s="91"/>
      <c r="H339" s="91"/>
      <c r="I339" s="91"/>
      <c r="J339" s="91"/>
      <c r="K339" s="91"/>
      <c r="L339" s="3"/>
    </row>
    <row r="340" ht="14.25" customHeight="1">
      <c r="A340" s="91"/>
      <c r="B340" s="91"/>
      <c r="C340" s="91"/>
      <c r="D340" s="91"/>
      <c r="E340" s="91"/>
      <c r="F340" s="92"/>
      <c r="G340" s="91"/>
      <c r="H340" s="91"/>
      <c r="I340" s="91"/>
      <c r="J340" s="91"/>
      <c r="K340" s="91"/>
      <c r="L340" s="3"/>
    </row>
    <row r="341" ht="14.25" customHeight="1">
      <c r="A341" s="91"/>
      <c r="B341" s="91"/>
      <c r="C341" s="91"/>
      <c r="D341" s="91"/>
      <c r="E341" s="91"/>
      <c r="F341" s="92"/>
      <c r="G341" s="91"/>
      <c r="H341" s="91"/>
      <c r="I341" s="91"/>
      <c r="J341" s="91"/>
      <c r="K341" s="91"/>
      <c r="L341" s="3"/>
    </row>
    <row r="342" ht="14.25" customHeight="1">
      <c r="A342" s="91"/>
      <c r="B342" s="91"/>
      <c r="C342" s="91"/>
      <c r="D342" s="91"/>
      <c r="E342" s="91"/>
      <c r="F342" s="92"/>
      <c r="G342" s="91"/>
      <c r="H342" s="91"/>
      <c r="I342" s="91"/>
      <c r="J342" s="91"/>
      <c r="K342" s="91"/>
      <c r="L342" s="3"/>
    </row>
    <row r="343" ht="14.25" customHeight="1">
      <c r="A343" s="91"/>
      <c r="B343" s="91"/>
      <c r="C343" s="91"/>
      <c r="D343" s="91"/>
      <c r="E343" s="91"/>
      <c r="F343" s="92"/>
      <c r="G343" s="91"/>
      <c r="H343" s="91"/>
      <c r="I343" s="91"/>
      <c r="J343" s="91"/>
      <c r="K343" s="91"/>
      <c r="L343" s="3"/>
    </row>
    <row r="344" ht="14.25" customHeight="1">
      <c r="A344" s="91"/>
      <c r="B344" s="91"/>
      <c r="C344" s="91"/>
      <c r="D344" s="91"/>
      <c r="E344" s="91"/>
      <c r="F344" s="92"/>
      <c r="G344" s="91"/>
      <c r="H344" s="91"/>
      <c r="I344" s="91"/>
      <c r="J344" s="91"/>
      <c r="K344" s="91"/>
      <c r="L344" s="3"/>
    </row>
    <row r="345" ht="14.25" customHeight="1">
      <c r="A345" s="91"/>
      <c r="B345" s="91"/>
      <c r="C345" s="91"/>
      <c r="D345" s="91"/>
      <c r="E345" s="91"/>
      <c r="F345" s="92"/>
      <c r="G345" s="91"/>
      <c r="H345" s="91"/>
      <c r="I345" s="91"/>
      <c r="J345" s="91"/>
      <c r="K345" s="91"/>
      <c r="L345" s="3"/>
    </row>
    <row r="346" ht="14.25" customHeight="1">
      <c r="A346" s="91"/>
      <c r="B346" s="91"/>
      <c r="C346" s="91"/>
      <c r="D346" s="91"/>
      <c r="E346" s="91"/>
      <c r="F346" s="92"/>
      <c r="G346" s="91"/>
      <c r="H346" s="91"/>
      <c r="I346" s="91"/>
      <c r="J346" s="91"/>
      <c r="K346" s="91"/>
      <c r="L346" s="3"/>
    </row>
    <row r="347" ht="14.25" customHeight="1">
      <c r="A347" s="91"/>
      <c r="B347" s="91"/>
      <c r="C347" s="91"/>
      <c r="D347" s="91"/>
      <c r="E347" s="91"/>
      <c r="F347" s="92"/>
      <c r="G347" s="91"/>
      <c r="H347" s="91"/>
      <c r="I347" s="91"/>
      <c r="J347" s="91"/>
      <c r="K347" s="91"/>
      <c r="L347" s="3"/>
    </row>
    <row r="348" ht="14.25" customHeight="1">
      <c r="A348" s="91"/>
      <c r="B348" s="91"/>
      <c r="C348" s="91"/>
      <c r="D348" s="91"/>
      <c r="E348" s="91"/>
      <c r="F348" s="92"/>
      <c r="G348" s="91"/>
      <c r="H348" s="91"/>
      <c r="I348" s="91"/>
      <c r="J348" s="91"/>
      <c r="K348" s="91"/>
      <c r="L348" s="3"/>
    </row>
    <row r="349" ht="14.25" customHeight="1">
      <c r="A349" s="91"/>
      <c r="B349" s="91"/>
      <c r="C349" s="91"/>
      <c r="D349" s="91"/>
      <c r="E349" s="91"/>
      <c r="F349" s="92"/>
      <c r="G349" s="91"/>
      <c r="H349" s="91"/>
      <c r="I349" s="91"/>
      <c r="J349" s="91"/>
      <c r="K349" s="91"/>
      <c r="L349" s="3"/>
    </row>
    <row r="350" ht="14.25" customHeight="1">
      <c r="A350" s="91"/>
      <c r="B350" s="91"/>
      <c r="C350" s="91"/>
      <c r="D350" s="91"/>
      <c r="E350" s="91"/>
      <c r="F350" s="92"/>
      <c r="G350" s="91"/>
      <c r="H350" s="91"/>
      <c r="I350" s="91"/>
      <c r="J350" s="91"/>
      <c r="K350" s="91"/>
      <c r="L350" s="3"/>
    </row>
    <row r="351" ht="14.25" customHeight="1">
      <c r="A351" s="91"/>
      <c r="B351" s="91"/>
      <c r="C351" s="91"/>
      <c r="D351" s="91"/>
      <c r="E351" s="91"/>
      <c r="F351" s="92"/>
      <c r="G351" s="91"/>
      <c r="H351" s="91"/>
      <c r="I351" s="91"/>
      <c r="J351" s="91"/>
      <c r="K351" s="91"/>
      <c r="L351" s="3"/>
    </row>
    <row r="352" ht="14.25" customHeight="1">
      <c r="A352" s="91"/>
      <c r="B352" s="91"/>
      <c r="C352" s="91"/>
      <c r="D352" s="91"/>
      <c r="E352" s="91"/>
      <c r="F352" s="92"/>
      <c r="G352" s="91"/>
      <c r="H352" s="91"/>
      <c r="I352" s="91"/>
      <c r="J352" s="91"/>
      <c r="K352" s="91"/>
      <c r="L352" s="3"/>
    </row>
    <row r="353" ht="14.25" customHeight="1">
      <c r="A353" s="91"/>
      <c r="B353" s="91"/>
      <c r="C353" s="91"/>
      <c r="D353" s="91"/>
      <c r="E353" s="91"/>
      <c r="F353" s="92"/>
      <c r="G353" s="91"/>
      <c r="H353" s="91"/>
      <c r="I353" s="91"/>
      <c r="J353" s="91"/>
      <c r="K353" s="91"/>
      <c r="L353" s="3"/>
    </row>
    <row r="354" ht="14.25" customHeight="1">
      <c r="A354" s="91"/>
      <c r="B354" s="91"/>
      <c r="C354" s="91"/>
      <c r="D354" s="91"/>
      <c r="E354" s="91"/>
      <c r="F354" s="92"/>
      <c r="G354" s="91"/>
      <c r="H354" s="91"/>
      <c r="I354" s="91"/>
      <c r="J354" s="91"/>
      <c r="K354" s="91"/>
      <c r="L354" s="3"/>
    </row>
    <row r="355" ht="14.25" customHeight="1">
      <c r="A355" s="91"/>
      <c r="B355" s="91"/>
      <c r="C355" s="91"/>
      <c r="D355" s="91"/>
      <c r="E355" s="91"/>
      <c r="F355" s="92"/>
      <c r="G355" s="91"/>
      <c r="H355" s="91"/>
      <c r="I355" s="91"/>
      <c r="J355" s="91"/>
      <c r="K355" s="91"/>
      <c r="L355" s="3"/>
    </row>
    <row r="356" ht="14.25" customHeight="1">
      <c r="A356" s="91"/>
      <c r="B356" s="91"/>
      <c r="C356" s="91"/>
      <c r="D356" s="91"/>
      <c r="E356" s="91"/>
      <c r="F356" s="92"/>
      <c r="G356" s="91"/>
      <c r="H356" s="91"/>
      <c r="I356" s="91"/>
      <c r="J356" s="91"/>
      <c r="K356" s="91"/>
      <c r="L356" s="3"/>
    </row>
    <row r="357" ht="14.25" customHeight="1">
      <c r="A357" s="91"/>
      <c r="B357" s="91"/>
      <c r="C357" s="91"/>
      <c r="D357" s="91"/>
      <c r="E357" s="91"/>
      <c r="F357" s="92"/>
      <c r="G357" s="91"/>
      <c r="H357" s="91"/>
      <c r="I357" s="91"/>
      <c r="J357" s="91"/>
      <c r="K357" s="91"/>
      <c r="L357" s="3"/>
    </row>
    <row r="358" ht="14.25" customHeight="1">
      <c r="A358" s="91"/>
      <c r="B358" s="91"/>
      <c r="C358" s="91"/>
      <c r="D358" s="91"/>
      <c r="E358" s="91"/>
      <c r="F358" s="92"/>
      <c r="G358" s="91"/>
      <c r="H358" s="91"/>
      <c r="I358" s="91"/>
      <c r="J358" s="91"/>
      <c r="K358" s="91"/>
      <c r="L358" s="3"/>
    </row>
    <row r="359" ht="14.25" customHeight="1">
      <c r="A359" s="91"/>
      <c r="B359" s="91"/>
      <c r="C359" s="91"/>
      <c r="D359" s="91"/>
      <c r="E359" s="91"/>
      <c r="F359" s="92"/>
      <c r="G359" s="91"/>
      <c r="H359" s="91"/>
      <c r="I359" s="91"/>
      <c r="J359" s="91"/>
      <c r="K359" s="91"/>
      <c r="L359" s="3"/>
    </row>
    <row r="360" ht="14.25" customHeight="1">
      <c r="A360" s="91"/>
      <c r="B360" s="91"/>
      <c r="C360" s="91"/>
      <c r="D360" s="91"/>
      <c r="E360" s="91"/>
      <c r="F360" s="92"/>
      <c r="G360" s="91"/>
      <c r="H360" s="91"/>
      <c r="I360" s="91"/>
      <c r="J360" s="91"/>
      <c r="K360" s="91"/>
      <c r="L360" s="3"/>
    </row>
    <row r="361" ht="14.25" customHeight="1">
      <c r="A361" s="91"/>
      <c r="B361" s="91"/>
      <c r="C361" s="91"/>
      <c r="D361" s="91"/>
      <c r="E361" s="91"/>
      <c r="F361" s="92"/>
      <c r="G361" s="91"/>
      <c r="H361" s="91"/>
      <c r="I361" s="91"/>
      <c r="J361" s="91"/>
      <c r="K361" s="91"/>
      <c r="L361" s="3"/>
    </row>
    <row r="362" ht="14.25" customHeight="1">
      <c r="A362" s="91"/>
      <c r="B362" s="91"/>
      <c r="C362" s="91"/>
      <c r="D362" s="91"/>
      <c r="E362" s="91"/>
      <c r="F362" s="92"/>
      <c r="G362" s="91"/>
      <c r="H362" s="91"/>
      <c r="I362" s="91"/>
      <c r="J362" s="91"/>
      <c r="K362" s="91"/>
      <c r="L362" s="3"/>
    </row>
    <row r="363" ht="14.25" customHeight="1">
      <c r="A363" s="91"/>
      <c r="B363" s="91"/>
      <c r="C363" s="91"/>
      <c r="D363" s="91"/>
      <c r="E363" s="91"/>
      <c r="F363" s="92"/>
      <c r="G363" s="91"/>
      <c r="H363" s="91"/>
      <c r="I363" s="91"/>
      <c r="J363" s="91"/>
      <c r="K363" s="91"/>
      <c r="L363" s="3"/>
    </row>
    <row r="364" ht="14.25" customHeight="1">
      <c r="A364" s="91"/>
      <c r="B364" s="91"/>
      <c r="C364" s="91"/>
      <c r="D364" s="91"/>
      <c r="E364" s="91"/>
      <c r="F364" s="92"/>
      <c r="G364" s="91"/>
      <c r="H364" s="91"/>
      <c r="I364" s="91"/>
      <c r="J364" s="91"/>
      <c r="K364" s="91"/>
      <c r="L364" s="3"/>
    </row>
    <row r="365" ht="14.25" customHeight="1">
      <c r="A365" s="91"/>
      <c r="B365" s="91"/>
      <c r="C365" s="91"/>
      <c r="D365" s="91"/>
      <c r="E365" s="91"/>
      <c r="F365" s="92"/>
      <c r="G365" s="91"/>
      <c r="H365" s="91"/>
      <c r="I365" s="91"/>
      <c r="J365" s="91"/>
      <c r="K365" s="91"/>
      <c r="L365" s="3"/>
    </row>
    <row r="366" ht="14.25" customHeight="1">
      <c r="A366" s="91"/>
      <c r="B366" s="91"/>
      <c r="C366" s="91"/>
      <c r="D366" s="91"/>
      <c r="E366" s="91"/>
      <c r="F366" s="92"/>
      <c r="G366" s="91"/>
      <c r="H366" s="91"/>
      <c r="I366" s="91"/>
      <c r="J366" s="91"/>
      <c r="K366" s="91"/>
      <c r="L366" s="3"/>
    </row>
    <row r="367" ht="14.25" customHeight="1">
      <c r="A367" s="91"/>
      <c r="B367" s="91"/>
      <c r="C367" s="91"/>
      <c r="D367" s="91"/>
      <c r="E367" s="91"/>
      <c r="F367" s="92"/>
      <c r="G367" s="91"/>
      <c r="H367" s="91"/>
      <c r="I367" s="91"/>
      <c r="J367" s="91"/>
      <c r="K367" s="91"/>
      <c r="L367" s="3"/>
    </row>
    <row r="368" ht="14.25" customHeight="1">
      <c r="A368" s="91"/>
      <c r="B368" s="91"/>
      <c r="C368" s="91"/>
      <c r="D368" s="91"/>
      <c r="E368" s="91"/>
      <c r="F368" s="92"/>
      <c r="G368" s="91"/>
      <c r="H368" s="91"/>
      <c r="I368" s="91"/>
      <c r="J368" s="91"/>
      <c r="K368" s="91"/>
      <c r="L368" s="3"/>
    </row>
    <row r="369" ht="14.25" customHeight="1">
      <c r="A369" s="91"/>
      <c r="B369" s="91"/>
      <c r="C369" s="91"/>
      <c r="D369" s="91"/>
      <c r="E369" s="91"/>
      <c r="F369" s="92"/>
      <c r="G369" s="91"/>
      <c r="H369" s="91"/>
      <c r="I369" s="91"/>
      <c r="J369" s="91"/>
      <c r="K369" s="91"/>
      <c r="L369" s="3"/>
    </row>
    <row r="370" ht="14.25" customHeight="1">
      <c r="A370" s="91"/>
      <c r="B370" s="91"/>
      <c r="C370" s="91"/>
      <c r="D370" s="91"/>
      <c r="E370" s="91"/>
      <c r="F370" s="92"/>
      <c r="G370" s="91"/>
      <c r="H370" s="91"/>
      <c r="I370" s="91"/>
      <c r="J370" s="91"/>
      <c r="K370" s="91"/>
      <c r="L370" s="3"/>
    </row>
    <row r="371" ht="14.25" customHeight="1">
      <c r="A371" s="91"/>
      <c r="B371" s="91"/>
      <c r="C371" s="91"/>
      <c r="D371" s="91"/>
      <c r="E371" s="91"/>
      <c r="F371" s="92"/>
      <c r="G371" s="91"/>
      <c r="H371" s="91"/>
      <c r="I371" s="91"/>
      <c r="J371" s="91"/>
      <c r="K371" s="91"/>
      <c r="L371" s="3"/>
    </row>
    <row r="372" ht="14.25" customHeight="1">
      <c r="A372" s="91"/>
      <c r="B372" s="91"/>
      <c r="C372" s="91"/>
      <c r="D372" s="91"/>
      <c r="E372" s="91"/>
      <c r="F372" s="92"/>
      <c r="G372" s="91"/>
      <c r="H372" s="91"/>
      <c r="I372" s="91"/>
      <c r="J372" s="91"/>
      <c r="K372" s="91"/>
      <c r="L372" s="3"/>
    </row>
    <row r="373" ht="14.25" customHeight="1">
      <c r="A373" s="91"/>
      <c r="B373" s="91"/>
      <c r="C373" s="91"/>
      <c r="D373" s="91"/>
      <c r="E373" s="91"/>
      <c r="F373" s="92"/>
      <c r="G373" s="91"/>
      <c r="H373" s="91"/>
      <c r="I373" s="91"/>
      <c r="J373" s="91"/>
      <c r="K373" s="91"/>
      <c r="L373" s="3"/>
    </row>
    <row r="374" ht="14.25" customHeight="1">
      <c r="A374" s="91"/>
      <c r="B374" s="91"/>
      <c r="C374" s="91"/>
      <c r="D374" s="91"/>
      <c r="E374" s="91"/>
      <c r="F374" s="92"/>
      <c r="G374" s="91"/>
      <c r="H374" s="91"/>
      <c r="I374" s="91"/>
      <c r="J374" s="91"/>
      <c r="K374" s="91"/>
      <c r="L374" s="3"/>
    </row>
    <row r="375" ht="14.25" customHeight="1">
      <c r="A375" s="91"/>
      <c r="B375" s="91"/>
      <c r="C375" s="91"/>
      <c r="D375" s="91"/>
      <c r="E375" s="91"/>
      <c r="F375" s="92"/>
      <c r="G375" s="91"/>
      <c r="H375" s="91"/>
      <c r="I375" s="91"/>
      <c r="J375" s="91"/>
      <c r="K375" s="91"/>
      <c r="L375" s="3"/>
    </row>
    <row r="376" ht="14.25" customHeight="1">
      <c r="A376" s="91"/>
      <c r="B376" s="91"/>
      <c r="C376" s="91"/>
      <c r="D376" s="91"/>
      <c r="E376" s="91"/>
      <c r="F376" s="92"/>
      <c r="G376" s="91"/>
      <c r="H376" s="91"/>
      <c r="I376" s="91"/>
      <c r="J376" s="91"/>
      <c r="K376" s="91"/>
      <c r="L376" s="3"/>
    </row>
    <row r="377" ht="14.25" customHeight="1">
      <c r="A377" s="91"/>
      <c r="B377" s="91"/>
      <c r="C377" s="91"/>
      <c r="D377" s="91"/>
      <c r="E377" s="91"/>
      <c r="F377" s="92"/>
      <c r="G377" s="91"/>
      <c r="H377" s="91"/>
      <c r="I377" s="91"/>
      <c r="J377" s="91"/>
      <c r="K377" s="91"/>
      <c r="L377" s="3"/>
    </row>
    <row r="378" ht="14.25" customHeight="1">
      <c r="A378" s="91"/>
      <c r="B378" s="91"/>
      <c r="C378" s="91"/>
      <c r="D378" s="91"/>
      <c r="E378" s="91"/>
      <c r="F378" s="92"/>
      <c r="G378" s="91"/>
      <c r="H378" s="91"/>
      <c r="I378" s="91"/>
      <c r="J378" s="91"/>
      <c r="K378" s="91"/>
      <c r="L378" s="3"/>
    </row>
    <row r="379" ht="14.25" customHeight="1">
      <c r="A379" s="91"/>
      <c r="B379" s="91"/>
      <c r="C379" s="91"/>
      <c r="D379" s="91"/>
      <c r="E379" s="91"/>
      <c r="F379" s="92"/>
      <c r="G379" s="91"/>
      <c r="H379" s="91"/>
      <c r="I379" s="91"/>
      <c r="J379" s="91"/>
      <c r="K379" s="91"/>
      <c r="L379" s="3"/>
    </row>
    <row r="380" ht="14.25" customHeight="1">
      <c r="A380" s="91"/>
      <c r="B380" s="91"/>
      <c r="C380" s="91"/>
      <c r="D380" s="91"/>
      <c r="E380" s="91"/>
      <c r="F380" s="92"/>
      <c r="G380" s="91"/>
      <c r="H380" s="91"/>
      <c r="I380" s="91"/>
      <c r="J380" s="91"/>
      <c r="K380" s="91"/>
      <c r="L380" s="3"/>
    </row>
    <row r="381" ht="14.25" customHeight="1">
      <c r="A381" s="91"/>
      <c r="B381" s="91"/>
      <c r="C381" s="91"/>
      <c r="D381" s="91"/>
      <c r="E381" s="91"/>
      <c r="F381" s="92"/>
      <c r="G381" s="91"/>
      <c r="H381" s="91"/>
      <c r="I381" s="91"/>
      <c r="J381" s="91"/>
      <c r="K381" s="91"/>
      <c r="L381" s="3"/>
    </row>
    <row r="382" ht="14.25" customHeight="1">
      <c r="A382" s="91"/>
      <c r="B382" s="91"/>
      <c r="C382" s="91"/>
      <c r="D382" s="91"/>
      <c r="E382" s="91"/>
      <c r="F382" s="92"/>
      <c r="G382" s="91"/>
      <c r="H382" s="91"/>
      <c r="I382" s="91"/>
      <c r="J382" s="91"/>
      <c r="K382" s="91"/>
      <c r="L382" s="3"/>
    </row>
    <row r="383" ht="14.25" customHeight="1">
      <c r="A383" s="91"/>
      <c r="B383" s="91"/>
      <c r="C383" s="91"/>
      <c r="D383" s="91"/>
      <c r="E383" s="91"/>
      <c r="F383" s="92"/>
      <c r="G383" s="91"/>
      <c r="H383" s="91"/>
      <c r="I383" s="91"/>
      <c r="J383" s="91"/>
      <c r="K383" s="91"/>
      <c r="L383" s="3"/>
    </row>
    <row r="384" ht="14.25" customHeight="1">
      <c r="A384" s="91"/>
      <c r="B384" s="91"/>
      <c r="C384" s="91"/>
      <c r="D384" s="91"/>
      <c r="E384" s="91"/>
      <c r="F384" s="92"/>
      <c r="G384" s="91"/>
      <c r="H384" s="91"/>
      <c r="I384" s="91"/>
      <c r="J384" s="91"/>
      <c r="K384" s="91"/>
      <c r="L384" s="3"/>
    </row>
    <row r="385" ht="14.25" customHeight="1">
      <c r="A385" s="91"/>
      <c r="B385" s="91"/>
      <c r="C385" s="91"/>
      <c r="D385" s="91"/>
      <c r="E385" s="91"/>
      <c r="F385" s="92"/>
      <c r="G385" s="91"/>
      <c r="H385" s="91"/>
      <c r="I385" s="91"/>
      <c r="J385" s="91"/>
      <c r="K385" s="91"/>
      <c r="L385" s="3"/>
    </row>
    <row r="386" ht="14.25" customHeight="1">
      <c r="A386" s="91"/>
      <c r="B386" s="91"/>
      <c r="C386" s="91"/>
      <c r="D386" s="91"/>
      <c r="E386" s="91"/>
      <c r="F386" s="92"/>
      <c r="G386" s="91"/>
      <c r="H386" s="91"/>
      <c r="I386" s="91"/>
      <c r="J386" s="91"/>
      <c r="K386" s="91"/>
      <c r="L386" s="3"/>
    </row>
    <row r="387" ht="14.25" customHeight="1">
      <c r="A387" s="91"/>
      <c r="B387" s="91"/>
      <c r="C387" s="91"/>
      <c r="D387" s="91"/>
      <c r="E387" s="91"/>
      <c r="F387" s="92"/>
      <c r="G387" s="91"/>
      <c r="H387" s="91"/>
      <c r="I387" s="91"/>
      <c r="J387" s="91"/>
      <c r="K387" s="91"/>
      <c r="L387" s="3"/>
    </row>
    <row r="388" ht="14.25" customHeight="1">
      <c r="A388" s="91"/>
      <c r="B388" s="91"/>
      <c r="C388" s="91"/>
      <c r="D388" s="91"/>
      <c r="E388" s="91"/>
      <c r="F388" s="92"/>
      <c r="G388" s="91"/>
      <c r="H388" s="91"/>
      <c r="I388" s="91"/>
      <c r="J388" s="91"/>
      <c r="K388" s="91"/>
      <c r="L388" s="3"/>
    </row>
    <row r="389" ht="14.25" customHeight="1">
      <c r="A389" s="91"/>
      <c r="B389" s="91"/>
      <c r="C389" s="91"/>
      <c r="D389" s="91"/>
      <c r="E389" s="91"/>
      <c r="F389" s="92"/>
      <c r="G389" s="91"/>
      <c r="H389" s="91"/>
      <c r="I389" s="91"/>
      <c r="J389" s="91"/>
      <c r="K389" s="91"/>
      <c r="L389" s="3"/>
    </row>
    <row r="390" ht="14.25" customHeight="1">
      <c r="A390" s="91"/>
      <c r="B390" s="91"/>
      <c r="C390" s="91"/>
      <c r="D390" s="91"/>
      <c r="E390" s="91"/>
      <c r="F390" s="92"/>
      <c r="G390" s="91"/>
      <c r="H390" s="91"/>
      <c r="I390" s="91"/>
      <c r="J390" s="91"/>
      <c r="K390" s="91"/>
      <c r="L390" s="3"/>
    </row>
    <row r="391" ht="14.25" customHeight="1">
      <c r="A391" s="91"/>
      <c r="B391" s="91"/>
      <c r="C391" s="91"/>
      <c r="D391" s="91"/>
      <c r="E391" s="91"/>
      <c r="F391" s="92"/>
      <c r="G391" s="91"/>
      <c r="H391" s="91"/>
      <c r="I391" s="91"/>
      <c r="J391" s="91"/>
      <c r="K391" s="91"/>
      <c r="L391" s="3"/>
    </row>
    <row r="392" ht="14.25" customHeight="1">
      <c r="A392" s="91"/>
      <c r="B392" s="91"/>
      <c r="C392" s="91"/>
      <c r="D392" s="91"/>
      <c r="E392" s="91"/>
      <c r="F392" s="92"/>
      <c r="G392" s="91"/>
      <c r="H392" s="91"/>
      <c r="I392" s="91"/>
      <c r="J392" s="91"/>
      <c r="K392" s="91"/>
      <c r="L392" s="3"/>
    </row>
    <row r="393" ht="14.25" customHeight="1">
      <c r="A393" s="91"/>
      <c r="B393" s="91"/>
      <c r="C393" s="91"/>
      <c r="D393" s="91"/>
      <c r="E393" s="91"/>
      <c r="F393" s="92"/>
      <c r="G393" s="91"/>
      <c r="H393" s="91"/>
      <c r="I393" s="91"/>
      <c r="J393" s="91"/>
      <c r="K393" s="91"/>
      <c r="L393" s="3"/>
    </row>
    <row r="394" ht="14.25" customHeight="1">
      <c r="A394" s="91"/>
      <c r="B394" s="91"/>
      <c r="C394" s="91"/>
      <c r="D394" s="91"/>
      <c r="E394" s="91"/>
      <c r="F394" s="92"/>
      <c r="G394" s="91"/>
      <c r="H394" s="91"/>
      <c r="I394" s="91"/>
      <c r="J394" s="91"/>
      <c r="K394" s="91"/>
      <c r="L394" s="3"/>
    </row>
    <row r="395" ht="14.25" customHeight="1">
      <c r="A395" s="91"/>
      <c r="B395" s="91"/>
      <c r="C395" s="91"/>
      <c r="D395" s="91"/>
      <c r="E395" s="91"/>
      <c r="F395" s="92"/>
      <c r="G395" s="91"/>
      <c r="H395" s="91"/>
      <c r="I395" s="91"/>
      <c r="J395" s="91"/>
      <c r="K395" s="91"/>
      <c r="L395" s="3"/>
    </row>
    <row r="396" ht="14.25" customHeight="1">
      <c r="A396" s="91"/>
      <c r="B396" s="91"/>
      <c r="C396" s="91"/>
      <c r="D396" s="91"/>
      <c r="E396" s="91"/>
      <c r="F396" s="92"/>
      <c r="G396" s="91"/>
      <c r="H396" s="91"/>
      <c r="I396" s="91"/>
      <c r="J396" s="91"/>
      <c r="K396" s="91"/>
      <c r="L396" s="3"/>
    </row>
    <row r="397" ht="14.25" customHeight="1">
      <c r="A397" s="91"/>
      <c r="B397" s="91"/>
      <c r="C397" s="91"/>
      <c r="D397" s="91"/>
      <c r="E397" s="91"/>
      <c r="F397" s="92"/>
      <c r="G397" s="91"/>
      <c r="H397" s="91"/>
      <c r="I397" s="91"/>
      <c r="J397" s="91"/>
      <c r="K397" s="91"/>
      <c r="L397" s="3"/>
    </row>
    <row r="398" ht="14.25" customHeight="1">
      <c r="A398" s="91"/>
      <c r="B398" s="91"/>
      <c r="C398" s="91"/>
      <c r="D398" s="91"/>
      <c r="E398" s="91"/>
      <c r="F398" s="92"/>
      <c r="G398" s="91"/>
      <c r="H398" s="91"/>
      <c r="I398" s="91"/>
      <c r="J398" s="91"/>
      <c r="K398" s="91"/>
      <c r="L398" s="3"/>
    </row>
    <row r="399" ht="14.25" customHeight="1">
      <c r="A399" s="91"/>
      <c r="B399" s="91"/>
      <c r="C399" s="91"/>
      <c r="D399" s="91"/>
      <c r="E399" s="91"/>
      <c r="F399" s="92"/>
      <c r="G399" s="91"/>
      <c r="H399" s="91"/>
      <c r="I399" s="91"/>
      <c r="J399" s="91"/>
      <c r="K399" s="91"/>
      <c r="L399" s="3"/>
    </row>
    <row r="400" ht="14.25" customHeight="1">
      <c r="A400" s="91"/>
      <c r="B400" s="91"/>
      <c r="C400" s="91"/>
      <c r="D400" s="91"/>
      <c r="E400" s="91"/>
      <c r="F400" s="92"/>
      <c r="G400" s="91"/>
      <c r="H400" s="91"/>
      <c r="I400" s="91"/>
      <c r="J400" s="91"/>
      <c r="K400" s="91"/>
      <c r="L400" s="3"/>
    </row>
    <row r="401" ht="14.25" customHeight="1">
      <c r="A401" s="91"/>
      <c r="B401" s="91"/>
      <c r="C401" s="91"/>
      <c r="D401" s="91"/>
      <c r="E401" s="91"/>
      <c r="F401" s="92"/>
      <c r="G401" s="91"/>
      <c r="H401" s="91"/>
      <c r="I401" s="91"/>
      <c r="J401" s="91"/>
      <c r="K401" s="91"/>
      <c r="L401" s="3"/>
    </row>
    <row r="402" ht="14.25" customHeight="1">
      <c r="A402" s="91"/>
      <c r="B402" s="91"/>
      <c r="C402" s="91"/>
      <c r="D402" s="91"/>
      <c r="E402" s="91"/>
      <c r="F402" s="92"/>
      <c r="G402" s="91"/>
      <c r="H402" s="91"/>
      <c r="I402" s="91"/>
      <c r="J402" s="91"/>
      <c r="K402" s="91"/>
      <c r="L402" s="3"/>
    </row>
    <row r="403" ht="14.25" customHeight="1">
      <c r="A403" s="91"/>
      <c r="B403" s="91"/>
      <c r="C403" s="91"/>
      <c r="D403" s="91"/>
      <c r="E403" s="91"/>
      <c r="F403" s="92"/>
      <c r="G403" s="91"/>
      <c r="H403" s="91"/>
      <c r="I403" s="91"/>
      <c r="J403" s="91"/>
      <c r="K403" s="91"/>
      <c r="L403" s="3"/>
    </row>
    <row r="404" ht="14.25" customHeight="1">
      <c r="A404" s="91"/>
      <c r="B404" s="91"/>
      <c r="C404" s="91"/>
      <c r="D404" s="91"/>
      <c r="E404" s="91"/>
      <c r="F404" s="92"/>
      <c r="G404" s="91"/>
      <c r="H404" s="91"/>
      <c r="I404" s="91"/>
      <c r="J404" s="91"/>
      <c r="K404" s="91"/>
      <c r="L404" s="3"/>
    </row>
    <row r="405" ht="14.25" customHeight="1">
      <c r="A405" s="91"/>
      <c r="B405" s="91"/>
      <c r="C405" s="91"/>
      <c r="D405" s="91"/>
      <c r="E405" s="91"/>
      <c r="F405" s="92"/>
      <c r="G405" s="91"/>
      <c r="H405" s="91"/>
      <c r="I405" s="91"/>
      <c r="J405" s="91"/>
      <c r="K405" s="91"/>
      <c r="L405" s="3"/>
    </row>
    <row r="406" ht="14.25" customHeight="1">
      <c r="A406" s="91"/>
      <c r="B406" s="91"/>
      <c r="C406" s="91"/>
      <c r="D406" s="91"/>
      <c r="E406" s="91"/>
      <c r="F406" s="92"/>
      <c r="G406" s="91"/>
      <c r="H406" s="91"/>
      <c r="I406" s="91"/>
      <c r="J406" s="91"/>
      <c r="K406" s="91"/>
      <c r="L406" s="3"/>
    </row>
    <row r="407" ht="14.25" customHeight="1">
      <c r="A407" s="91"/>
      <c r="B407" s="91"/>
      <c r="C407" s="91"/>
      <c r="D407" s="91"/>
      <c r="E407" s="91"/>
      <c r="F407" s="92"/>
      <c r="G407" s="91"/>
      <c r="H407" s="91"/>
      <c r="I407" s="91"/>
      <c r="J407" s="91"/>
      <c r="K407" s="91"/>
      <c r="L407" s="3"/>
    </row>
    <row r="408" ht="14.25" customHeight="1">
      <c r="A408" s="91"/>
      <c r="B408" s="91"/>
      <c r="C408" s="91"/>
      <c r="D408" s="91"/>
      <c r="E408" s="91"/>
      <c r="F408" s="92"/>
      <c r="G408" s="91"/>
      <c r="H408" s="91"/>
      <c r="I408" s="91"/>
      <c r="J408" s="91"/>
      <c r="K408" s="91"/>
      <c r="L408" s="3"/>
    </row>
    <row r="409" ht="14.25" customHeight="1">
      <c r="A409" s="91"/>
      <c r="B409" s="91"/>
      <c r="C409" s="91"/>
      <c r="D409" s="91"/>
      <c r="E409" s="91"/>
      <c r="F409" s="92"/>
      <c r="G409" s="91"/>
      <c r="H409" s="91"/>
      <c r="I409" s="91"/>
      <c r="J409" s="91"/>
      <c r="K409" s="91"/>
      <c r="L409" s="3"/>
    </row>
    <row r="410" ht="14.25" customHeight="1">
      <c r="A410" s="91"/>
      <c r="B410" s="91"/>
      <c r="C410" s="91"/>
      <c r="D410" s="91"/>
      <c r="E410" s="91"/>
      <c r="F410" s="92"/>
      <c r="G410" s="91"/>
      <c r="H410" s="91"/>
      <c r="I410" s="91"/>
      <c r="J410" s="91"/>
      <c r="K410" s="91"/>
      <c r="L410" s="3"/>
    </row>
    <row r="411" ht="14.25" customHeight="1">
      <c r="A411" s="91"/>
      <c r="B411" s="91"/>
      <c r="C411" s="91"/>
      <c r="D411" s="91"/>
      <c r="E411" s="91"/>
      <c r="F411" s="92"/>
      <c r="G411" s="91"/>
      <c r="H411" s="91"/>
      <c r="I411" s="91"/>
      <c r="J411" s="91"/>
      <c r="K411" s="91"/>
      <c r="L411" s="3"/>
    </row>
    <row r="412" ht="14.25" customHeight="1">
      <c r="A412" s="91"/>
      <c r="B412" s="91"/>
      <c r="C412" s="91"/>
      <c r="D412" s="91"/>
      <c r="E412" s="91"/>
      <c r="F412" s="92"/>
      <c r="G412" s="91"/>
      <c r="H412" s="91"/>
      <c r="I412" s="91"/>
      <c r="J412" s="91"/>
      <c r="K412" s="91"/>
      <c r="L412" s="3"/>
    </row>
    <row r="413" ht="14.25" customHeight="1">
      <c r="A413" s="91"/>
      <c r="B413" s="91"/>
      <c r="C413" s="91"/>
      <c r="D413" s="91"/>
      <c r="E413" s="91"/>
      <c r="F413" s="92"/>
      <c r="G413" s="91"/>
      <c r="H413" s="91"/>
      <c r="I413" s="91"/>
      <c r="J413" s="91"/>
      <c r="K413" s="91"/>
      <c r="L413" s="3"/>
    </row>
    <row r="414" ht="14.25" customHeight="1">
      <c r="A414" s="91"/>
      <c r="B414" s="91"/>
      <c r="C414" s="91"/>
      <c r="D414" s="91"/>
      <c r="E414" s="91"/>
      <c r="F414" s="92"/>
      <c r="G414" s="91"/>
      <c r="H414" s="91"/>
      <c r="I414" s="91"/>
      <c r="J414" s="91"/>
      <c r="K414" s="91"/>
      <c r="L414" s="3"/>
    </row>
    <row r="415" ht="14.25" customHeight="1">
      <c r="A415" s="91"/>
      <c r="B415" s="91"/>
      <c r="C415" s="91"/>
      <c r="D415" s="91"/>
      <c r="E415" s="91"/>
      <c r="F415" s="92"/>
      <c r="G415" s="91"/>
      <c r="H415" s="91"/>
      <c r="I415" s="91"/>
      <c r="J415" s="91"/>
      <c r="K415" s="91"/>
      <c r="L415" s="3"/>
    </row>
    <row r="416" ht="14.25" customHeight="1">
      <c r="A416" s="91"/>
      <c r="B416" s="91"/>
      <c r="C416" s="91"/>
      <c r="D416" s="91"/>
      <c r="E416" s="91"/>
      <c r="F416" s="92"/>
      <c r="G416" s="91"/>
      <c r="H416" s="91"/>
      <c r="I416" s="91"/>
      <c r="J416" s="91"/>
      <c r="K416" s="91"/>
      <c r="L416" s="3"/>
    </row>
    <row r="417" ht="14.25" customHeight="1">
      <c r="A417" s="91"/>
      <c r="B417" s="91"/>
      <c r="C417" s="91"/>
      <c r="D417" s="91"/>
      <c r="E417" s="91"/>
      <c r="F417" s="92"/>
      <c r="G417" s="91"/>
      <c r="H417" s="91"/>
      <c r="I417" s="91"/>
      <c r="J417" s="91"/>
      <c r="K417" s="91"/>
      <c r="L417" s="3"/>
    </row>
    <row r="418" ht="14.25" customHeight="1">
      <c r="A418" s="91"/>
      <c r="B418" s="91"/>
      <c r="C418" s="91"/>
      <c r="D418" s="91"/>
      <c r="E418" s="91"/>
      <c r="F418" s="92"/>
      <c r="G418" s="91"/>
      <c r="H418" s="91"/>
      <c r="I418" s="91"/>
      <c r="J418" s="91"/>
      <c r="K418" s="91"/>
      <c r="L418" s="3"/>
    </row>
    <row r="419" ht="14.25" customHeight="1">
      <c r="A419" s="91"/>
      <c r="B419" s="91"/>
      <c r="C419" s="91"/>
      <c r="D419" s="91"/>
      <c r="E419" s="91"/>
      <c r="F419" s="92"/>
      <c r="G419" s="91"/>
      <c r="H419" s="91"/>
      <c r="I419" s="91"/>
      <c r="J419" s="91"/>
      <c r="K419" s="91"/>
      <c r="L419" s="3"/>
    </row>
    <row r="420" ht="14.25" customHeight="1">
      <c r="A420" s="91"/>
      <c r="B420" s="91"/>
      <c r="C420" s="91"/>
      <c r="D420" s="91"/>
      <c r="E420" s="91"/>
      <c r="F420" s="92"/>
      <c r="G420" s="91"/>
      <c r="H420" s="91"/>
      <c r="I420" s="91"/>
      <c r="J420" s="91"/>
      <c r="K420" s="91"/>
      <c r="L420" s="3"/>
    </row>
    <row r="421" ht="14.25" customHeight="1">
      <c r="A421" s="91"/>
      <c r="B421" s="91"/>
      <c r="C421" s="91"/>
      <c r="D421" s="91"/>
      <c r="E421" s="91"/>
      <c r="F421" s="92"/>
      <c r="G421" s="91"/>
      <c r="H421" s="91"/>
      <c r="I421" s="91"/>
      <c r="J421" s="91"/>
      <c r="K421" s="91"/>
      <c r="L421" s="3"/>
    </row>
    <row r="422" ht="14.25" customHeight="1">
      <c r="A422" s="91"/>
      <c r="B422" s="91"/>
      <c r="C422" s="91"/>
      <c r="D422" s="91"/>
      <c r="E422" s="91"/>
      <c r="F422" s="92"/>
      <c r="G422" s="91"/>
      <c r="H422" s="91"/>
      <c r="I422" s="91"/>
      <c r="J422" s="91"/>
      <c r="K422" s="91"/>
      <c r="L422" s="3"/>
    </row>
    <row r="423" ht="14.25" customHeight="1">
      <c r="A423" s="91"/>
      <c r="B423" s="91"/>
      <c r="C423" s="91"/>
      <c r="D423" s="91"/>
      <c r="E423" s="91"/>
      <c r="F423" s="92"/>
      <c r="G423" s="91"/>
      <c r="H423" s="91"/>
      <c r="I423" s="91"/>
      <c r="J423" s="91"/>
      <c r="K423" s="91"/>
      <c r="L423" s="3"/>
    </row>
    <row r="424" ht="14.25" customHeight="1">
      <c r="A424" s="91"/>
      <c r="B424" s="91"/>
      <c r="C424" s="91"/>
      <c r="D424" s="91"/>
      <c r="E424" s="91"/>
      <c r="F424" s="92"/>
      <c r="G424" s="91"/>
      <c r="H424" s="91"/>
      <c r="I424" s="91"/>
      <c r="J424" s="91"/>
      <c r="K424" s="91"/>
      <c r="L424" s="3"/>
    </row>
    <row r="425" ht="14.25" customHeight="1">
      <c r="A425" s="91"/>
      <c r="B425" s="91"/>
      <c r="C425" s="91"/>
      <c r="D425" s="91"/>
      <c r="E425" s="91"/>
      <c r="F425" s="92"/>
      <c r="G425" s="91"/>
      <c r="H425" s="91"/>
      <c r="I425" s="91"/>
      <c r="J425" s="91"/>
      <c r="K425" s="91"/>
      <c r="L425" s="3"/>
    </row>
    <row r="426" ht="14.25" customHeight="1">
      <c r="A426" s="91"/>
      <c r="B426" s="91"/>
      <c r="C426" s="91"/>
      <c r="D426" s="91"/>
      <c r="E426" s="91"/>
      <c r="F426" s="92"/>
      <c r="G426" s="91"/>
      <c r="H426" s="91"/>
      <c r="I426" s="91"/>
      <c r="J426" s="91"/>
      <c r="K426" s="91"/>
      <c r="L426" s="3"/>
    </row>
    <row r="427" ht="14.25" customHeight="1">
      <c r="A427" s="91"/>
      <c r="B427" s="91"/>
      <c r="C427" s="91"/>
      <c r="D427" s="91"/>
      <c r="E427" s="91"/>
      <c r="F427" s="92"/>
      <c r="G427" s="91"/>
      <c r="H427" s="91"/>
      <c r="I427" s="91"/>
      <c r="J427" s="91"/>
      <c r="K427" s="91"/>
      <c r="L427" s="3"/>
    </row>
    <row r="428" ht="14.25" customHeight="1">
      <c r="A428" s="91"/>
      <c r="B428" s="91"/>
      <c r="C428" s="91"/>
      <c r="D428" s="91"/>
      <c r="E428" s="91"/>
      <c r="F428" s="92"/>
      <c r="G428" s="91"/>
      <c r="H428" s="91"/>
      <c r="I428" s="91"/>
      <c r="J428" s="91"/>
      <c r="K428" s="91"/>
      <c r="L428" s="3"/>
    </row>
    <row r="429" ht="14.25" customHeight="1">
      <c r="A429" s="91"/>
      <c r="B429" s="91"/>
      <c r="C429" s="91"/>
      <c r="D429" s="91"/>
      <c r="E429" s="91"/>
      <c r="F429" s="92"/>
      <c r="G429" s="91"/>
      <c r="H429" s="91"/>
      <c r="I429" s="91"/>
      <c r="J429" s="91"/>
      <c r="K429" s="91"/>
      <c r="L429" s="3"/>
    </row>
    <row r="430" ht="14.25" customHeight="1">
      <c r="A430" s="91"/>
      <c r="B430" s="91"/>
      <c r="C430" s="91"/>
      <c r="D430" s="91"/>
      <c r="E430" s="91"/>
      <c r="F430" s="92"/>
      <c r="G430" s="91"/>
      <c r="H430" s="91"/>
      <c r="I430" s="91"/>
      <c r="J430" s="91"/>
      <c r="K430" s="91"/>
      <c r="L430" s="3"/>
    </row>
    <row r="431" ht="14.25" customHeight="1">
      <c r="A431" s="91"/>
      <c r="B431" s="91"/>
      <c r="C431" s="91"/>
      <c r="D431" s="91"/>
      <c r="E431" s="91"/>
      <c r="F431" s="92"/>
      <c r="G431" s="91"/>
      <c r="H431" s="91"/>
      <c r="I431" s="91"/>
      <c r="J431" s="91"/>
      <c r="K431" s="91"/>
      <c r="L431" s="3"/>
    </row>
    <row r="432" ht="14.25" customHeight="1">
      <c r="A432" s="91"/>
      <c r="B432" s="91"/>
      <c r="C432" s="91"/>
      <c r="D432" s="91"/>
      <c r="E432" s="91"/>
      <c r="F432" s="92"/>
      <c r="G432" s="91"/>
      <c r="H432" s="91"/>
      <c r="I432" s="91"/>
      <c r="J432" s="91"/>
      <c r="K432" s="91"/>
      <c r="L432" s="3"/>
    </row>
    <row r="433" ht="14.25" customHeight="1">
      <c r="A433" s="91"/>
      <c r="B433" s="91"/>
      <c r="C433" s="91"/>
      <c r="D433" s="91"/>
      <c r="E433" s="91"/>
      <c r="F433" s="92"/>
      <c r="G433" s="91"/>
      <c r="H433" s="91"/>
      <c r="I433" s="91"/>
      <c r="J433" s="91"/>
      <c r="K433" s="91"/>
      <c r="L433" s="3"/>
    </row>
    <row r="434" ht="14.25" customHeight="1">
      <c r="A434" s="91"/>
      <c r="B434" s="91"/>
      <c r="C434" s="91"/>
      <c r="D434" s="91"/>
      <c r="E434" s="91"/>
      <c r="F434" s="92"/>
      <c r="G434" s="91"/>
      <c r="H434" s="91"/>
      <c r="I434" s="91"/>
      <c r="J434" s="91"/>
      <c r="K434" s="91"/>
      <c r="L434" s="3"/>
    </row>
    <row r="435" ht="14.25" customHeight="1">
      <c r="A435" s="91"/>
      <c r="B435" s="91"/>
      <c r="C435" s="91"/>
      <c r="D435" s="91"/>
      <c r="E435" s="91"/>
      <c r="F435" s="92"/>
      <c r="G435" s="91"/>
      <c r="H435" s="91"/>
      <c r="I435" s="91"/>
      <c r="J435" s="91"/>
      <c r="K435" s="91"/>
      <c r="L435" s="3"/>
    </row>
    <row r="436" ht="14.25" customHeight="1">
      <c r="A436" s="91"/>
      <c r="B436" s="91"/>
      <c r="C436" s="91"/>
      <c r="D436" s="91"/>
      <c r="E436" s="91"/>
      <c r="F436" s="92"/>
      <c r="G436" s="91"/>
      <c r="H436" s="91"/>
      <c r="I436" s="91"/>
      <c r="J436" s="91"/>
      <c r="K436" s="91"/>
      <c r="L436" s="3"/>
    </row>
    <row r="437" ht="14.25" customHeight="1">
      <c r="A437" s="91"/>
      <c r="B437" s="91"/>
      <c r="C437" s="91"/>
      <c r="D437" s="91"/>
      <c r="E437" s="91"/>
      <c r="F437" s="92"/>
      <c r="G437" s="91"/>
      <c r="H437" s="91"/>
      <c r="I437" s="91"/>
      <c r="J437" s="91"/>
      <c r="K437" s="91"/>
      <c r="L437" s="3"/>
    </row>
    <row r="438" ht="14.25" customHeight="1">
      <c r="A438" s="91"/>
      <c r="B438" s="91"/>
      <c r="C438" s="91"/>
      <c r="D438" s="91"/>
      <c r="E438" s="91"/>
      <c r="F438" s="92"/>
      <c r="G438" s="91"/>
      <c r="H438" s="91"/>
      <c r="I438" s="91"/>
      <c r="J438" s="91"/>
      <c r="K438" s="91"/>
      <c r="L438" s="3"/>
    </row>
    <row r="439" ht="14.25" customHeight="1">
      <c r="A439" s="91"/>
      <c r="B439" s="91"/>
      <c r="C439" s="91"/>
      <c r="D439" s="91"/>
      <c r="E439" s="91"/>
      <c r="F439" s="92"/>
      <c r="G439" s="91"/>
      <c r="H439" s="91"/>
      <c r="I439" s="91"/>
      <c r="J439" s="91"/>
      <c r="K439" s="91"/>
      <c r="L439" s="3"/>
    </row>
    <row r="440" ht="14.25" customHeight="1">
      <c r="A440" s="91"/>
      <c r="B440" s="91"/>
      <c r="C440" s="91"/>
      <c r="D440" s="91"/>
      <c r="E440" s="91"/>
      <c r="F440" s="92"/>
      <c r="G440" s="91"/>
      <c r="H440" s="91"/>
      <c r="I440" s="91"/>
      <c r="J440" s="91"/>
      <c r="K440" s="91"/>
      <c r="L440" s="3"/>
    </row>
    <row r="441" ht="14.25" customHeight="1">
      <c r="A441" s="91"/>
      <c r="B441" s="91"/>
      <c r="C441" s="91"/>
      <c r="D441" s="91"/>
      <c r="E441" s="91"/>
      <c r="F441" s="92"/>
      <c r="G441" s="91"/>
      <c r="H441" s="91"/>
      <c r="I441" s="91"/>
      <c r="J441" s="91"/>
      <c r="K441" s="91"/>
      <c r="L441" s="3"/>
    </row>
    <row r="442" ht="14.25" customHeight="1">
      <c r="A442" s="91"/>
      <c r="B442" s="91"/>
      <c r="C442" s="91"/>
      <c r="D442" s="91"/>
      <c r="E442" s="91"/>
      <c r="F442" s="92"/>
      <c r="G442" s="91"/>
      <c r="H442" s="91"/>
      <c r="I442" s="91"/>
      <c r="J442" s="91"/>
      <c r="K442" s="91"/>
      <c r="L442" s="3"/>
    </row>
    <row r="443" ht="14.25" customHeight="1">
      <c r="A443" s="91"/>
      <c r="B443" s="91"/>
      <c r="C443" s="91"/>
      <c r="D443" s="91"/>
      <c r="E443" s="91"/>
      <c r="F443" s="92"/>
      <c r="G443" s="91"/>
      <c r="H443" s="91"/>
      <c r="I443" s="91"/>
      <c r="J443" s="91"/>
      <c r="K443" s="91"/>
      <c r="L443" s="3"/>
    </row>
    <row r="444" ht="14.25" customHeight="1">
      <c r="A444" s="91"/>
      <c r="B444" s="91"/>
      <c r="C444" s="91"/>
      <c r="D444" s="91"/>
      <c r="E444" s="91"/>
      <c r="F444" s="92"/>
      <c r="G444" s="91"/>
      <c r="H444" s="91"/>
      <c r="I444" s="91"/>
      <c r="J444" s="91"/>
      <c r="K444" s="91"/>
      <c r="L444" s="3"/>
    </row>
    <row r="445" ht="14.25" customHeight="1">
      <c r="A445" s="91"/>
      <c r="B445" s="91"/>
      <c r="C445" s="91"/>
      <c r="D445" s="91"/>
      <c r="E445" s="91"/>
      <c r="F445" s="92"/>
      <c r="G445" s="91"/>
      <c r="H445" s="91"/>
      <c r="I445" s="91"/>
      <c r="J445" s="91"/>
      <c r="K445" s="91"/>
      <c r="L445" s="3"/>
    </row>
    <row r="446" ht="14.25" customHeight="1">
      <c r="A446" s="91"/>
      <c r="B446" s="91"/>
      <c r="C446" s="91"/>
      <c r="D446" s="91"/>
      <c r="E446" s="91"/>
      <c r="F446" s="92"/>
      <c r="G446" s="91"/>
      <c r="H446" s="91"/>
      <c r="I446" s="91"/>
      <c r="J446" s="91"/>
      <c r="K446" s="91"/>
      <c r="L446" s="3"/>
    </row>
    <row r="447" ht="14.25" customHeight="1">
      <c r="A447" s="91"/>
      <c r="B447" s="91"/>
      <c r="C447" s="91"/>
      <c r="D447" s="91"/>
      <c r="E447" s="91"/>
      <c r="F447" s="92"/>
      <c r="G447" s="91"/>
      <c r="H447" s="91"/>
      <c r="I447" s="91"/>
      <c r="J447" s="91"/>
      <c r="K447" s="91"/>
      <c r="L447" s="3"/>
    </row>
    <row r="448" ht="14.25" customHeight="1">
      <c r="A448" s="91"/>
      <c r="B448" s="91"/>
      <c r="C448" s="91"/>
      <c r="D448" s="91"/>
      <c r="E448" s="91"/>
      <c r="F448" s="92"/>
      <c r="G448" s="91"/>
      <c r="H448" s="91"/>
      <c r="I448" s="91"/>
      <c r="J448" s="91"/>
      <c r="K448" s="91"/>
      <c r="L448" s="3"/>
    </row>
    <row r="449" ht="14.25" customHeight="1">
      <c r="A449" s="91"/>
      <c r="B449" s="91"/>
      <c r="C449" s="91"/>
      <c r="D449" s="91"/>
      <c r="E449" s="91"/>
      <c r="F449" s="92"/>
      <c r="G449" s="91"/>
      <c r="H449" s="91"/>
      <c r="I449" s="91"/>
      <c r="J449" s="91"/>
      <c r="K449" s="91"/>
      <c r="L449" s="3"/>
    </row>
    <row r="450" ht="14.25" customHeight="1">
      <c r="A450" s="91"/>
      <c r="B450" s="91"/>
      <c r="C450" s="91"/>
      <c r="D450" s="91"/>
      <c r="E450" s="91"/>
      <c r="F450" s="92"/>
      <c r="G450" s="91"/>
      <c r="H450" s="91"/>
      <c r="I450" s="91"/>
      <c r="J450" s="91"/>
      <c r="K450" s="91"/>
      <c r="L450" s="3"/>
    </row>
    <row r="451" ht="14.25" customHeight="1">
      <c r="A451" s="91"/>
      <c r="B451" s="91"/>
      <c r="C451" s="91"/>
      <c r="D451" s="91"/>
      <c r="E451" s="91"/>
      <c r="F451" s="92"/>
      <c r="G451" s="91"/>
      <c r="H451" s="91"/>
      <c r="I451" s="91"/>
      <c r="J451" s="91"/>
      <c r="K451" s="91"/>
      <c r="L451" s="3"/>
    </row>
    <row r="452" ht="14.25" customHeight="1">
      <c r="A452" s="91"/>
      <c r="B452" s="91"/>
      <c r="C452" s="91"/>
      <c r="D452" s="91"/>
      <c r="E452" s="91"/>
      <c r="F452" s="92"/>
      <c r="G452" s="91"/>
      <c r="H452" s="91"/>
      <c r="I452" s="91"/>
      <c r="J452" s="91"/>
      <c r="K452" s="91"/>
      <c r="L452" s="3"/>
    </row>
    <row r="453" ht="14.25" customHeight="1">
      <c r="A453" s="91"/>
      <c r="B453" s="91"/>
      <c r="C453" s="91"/>
      <c r="D453" s="91"/>
      <c r="E453" s="91"/>
      <c r="F453" s="92"/>
      <c r="G453" s="91"/>
      <c r="H453" s="91"/>
      <c r="I453" s="91"/>
      <c r="J453" s="91"/>
      <c r="K453" s="91"/>
      <c r="L453" s="3"/>
    </row>
    <row r="454" ht="14.25" customHeight="1">
      <c r="A454" s="91"/>
      <c r="B454" s="91"/>
      <c r="C454" s="91"/>
      <c r="D454" s="91"/>
      <c r="E454" s="91"/>
      <c r="F454" s="92"/>
      <c r="G454" s="91"/>
      <c r="H454" s="91"/>
      <c r="I454" s="91"/>
      <c r="J454" s="91"/>
      <c r="K454" s="91"/>
      <c r="L454" s="3"/>
    </row>
    <row r="455" ht="14.25" customHeight="1">
      <c r="A455" s="91"/>
      <c r="B455" s="91"/>
      <c r="C455" s="91"/>
      <c r="D455" s="91"/>
      <c r="E455" s="91"/>
      <c r="F455" s="92"/>
      <c r="G455" s="91"/>
      <c r="H455" s="91"/>
      <c r="I455" s="91"/>
      <c r="J455" s="91"/>
      <c r="K455" s="91"/>
      <c r="L455" s="3"/>
    </row>
    <row r="456" ht="14.25" customHeight="1">
      <c r="A456" s="91"/>
      <c r="B456" s="91"/>
      <c r="C456" s="91"/>
      <c r="D456" s="91"/>
      <c r="E456" s="91"/>
      <c r="F456" s="92"/>
      <c r="G456" s="91"/>
      <c r="H456" s="91"/>
      <c r="I456" s="91"/>
      <c r="J456" s="91"/>
      <c r="K456" s="91"/>
      <c r="L456" s="3"/>
    </row>
    <row r="457" ht="14.25" customHeight="1">
      <c r="A457" s="91"/>
      <c r="B457" s="91"/>
      <c r="C457" s="91"/>
      <c r="D457" s="91"/>
      <c r="E457" s="91"/>
      <c r="F457" s="92"/>
      <c r="G457" s="91"/>
      <c r="H457" s="91"/>
      <c r="I457" s="91"/>
      <c r="J457" s="91"/>
      <c r="K457" s="91"/>
      <c r="L457" s="3"/>
    </row>
    <row r="458" ht="14.25" customHeight="1">
      <c r="A458" s="91"/>
      <c r="B458" s="91"/>
      <c r="C458" s="91"/>
      <c r="D458" s="91"/>
      <c r="E458" s="91"/>
      <c r="F458" s="92"/>
      <c r="G458" s="91"/>
      <c r="H458" s="91"/>
      <c r="I458" s="91"/>
      <c r="J458" s="91"/>
      <c r="K458" s="91"/>
      <c r="L458" s="3"/>
    </row>
    <row r="459" ht="14.25" customHeight="1">
      <c r="A459" s="91"/>
      <c r="B459" s="91"/>
      <c r="C459" s="91"/>
      <c r="D459" s="91"/>
      <c r="E459" s="91"/>
      <c r="F459" s="92"/>
      <c r="G459" s="91"/>
      <c r="H459" s="91"/>
      <c r="I459" s="91"/>
      <c r="J459" s="91"/>
      <c r="K459" s="91"/>
      <c r="L459" s="3"/>
    </row>
    <row r="460" ht="14.25" customHeight="1">
      <c r="A460" s="91"/>
      <c r="B460" s="91"/>
      <c r="C460" s="91"/>
      <c r="D460" s="91"/>
      <c r="E460" s="91"/>
      <c r="F460" s="92"/>
      <c r="G460" s="91"/>
      <c r="H460" s="91"/>
      <c r="I460" s="91"/>
      <c r="J460" s="91"/>
      <c r="K460" s="91"/>
      <c r="L460" s="3"/>
    </row>
    <row r="461" ht="14.25" customHeight="1">
      <c r="A461" s="91"/>
      <c r="B461" s="91"/>
      <c r="C461" s="91"/>
      <c r="D461" s="91"/>
      <c r="E461" s="91"/>
      <c r="F461" s="92"/>
      <c r="G461" s="91"/>
      <c r="H461" s="91"/>
      <c r="I461" s="91"/>
      <c r="J461" s="91"/>
      <c r="K461" s="91"/>
      <c r="L461" s="3"/>
    </row>
    <row r="462" ht="14.25" customHeight="1">
      <c r="A462" s="91"/>
      <c r="B462" s="91"/>
      <c r="C462" s="91"/>
      <c r="D462" s="91"/>
      <c r="E462" s="91"/>
      <c r="F462" s="92"/>
      <c r="G462" s="91"/>
      <c r="H462" s="91"/>
      <c r="I462" s="91"/>
      <c r="J462" s="91"/>
      <c r="K462" s="91"/>
      <c r="L462" s="3"/>
    </row>
    <row r="463" ht="14.25" customHeight="1">
      <c r="A463" s="91"/>
      <c r="B463" s="91"/>
      <c r="C463" s="91"/>
      <c r="D463" s="91"/>
      <c r="E463" s="91"/>
      <c r="F463" s="92"/>
      <c r="G463" s="91"/>
      <c r="H463" s="91"/>
      <c r="I463" s="91"/>
      <c r="J463" s="91"/>
      <c r="K463" s="91"/>
      <c r="L463" s="3"/>
    </row>
    <row r="464" ht="14.25" customHeight="1">
      <c r="A464" s="91"/>
      <c r="B464" s="91"/>
      <c r="C464" s="91"/>
      <c r="D464" s="91"/>
      <c r="E464" s="91"/>
      <c r="F464" s="92"/>
      <c r="G464" s="91"/>
      <c r="H464" s="91"/>
      <c r="I464" s="91"/>
      <c r="J464" s="91"/>
      <c r="K464" s="91"/>
      <c r="L464" s="3"/>
    </row>
    <row r="465" ht="14.25" customHeight="1">
      <c r="A465" s="91"/>
      <c r="B465" s="91"/>
      <c r="C465" s="91"/>
      <c r="D465" s="91"/>
      <c r="E465" s="91"/>
      <c r="F465" s="92"/>
      <c r="G465" s="91"/>
      <c r="H465" s="91"/>
      <c r="I465" s="91"/>
      <c r="J465" s="91"/>
      <c r="K465" s="91"/>
      <c r="L465" s="3"/>
    </row>
    <row r="466" ht="14.25" customHeight="1">
      <c r="A466" s="91"/>
      <c r="B466" s="91"/>
      <c r="C466" s="91"/>
      <c r="D466" s="91"/>
      <c r="E466" s="91"/>
      <c r="F466" s="92"/>
      <c r="G466" s="91"/>
      <c r="H466" s="91"/>
      <c r="I466" s="91"/>
      <c r="J466" s="91"/>
      <c r="K466" s="91"/>
      <c r="L466" s="3"/>
    </row>
    <row r="467" ht="14.25" customHeight="1">
      <c r="A467" s="91"/>
      <c r="B467" s="91"/>
      <c r="C467" s="91"/>
      <c r="D467" s="91"/>
      <c r="E467" s="91"/>
      <c r="F467" s="92"/>
      <c r="G467" s="91"/>
      <c r="H467" s="91"/>
      <c r="I467" s="91"/>
      <c r="J467" s="91"/>
      <c r="K467" s="91"/>
      <c r="L467" s="3"/>
    </row>
    <row r="468" ht="14.25" customHeight="1">
      <c r="A468" s="91"/>
      <c r="B468" s="91"/>
      <c r="C468" s="91"/>
      <c r="D468" s="91"/>
      <c r="E468" s="91"/>
      <c r="F468" s="92"/>
      <c r="G468" s="91"/>
      <c r="H468" s="91"/>
      <c r="I468" s="91"/>
      <c r="J468" s="91"/>
      <c r="K468" s="91"/>
      <c r="L468" s="3"/>
    </row>
    <row r="469" ht="14.25" customHeight="1">
      <c r="A469" s="91"/>
      <c r="B469" s="91"/>
      <c r="C469" s="91"/>
      <c r="D469" s="91"/>
      <c r="E469" s="91"/>
      <c r="F469" s="92"/>
      <c r="G469" s="91"/>
      <c r="H469" s="91"/>
      <c r="I469" s="91"/>
      <c r="J469" s="91"/>
      <c r="K469" s="91"/>
      <c r="L469" s="3"/>
    </row>
    <row r="470" ht="14.25" customHeight="1">
      <c r="A470" s="91"/>
      <c r="B470" s="91"/>
      <c r="C470" s="91"/>
      <c r="D470" s="91"/>
      <c r="E470" s="91"/>
      <c r="F470" s="92"/>
      <c r="G470" s="91"/>
      <c r="H470" s="91"/>
      <c r="I470" s="91"/>
      <c r="J470" s="91"/>
      <c r="K470" s="91"/>
      <c r="L470" s="3"/>
    </row>
    <row r="471" ht="14.25" customHeight="1">
      <c r="A471" s="91"/>
      <c r="B471" s="91"/>
      <c r="C471" s="91"/>
      <c r="D471" s="91"/>
      <c r="E471" s="91"/>
      <c r="F471" s="92"/>
      <c r="G471" s="91"/>
      <c r="H471" s="91"/>
      <c r="I471" s="91"/>
      <c r="J471" s="91"/>
      <c r="K471" s="91"/>
      <c r="L471" s="3"/>
    </row>
    <row r="472" ht="14.25" customHeight="1">
      <c r="A472" s="91"/>
      <c r="B472" s="91"/>
      <c r="C472" s="91"/>
      <c r="D472" s="91"/>
      <c r="E472" s="91"/>
      <c r="F472" s="92"/>
      <c r="G472" s="91"/>
      <c r="H472" s="91"/>
      <c r="I472" s="91"/>
      <c r="J472" s="91"/>
      <c r="K472" s="91"/>
      <c r="L472" s="3"/>
    </row>
    <row r="473" ht="14.25" customHeight="1">
      <c r="A473" s="91"/>
      <c r="B473" s="91"/>
      <c r="C473" s="91"/>
      <c r="D473" s="91"/>
      <c r="E473" s="91"/>
      <c r="F473" s="92"/>
      <c r="G473" s="91"/>
      <c r="H473" s="91"/>
      <c r="I473" s="91"/>
      <c r="J473" s="91"/>
      <c r="K473" s="91"/>
      <c r="L473" s="3"/>
    </row>
    <row r="474" ht="14.25" customHeight="1">
      <c r="A474" s="91"/>
      <c r="B474" s="91"/>
      <c r="C474" s="91"/>
      <c r="D474" s="91"/>
      <c r="E474" s="91"/>
      <c r="F474" s="92"/>
      <c r="G474" s="91"/>
      <c r="H474" s="91"/>
      <c r="I474" s="91"/>
      <c r="J474" s="91"/>
      <c r="K474" s="91"/>
      <c r="L474" s="3"/>
    </row>
    <row r="475" ht="14.25" customHeight="1">
      <c r="A475" s="91"/>
      <c r="B475" s="91"/>
      <c r="C475" s="91"/>
      <c r="D475" s="91"/>
      <c r="E475" s="91"/>
      <c r="F475" s="92"/>
      <c r="G475" s="91"/>
      <c r="H475" s="91"/>
      <c r="I475" s="91"/>
      <c r="J475" s="91"/>
      <c r="K475" s="91"/>
      <c r="L475" s="3"/>
    </row>
    <row r="476" ht="14.25" customHeight="1">
      <c r="A476" s="91"/>
      <c r="B476" s="91"/>
      <c r="C476" s="91"/>
      <c r="D476" s="91"/>
      <c r="E476" s="91"/>
      <c r="F476" s="92"/>
      <c r="G476" s="91"/>
      <c r="H476" s="91"/>
      <c r="I476" s="91"/>
      <c r="J476" s="91"/>
      <c r="K476" s="91"/>
      <c r="L476" s="3"/>
    </row>
    <row r="477" ht="14.25" customHeight="1">
      <c r="A477" s="91"/>
      <c r="B477" s="91"/>
      <c r="C477" s="91"/>
      <c r="D477" s="91"/>
      <c r="E477" s="91"/>
      <c r="F477" s="92"/>
      <c r="G477" s="91"/>
      <c r="H477" s="91"/>
      <c r="I477" s="91"/>
      <c r="J477" s="91"/>
      <c r="K477" s="91"/>
      <c r="L477" s="3"/>
    </row>
    <row r="478" ht="14.25" customHeight="1">
      <c r="A478" s="91"/>
      <c r="B478" s="91"/>
      <c r="C478" s="91"/>
      <c r="D478" s="91"/>
      <c r="E478" s="91"/>
      <c r="F478" s="92"/>
      <c r="G478" s="91"/>
      <c r="H478" s="91"/>
      <c r="I478" s="91"/>
      <c r="J478" s="91"/>
      <c r="K478" s="91"/>
      <c r="L478" s="3"/>
    </row>
    <row r="479" ht="14.25" customHeight="1">
      <c r="A479" s="91"/>
      <c r="B479" s="91"/>
      <c r="C479" s="91"/>
      <c r="D479" s="91"/>
      <c r="E479" s="91"/>
      <c r="F479" s="92"/>
      <c r="G479" s="91"/>
      <c r="H479" s="91"/>
      <c r="I479" s="91"/>
      <c r="J479" s="91"/>
      <c r="K479" s="91"/>
      <c r="L479" s="3"/>
    </row>
    <row r="480" ht="14.25" customHeight="1">
      <c r="A480" s="91"/>
      <c r="B480" s="91"/>
      <c r="C480" s="91"/>
      <c r="D480" s="91"/>
      <c r="E480" s="91"/>
      <c r="F480" s="92"/>
      <c r="G480" s="91"/>
      <c r="H480" s="91"/>
      <c r="I480" s="91"/>
      <c r="J480" s="91"/>
      <c r="K480" s="91"/>
      <c r="L480" s="3"/>
    </row>
    <row r="481" ht="14.25" customHeight="1">
      <c r="A481" s="91"/>
      <c r="B481" s="91"/>
      <c r="C481" s="91"/>
      <c r="D481" s="91"/>
      <c r="E481" s="91"/>
      <c r="F481" s="92"/>
      <c r="G481" s="91"/>
      <c r="H481" s="91"/>
      <c r="I481" s="91"/>
      <c r="J481" s="91"/>
      <c r="K481" s="91"/>
      <c r="L481" s="3"/>
    </row>
    <row r="482" ht="14.25" customHeight="1">
      <c r="A482" s="91"/>
      <c r="B482" s="91"/>
      <c r="C482" s="91"/>
      <c r="D482" s="91"/>
      <c r="E482" s="91"/>
      <c r="F482" s="92"/>
      <c r="G482" s="91"/>
      <c r="H482" s="91"/>
      <c r="I482" s="91"/>
      <c r="J482" s="91"/>
      <c r="K482" s="91"/>
      <c r="L482" s="3"/>
    </row>
    <row r="483" ht="14.25" customHeight="1">
      <c r="A483" s="91"/>
      <c r="B483" s="91"/>
      <c r="C483" s="91"/>
      <c r="D483" s="91"/>
      <c r="E483" s="91"/>
      <c r="F483" s="92"/>
      <c r="G483" s="91"/>
      <c r="H483" s="91"/>
      <c r="I483" s="91"/>
      <c r="J483" s="91"/>
      <c r="K483" s="91"/>
      <c r="L483" s="3"/>
    </row>
    <row r="484" ht="14.25" customHeight="1">
      <c r="A484" s="91"/>
      <c r="B484" s="91"/>
      <c r="C484" s="91"/>
      <c r="D484" s="91"/>
      <c r="E484" s="91"/>
      <c r="F484" s="92"/>
      <c r="G484" s="91"/>
      <c r="H484" s="91"/>
      <c r="I484" s="91"/>
      <c r="J484" s="91"/>
      <c r="K484" s="91"/>
      <c r="L484" s="3"/>
    </row>
    <row r="485" ht="14.25" customHeight="1">
      <c r="A485" s="91"/>
      <c r="B485" s="91"/>
      <c r="C485" s="91"/>
      <c r="D485" s="91"/>
      <c r="E485" s="91"/>
      <c r="F485" s="92"/>
      <c r="G485" s="91"/>
      <c r="H485" s="91"/>
      <c r="I485" s="91"/>
      <c r="J485" s="91"/>
      <c r="K485" s="91"/>
      <c r="L485" s="3"/>
    </row>
    <row r="486" ht="14.25" customHeight="1">
      <c r="A486" s="91"/>
      <c r="B486" s="91"/>
      <c r="C486" s="91"/>
      <c r="D486" s="91"/>
      <c r="E486" s="91"/>
      <c r="F486" s="92"/>
      <c r="G486" s="91"/>
      <c r="H486" s="91"/>
      <c r="I486" s="91"/>
      <c r="J486" s="91"/>
      <c r="K486" s="91"/>
      <c r="L486" s="3"/>
    </row>
    <row r="487" ht="14.25" customHeight="1">
      <c r="A487" s="91"/>
      <c r="B487" s="91"/>
      <c r="C487" s="91"/>
      <c r="D487" s="91"/>
      <c r="E487" s="91"/>
      <c r="F487" s="92"/>
      <c r="G487" s="91"/>
      <c r="H487" s="91"/>
      <c r="I487" s="91"/>
      <c r="J487" s="91"/>
      <c r="K487" s="91"/>
      <c r="L487" s="3"/>
    </row>
    <row r="488" ht="14.25" customHeight="1">
      <c r="A488" s="91"/>
      <c r="B488" s="91"/>
      <c r="C488" s="91"/>
      <c r="D488" s="91"/>
      <c r="E488" s="91"/>
      <c r="F488" s="92"/>
      <c r="G488" s="91"/>
      <c r="H488" s="91"/>
      <c r="I488" s="91"/>
      <c r="J488" s="91"/>
      <c r="K488" s="91"/>
      <c r="L488" s="3"/>
    </row>
    <row r="489" ht="14.25" customHeight="1">
      <c r="A489" s="91"/>
      <c r="B489" s="91"/>
      <c r="C489" s="91"/>
      <c r="D489" s="91"/>
      <c r="E489" s="91"/>
      <c r="F489" s="92"/>
      <c r="G489" s="91"/>
      <c r="H489" s="91"/>
      <c r="I489" s="91"/>
      <c r="J489" s="91"/>
      <c r="K489" s="91"/>
      <c r="L489" s="3"/>
    </row>
    <row r="490" ht="14.25" customHeight="1">
      <c r="A490" s="91"/>
      <c r="B490" s="91"/>
      <c r="C490" s="91"/>
      <c r="D490" s="91"/>
      <c r="E490" s="91"/>
      <c r="F490" s="92"/>
      <c r="G490" s="91"/>
      <c r="H490" s="91"/>
      <c r="I490" s="91"/>
      <c r="J490" s="91"/>
      <c r="K490" s="91"/>
      <c r="L490" s="3"/>
    </row>
    <row r="491" ht="14.25" customHeight="1">
      <c r="A491" s="91"/>
      <c r="B491" s="91"/>
      <c r="C491" s="91"/>
      <c r="D491" s="91"/>
      <c r="E491" s="91"/>
      <c r="F491" s="92"/>
      <c r="G491" s="91"/>
      <c r="H491" s="91"/>
      <c r="I491" s="91"/>
      <c r="J491" s="91"/>
      <c r="K491" s="91"/>
      <c r="L491" s="3"/>
    </row>
    <row r="492" ht="14.25" customHeight="1">
      <c r="A492" s="91"/>
      <c r="B492" s="91"/>
      <c r="C492" s="91"/>
      <c r="D492" s="91"/>
      <c r="E492" s="91"/>
      <c r="F492" s="92"/>
      <c r="G492" s="91"/>
      <c r="H492" s="91"/>
      <c r="I492" s="91"/>
      <c r="J492" s="91"/>
      <c r="K492" s="91"/>
      <c r="L492" s="3"/>
    </row>
    <row r="493" ht="14.25" customHeight="1">
      <c r="A493" s="91"/>
      <c r="B493" s="91"/>
      <c r="C493" s="91"/>
      <c r="D493" s="91"/>
      <c r="E493" s="91"/>
      <c r="F493" s="92"/>
      <c r="G493" s="91"/>
      <c r="H493" s="91"/>
      <c r="I493" s="91"/>
      <c r="J493" s="91"/>
      <c r="K493" s="91"/>
      <c r="L493" s="3"/>
    </row>
    <row r="494" ht="14.25" customHeight="1">
      <c r="A494" s="91"/>
      <c r="B494" s="91"/>
      <c r="C494" s="91"/>
      <c r="D494" s="91"/>
      <c r="E494" s="91"/>
      <c r="F494" s="92"/>
      <c r="G494" s="91"/>
      <c r="H494" s="91"/>
      <c r="I494" s="91"/>
      <c r="J494" s="91"/>
      <c r="K494" s="91"/>
      <c r="L494" s="3"/>
    </row>
    <row r="495" ht="14.25" customHeight="1">
      <c r="A495" s="91"/>
      <c r="B495" s="91"/>
      <c r="C495" s="91"/>
      <c r="D495" s="91"/>
      <c r="E495" s="91"/>
      <c r="F495" s="92"/>
      <c r="G495" s="91"/>
      <c r="H495" s="91"/>
      <c r="I495" s="91"/>
      <c r="J495" s="91"/>
      <c r="K495" s="91"/>
      <c r="L495" s="3"/>
    </row>
    <row r="496" ht="14.25" customHeight="1">
      <c r="A496" s="91"/>
      <c r="B496" s="91"/>
      <c r="C496" s="91"/>
      <c r="D496" s="91"/>
      <c r="E496" s="91"/>
      <c r="F496" s="92"/>
      <c r="G496" s="91"/>
      <c r="H496" s="91"/>
      <c r="I496" s="91"/>
      <c r="J496" s="91"/>
      <c r="K496" s="91"/>
      <c r="L496" s="3"/>
    </row>
    <row r="497" ht="14.25" customHeight="1">
      <c r="A497" s="91"/>
      <c r="B497" s="91"/>
      <c r="C497" s="91"/>
      <c r="D497" s="91"/>
      <c r="E497" s="91"/>
      <c r="F497" s="92"/>
      <c r="G497" s="91"/>
      <c r="H497" s="91"/>
      <c r="I497" s="91"/>
      <c r="J497" s="91"/>
      <c r="K497" s="91"/>
      <c r="L497" s="3"/>
    </row>
    <row r="498" ht="14.25" customHeight="1">
      <c r="A498" s="91"/>
      <c r="B498" s="91"/>
      <c r="C498" s="91"/>
      <c r="D498" s="91"/>
      <c r="E498" s="91"/>
      <c r="F498" s="92"/>
      <c r="G498" s="91"/>
      <c r="H498" s="91"/>
      <c r="I498" s="91"/>
      <c r="J498" s="91"/>
      <c r="K498" s="91"/>
      <c r="L498" s="3"/>
    </row>
    <row r="499" ht="14.25" customHeight="1">
      <c r="A499" s="91"/>
      <c r="B499" s="91"/>
      <c r="C499" s="91"/>
      <c r="D499" s="91"/>
      <c r="E499" s="91"/>
      <c r="F499" s="92"/>
      <c r="G499" s="91"/>
      <c r="H499" s="91"/>
      <c r="I499" s="91"/>
      <c r="J499" s="91"/>
      <c r="K499" s="91"/>
      <c r="L499" s="3"/>
    </row>
    <row r="500" ht="14.25" customHeight="1">
      <c r="A500" s="91"/>
      <c r="B500" s="91"/>
      <c r="C500" s="91"/>
      <c r="D500" s="91"/>
      <c r="E500" s="91"/>
      <c r="F500" s="92"/>
      <c r="G500" s="91"/>
      <c r="H500" s="91"/>
      <c r="I500" s="91"/>
      <c r="J500" s="91"/>
      <c r="K500" s="91"/>
      <c r="L500" s="3"/>
    </row>
    <row r="501" ht="14.25" customHeight="1">
      <c r="A501" s="91"/>
      <c r="B501" s="91"/>
      <c r="C501" s="91"/>
      <c r="D501" s="91"/>
      <c r="E501" s="91"/>
      <c r="F501" s="92"/>
      <c r="G501" s="91"/>
      <c r="H501" s="91"/>
      <c r="I501" s="91"/>
      <c r="J501" s="91"/>
      <c r="K501" s="91"/>
      <c r="L501" s="3"/>
    </row>
    <row r="502" ht="14.25" customHeight="1">
      <c r="A502" s="91"/>
      <c r="B502" s="91"/>
      <c r="C502" s="91"/>
      <c r="D502" s="91"/>
      <c r="E502" s="91"/>
      <c r="F502" s="92"/>
      <c r="G502" s="91"/>
      <c r="H502" s="91"/>
      <c r="I502" s="91"/>
      <c r="J502" s="91"/>
      <c r="K502" s="91"/>
      <c r="L502" s="3"/>
    </row>
    <row r="503" ht="14.25" customHeight="1">
      <c r="A503" s="91"/>
      <c r="B503" s="91"/>
      <c r="C503" s="91"/>
      <c r="D503" s="91"/>
      <c r="E503" s="91"/>
      <c r="F503" s="92"/>
      <c r="G503" s="91"/>
      <c r="H503" s="91"/>
      <c r="I503" s="91"/>
      <c r="J503" s="91"/>
      <c r="K503" s="91"/>
      <c r="L503" s="3"/>
    </row>
    <row r="504" ht="14.25" customHeight="1">
      <c r="A504" s="91"/>
      <c r="B504" s="91"/>
      <c r="C504" s="91"/>
      <c r="D504" s="91"/>
      <c r="E504" s="91"/>
      <c r="F504" s="92"/>
      <c r="G504" s="91"/>
      <c r="H504" s="91"/>
      <c r="I504" s="91"/>
      <c r="J504" s="91"/>
      <c r="K504" s="91"/>
      <c r="L504" s="3"/>
    </row>
    <row r="505" ht="14.25" customHeight="1">
      <c r="A505" s="91"/>
      <c r="B505" s="91"/>
      <c r="C505" s="91"/>
      <c r="D505" s="91"/>
      <c r="E505" s="91"/>
      <c r="F505" s="92"/>
      <c r="G505" s="91"/>
      <c r="H505" s="91"/>
      <c r="I505" s="91"/>
      <c r="J505" s="91"/>
      <c r="K505" s="91"/>
      <c r="L505" s="3"/>
    </row>
    <row r="506" ht="14.25" customHeight="1">
      <c r="A506" s="91"/>
      <c r="B506" s="91"/>
      <c r="C506" s="91"/>
      <c r="D506" s="91"/>
      <c r="E506" s="91"/>
      <c r="F506" s="92"/>
      <c r="G506" s="91"/>
      <c r="H506" s="91"/>
      <c r="I506" s="91"/>
      <c r="J506" s="91"/>
      <c r="K506" s="91"/>
      <c r="L506" s="3"/>
    </row>
    <row r="507" ht="14.25" customHeight="1">
      <c r="A507" s="91"/>
      <c r="B507" s="91"/>
      <c r="C507" s="91"/>
      <c r="D507" s="91"/>
      <c r="E507" s="91"/>
      <c r="F507" s="92"/>
      <c r="G507" s="91"/>
      <c r="H507" s="91"/>
      <c r="I507" s="91"/>
      <c r="J507" s="91"/>
      <c r="K507" s="91"/>
      <c r="L507" s="3"/>
    </row>
    <row r="508" ht="14.25" customHeight="1">
      <c r="A508" s="91"/>
      <c r="B508" s="91"/>
      <c r="C508" s="91"/>
      <c r="D508" s="91"/>
      <c r="E508" s="91"/>
      <c r="F508" s="92"/>
      <c r="G508" s="91"/>
      <c r="H508" s="91"/>
      <c r="I508" s="91"/>
      <c r="J508" s="91"/>
      <c r="K508" s="91"/>
      <c r="L508" s="3"/>
    </row>
    <row r="509" ht="14.25" customHeight="1">
      <c r="A509" s="91"/>
      <c r="B509" s="91"/>
      <c r="C509" s="91"/>
      <c r="D509" s="91"/>
      <c r="E509" s="91"/>
      <c r="F509" s="92"/>
      <c r="G509" s="91"/>
      <c r="H509" s="91"/>
      <c r="I509" s="91"/>
      <c r="J509" s="91"/>
      <c r="K509" s="91"/>
      <c r="L509" s="3"/>
    </row>
    <row r="510" ht="14.25" customHeight="1">
      <c r="A510" s="91"/>
      <c r="B510" s="91"/>
      <c r="C510" s="91"/>
      <c r="D510" s="91"/>
      <c r="E510" s="91"/>
      <c r="F510" s="92"/>
      <c r="G510" s="91"/>
      <c r="H510" s="91"/>
      <c r="I510" s="91"/>
      <c r="J510" s="91"/>
      <c r="K510" s="91"/>
      <c r="L510" s="3"/>
    </row>
    <row r="511" ht="14.25" customHeight="1">
      <c r="A511" s="91"/>
      <c r="B511" s="91"/>
      <c r="C511" s="91"/>
      <c r="D511" s="91"/>
      <c r="E511" s="91"/>
      <c r="F511" s="92"/>
      <c r="G511" s="91"/>
      <c r="H511" s="91"/>
      <c r="I511" s="91"/>
      <c r="J511" s="91"/>
      <c r="K511" s="91"/>
      <c r="L511" s="3"/>
    </row>
    <row r="512" ht="14.25" customHeight="1">
      <c r="A512" s="91"/>
      <c r="B512" s="91"/>
      <c r="C512" s="91"/>
      <c r="D512" s="91"/>
      <c r="E512" s="91"/>
      <c r="F512" s="92"/>
      <c r="G512" s="91"/>
      <c r="H512" s="91"/>
      <c r="I512" s="91"/>
      <c r="J512" s="91"/>
      <c r="K512" s="91"/>
      <c r="L512" s="3"/>
    </row>
    <row r="513" ht="14.25" customHeight="1">
      <c r="A513" s="91"/>
      <c r="B513" s="91"/>
      <c r="C513" s="91"/>
      <c r="D513" s="91"/>
      <c r="E513" s="91"/>
      <c r="F513" s="92"/>
      <c r="G513" s="91"/>
      <c r="H513" s="91"/>
      <c r="I513" s="91"/>
      <c r="J513" s="91"/>
      <c r="K513" s="91"/>
      <c r="L513" s="3"/>
    </row>
    <row r="514" ht="14.25" customHeight="1">
      <c r="A514" s="91"/>
      <c r="B514" s="91"/>
      <c r="C514" s="91"/>
      <c r="D514" s="91"/>
      <c r="E514" s="91"/>
      <c r="F514" s="92"/>
      <c r="G514" s="91"/>
      <c r="H514" s="91"/>
      <c r="I514" s="91"/>
      <c r="J514" s="91"/>
      <c r="K514" s="91"/>
      <c r="L514" s="3"/>
    </row>
    <row r="515" ht="14.25" customHeight="1">
      <c r="A515" s="91"/>
      <c r="B515" s="91"/>
      <c r="C515" s="91"/>
      <c r="D515" s="91"/>
      <c r="E515" s="91"/>
      <c r="F515" s="92"/>
      <c r="G515" s="91"/>
      <c r="H515" s="91"/>
      <c r="I515" s="91"/>
      <c r="J515" s="91"/>
      <c r="K515" s="91"/>
      <c r="L515" s="3"/>
    </row>
    <row r="516" ht="14.25" customHeight="1">
      <c r="A516" s="91"/>
      <c r="B516" s="91"/>
      <c r="C516" s="91"/>
      <c r="D516" s="91"/>
      <c r="E516" s="91"/>
      <c r="F516" s="92"/>
      <c r="G516" s="91"/>
      <c r="H516" s="91"/>
      <c r="I516" s="91"/>
      <c r="J516" s="91"/>
      <c r="K516" s="91"/>
      <c r="L516" s="3"/>
    </row>
    <row r="517" ht="14.25" customHeight="1">
      <c r="A517" s="91"/>
      <c r="B517" s="91"/>
      <c r="C517" s="91"/>
      <c r="D517" s="91"/>
      <c r="E517" s="91"/>
      <c r="F517" s="92"/>
      <c r="G517" s="91"/>
      <c r="H517" s="91"/>
      <c r="I517" s="91"/>
      <c r="J517" s="91"/>
      <c r="K517" s="91"/>
      <c r="L517" s="3"/>
    </row>
    <row r="518" ht="14.25" customHeight="1">
      <c r="A518" s="91"/>
      <c r="B518" s="91"/>
      <c r="C518" s="91"/>
      <c r="D518" s="91"/>
      <c r="E518" s="91"/>
      <c r="F518" s="92"/>
      <c r="G518" s="91"/>
      <c r="H518" s="91"/>
      <c r="I518" s="91"/>
      <c r="J518" s="91"/>
      <c r="K518" s="91"/>
      <c r="L518" s="3"/>
    </row>
    <row r="519" ht="14.25" customHeight="1">
      <c r="A519" s="91"/>
      <c r="B519" s="91"/>
      <c r="C519" s="91"/>
      <c r="D519" s="91"/>
      <c r="E519" s="91"/>
      <c r="F519" s="92"/>
      <c r="G519" s="91"/>
      <c r="H519" s="91"/>
      <c r="I519" s="91"/>
      <c r="J519" s="91"/>
      <c r="K519" s="91"/>
      <c r="L519" s="3"/>
    </row>
    <row r="520" ht="14.25" customHeight="1">
      <c r="A520" s="91"/>
      <c r="B520" s="91"/>
      <c r="C520" s="91"/>
      <c r="D520" s="91"/>
      <c r="E520" s="91"/>
      <c r="F520" s="92"/>
      <c r="G520" s="91"/>
      <c r="H520" s="91"/>
      <c r="I520" s="91"/>
      <c r="J520" s="91"/>
      <c r="K520" s="91"/>
      <c r="L520" s="3"/>
    </row>
    <row r="521" ht="14.25" customHeight="1">
      <c r="A521" s="91"/>
      <c r="B521" s="91"/>
      <c r="C521" s="91"/>
      <c r="D521" s="91"/>
      <c r="E521" s="91"/>
      <c r="F521" s="92"/>
      <c r="G521" s="91"/>
      <c r="H521" s="91"/>
      <c r="I521" s="91"/>
      <c r="J521" s="91"/>
      <c r="K521" s="91"/>
      <c r="L521" s="3"/>
    </row>
    <row r="522" ht="14.25" customHeight="1">
      <c r="A522" s="91"/>
      <c r="B522" s="91"/>
      <c r="C522" s="91"/>
      <c r="D522" s="91"/>
      <c r="E522" s="91"/>
      <c r="F522" s="92"/>
      <c r="G522" s="91"/>
      <c r="H522" s="91"/>
      <c r="I522" s="91"/>
      <c r="J522" s="91"/>
      <c r="K522" s="91"/>
      <c r="L522" s="3"/>
    </row>
    <row r="523" ht="14.25" customHeight="1">
      <c r="A523" s="91"/>
      <c r="B523" s="91"/>
      <c r="C523" s="91"/>
      <c r="D523" s="91"/>
      <c r="E523" s="91"/>
      <c r="F523" s="92"/>
      <c r="G523" s="91"/>
      <c r="H523" s="91"/>
      <c r="I523" s="91"/>
      <c r="J523" s="91"/>
      <c r="K523" s="91"/>
      <c r="L523" s="3"/>
    </row>
    <row r="524" ht="14.25" customHeight="1">
      <c r="A524" s="91"/>
      <c r="B524" s="91"/>
      <c r="C524" s="91"/>
      <c r="D524" s="91"/>
      <c r="E524" s="91"/>
      <c r="F524" s="92"/>
      <c r="G524" s="91"/>
      <c r="H524" s="91"/>
      <c r="I524" s="91"/>
      <c r="J524" s="91"/>
      <c r="K524" s="91"/>
      <c r="L524" s="3"/>
    </row>
    <row r="525" ht="14.25" customHeight="1">
      <c r="A525" s="91"/>
      <c r="B525" s="91"/>
      <c r="C525" s="91"/>
      <c r="D525" s="91"/>
      <c r="E525" s="91"/>
      <c r="F525" s="92"/>
      <c r="G525" s="91"/>
      <c r="H525" s="91"/>
      <c r="I525" s="91"/>
      <c r="J525" s="91"/>
      <c r="K525" s="91"/>
      <c r="L525" s="3"/>
    </row>
    <row r="526" ht="14.25" customHeight="1">
      <c r="A526" s="91"/>
      <c r="B526" s="91"/>
      <c r="C526" s="91"/>
      <c r="D526" s="91"/>
      <c r="E526" s="91"/>
      <c r="F526" s="92"/>
      <c r="G526" s="91"/>
      <c r="H526" s="91"/>
      <c r="I526" s="91"/>
      <c r="J526" s="91"/>
      <c r="K526" s="91"/>
      <c r="L526" s="3"/>
    </row>
    <row r="527" ht="14.25" customHeight="1">
      <c r="A527" s="91"/>
      <c r="B527" s="91"/>
      <c r="C527" s="91"/>
      <c r="D527" s="91"/>
      <c r="E527" s="91"/>
      <c r="F527" s="92"/>
      <c r="G527" s="91"/>
      <c r="H527" s="91"/>
      <c r="I527" s="91"/>
      <c r="J527" s="91"/>
      <c r="K527" s="91"/>
      <c r="L527" s="3"/>
    </row>
    <row r="528" ht="14.25" customHeight="1">
      <c r="A528" s="91"/>
      <c r="B528" s="91"/>
      <c r="C528" s="91"/>
      <c r="D528" s="91"/>
      <c r="E528" s="91"/>
      <c r="F528" s="92"/>
      <c r="G528" s="91"/>
      <c r="H528" s="91"/>
      <c r="I528" s="91"/>
      <c r="J528" s="91"/>
      <c r="K528" s="91"/>
      <c r="L528" s="3"/>
    </row>
    <row r="529" ht="14.25" customHeight="1">
      <c r="A529" s="91"/>
      <c r="B529" s="91"/>
      <c r="C529" s="91"/>
      <c r="D529" s="91"/>
      <c r="E529" s="91"/>
      <c r="F529" s="92"/>
      <c r="G529" s="91"/>
      <c r="H529" s="91"/>
      <c r="I529" s="91"/>
      <c r="J529" s="91"/>
      <c r="K529" s="91"/>
      <c r="L529" s="3"/>
    </row>
    <row r="530" ht="14.25" customHeight="1">
      <c r="A530" s="91"/>
      <c r="B530" s="91"/>
      <c r="C530" s="91"/>
      <c r="D530" s="91"/>
      <c r="E530" s="91"/>
      <c r="F530" s="92"/>
      <c r="G530" s="91"/>
      <c r="H530" s="91"/>
      <c r="I530" s="91"/>
      <c r="J530" s="91"/>
      <c r="K530" s="91"/>
      <c r="L530" s="3"/>
    </row>
    <row r="531" ht="14.25" customHeight="1">
      <c r="A531" s="91"/>
      <c r="B531" s="91"/>
      <c r="C531" s="91"/>
      <c r="D531" s="91"/>
      <c r="E531" s="91"/>
      <c r="F531" s="92"/>
      <c r="G531" s="91"/>
      <c r="H531" s="91"/>
      <c r="I531" s="91"/>
      <c r="J531" s="91"/>
      <c r="K531" s="91"/>
      <c r="L531" s="3"/>
    </row>
    <row r="532" ht="14.25" customHeight="1">
      <c r="A532" s="91"/>
      <c r="B532" s="91"/>
      <c r="C532" s="91"/>
      <c r="D532" s="91"/>
      <c r="E532" s="91"/>
      <c r="F532" s="92"/>
      <c r="G532" s="91"/>
      <c r="H532" s="91"/>
      <c r="I532" s="91"/>
      <c r="J532" s="91"/>
      <c r="K532" s="91"/>
      <c r="L532" s="3"/>
    </row>
    <row r="533" ht="14.25" customHeight="1">
      <c r="A533" s="91"/>
      <c r="B533" s="91"/>
      <c r="C533" s="91"/>
      <c r="D533" s="91"/>
      <c r="E533" s="91"/>
      <c r="F533" s="92"/>
      <c r="G533" s="91"/>
      <c r="H533" s="91"/>
      <c r="I533" s="91"/>
      <c r="J533" s="91"/>
      <c r="K533" s="91"/>
      <c r="L533" s="3"/>
    </row>
    <row r="534" ht="14.25" customHeight="1">
      <c r="A534" s="91"/>
      <c r="B534" s="91"/>
      <c r="C534" s="91"/>
      <c r="D534" s="91"/>
      <c r="E534" s="91"/>
      <c r="F534" s="92"/>
      <c r="G534" s="91"/>
      <c r="H534" s="91"/>
      <c r="I534" s="91"/>
      <c r="J534" s="91"/>
      <c r="K534" s="91"/>
      <c r="L534" s="3"/>
    </row>
    <row r="535" ht="14.25" customHeight="1">
      <c r="A535" s="91"/>
      <c r="B535" s="91"/>
      <c r="C535" s="91"/>
      <c r="D535" s="91"/>
      <c r="E535" s="91"/>
      <c r="F535" s="92"/>
      <c r="G535" s="91"/>
      <c r="H535" s="91"/>
      <c r="I535" s="91"/>
      <c r="J535" s="91"/>
      <c r="K535" s="91"/>
      <c r="L535" s="3"/>
    </row>
    <row r="536" ht="14.25" customHeight="1">
      <c r="A536" s="91"/>
      <c r="B536" s="91"/>
      <c r="C536" s="91"/>
      <c r="D536" s="91"/>
      <c r="E536" s="91"/>
      <c r="F536" s="92"/>
      <c r="G536" s="91"/>
      <c r="H536" s="91"/>
      <c r="I536" s="91"/>
      <c r="J536" s="91"/>
      <c r="K536" s="91"/>
      <c r="L536" s="3"/>
    </row>
    <row r="537" ht="14.25" customHeight="1">
      <c r="A537" s="91"/>
      <c r="B537" s="91"/>
      <c r="C537" s="91"/>
      <c r="D537" s="91"/>
      <c r="E537" s="91"/>
      <c r="F537" s="92"/>
      <c r="G537" s="91"/>
      <c r="H537" s="91"/>
      <c r="I537" s="91"/>
      <c r="J537" s="91"/>
      <c r="K537" s="91"/>
      <c r="L537" s="3"/>
    </row>
    <row r="538" ht="14.25" customHeight="1">
      <c r="A538" s="91"/>
      <c r="B538" s="91"/>
      <c r="C538" s="91"/>
      <c r="D538" s="91"/>
      <c r="E538" s="91"/>
      <c r="F538" s="92"/>
      <c r="G538" s="91"/>
      <c r="H538" s="91"/>
      <c r="I538" s="91"/>
      <c r="J538" s="91"/>
      <c r="K538" s="91"/>
      <c r="L538" s="3"/>
    </row>
    <row r="539" ht="14.25" customHeight="1">
      <c r="A539" s="91"/>
      <c r="B539" s="91"/>
      <c r="C539" s="91"/>
      <c r="D539" s="91"/>
      <c r="E539" s="91"/>
      <c r="F539" s="92"/>
      <c r="G539" s="91"/>
      <c r="H539" s="91"/>
      <c r="I539" s="91"/>
      <c r="J539" s="91"/>
      <c r="K539" s="91"/>
      <c r="L539" s="3"/>
    </row>
    <row r="540" ht="14.25" customHeight="1">
      <c r="A540" s="91"/>
      <c r="B540" s="91"/>
      <c r="C540" s="91"/>
      <c r="D540" s="91"/>
      <c r="E540" s="91"/>
      <c r="F540" s="92"/>
      <c r="G540" s="91"/>
      <c r="H540" s="91"/>
      <c r="I540" s="91"/>
      <c r="J540" s="91"/>
      <c r="K540" s="91"/>
      <c r="L540" s="3"/>
    </row>
    <row r="541" ht="14.25" customHeight="1">
      <c r="A541" s="91"/>
      <c r="B541" s="91"/>
      <c r="C541" s="91"/>
      <c r="D541" s="91"/>
      <c r="E541" s="91"/>
      <c r="F541" s="92"/>
      <c r="G541" s="91"/>
      <c r="H541" s="91"/>
      <c r="I541" s="91"/>
      <c r="J541" s="91"/>
      <c r="K541" s="91"/>
      <c r="L541" s="3"/>
    </row>
    <row r="542" ht="14.25" customHeight="1">
      <c r="A542" s="91"/>
      <c r="B542" s="91"/>
      <c r="C542" s="91"/>
      <c r="D542" s="91"/>
      <c r="E542" s="91"/>
      <c r="F542" s="92"/>
      <c r="G542" s="91"/>
      <c r="H542" s="91"/>
      <c r="I542" s="91"/>
      <c r="J542" s="91"/>
      <c r="K542" s="91"/>
      <c r="L542" s="3"/>
    </row>
    <row r="543" ht="14.25" customHeight="1">
      <c r="A543" s="91"/>
      <c r="B543" s="91"/>
      <c r="C543" s="91"/>
      <c r="D543" s="91"/>
      <c r="E543" s="91"/>
      <c r="F543" s="92"/>
      <c r="G543" s="91"/>
      <c r="H543" s="91"/>
      <c r="I543" s="91"/>
      <c r="J543" s="91"/>
      <c r="K543" s="91"/>
      <c r="L543" s="3"/>
    </row>
    <row r="544" ht="14.25" customHeight="1">
      <c r="A544" s="91"/>
      <c r="B544" s="91"/>
      <c r="C544" s="91"/>
      <c r="D544" s="91"/>
      <c r="E544" s="91"/>
      <c r="F544" s="92"/>
      <c r="G544" s="91"/>
      <c r="H544" s="91"/>
      <c r="I544" s="91"/>
      <c r="J544" s="91"/>
      <c r="K544" s="91"/>
      <c r="L544" s="3"/>
    </row>
    <row r="545" ht="14.25" customHeight="1">
      <c r="A545" s="91"/>
      <c r="B545" s="91"/>
      <c r="C545" s="91"/>
      <c r="D545" s="91"/>
      <c r="E545" s="91"/>
      <c r="F545" s="92"/>
      <c r="G545" s="91"/>
      <c r="H545" s="91"/>
      <c r="I545" s="91"/>
      <c r="J545" s="91"/>
      <c r="K545" s="91"/>
      <c r="L545" s="3"/>
    </row>
    <row r="546" ht="14.25" customHeight="1">
      <c r="A546" s="91"/>
      <c r="B546" s="91"/>
      <c r="C546" s="91"/>
      <c r="D546" s="91"/>
      <c r="E546" s="91"/>
      <c r="F546" s="92"/>
      <c r="G546" s="91"/>
      <c r="H546" s="91"/>
      <c r="I546" s="91"/>
      <c r="J546" s="91"/>
      <c r="K546" s="91"/>
      <c r="L546" s="3"/>
    </row>
    <row r="547" ht="14.25" customHeight="1">
      <c r="A547" s="91"/>
      <c r="B547" s="91"/>
      <c r="C547" s="91"/>
      <c r="D547" s="91"/>
      <c r="E547" s="91"/>
      <c r="F547" s="92"/>
      <c r="G547" s="91"/>
      <c r="H547" s="91"/>
      <c r="I547" s="91"/>
      <c r="J547" s="91"/>
      <c r="K547" s="91"/>
      <c r="L547" s="3"/>
    </row>
    <row r="548" ht="14.25" customHeight="1">
      <c r="A548" s="91"/>
      <c r="B548" s="91"/>
      <c r="C548" s="91"/>
      <c r="D548" s="91"/>
      <c r="E548" s="91"/>
      <c r="F548" s="92"/>
      <c r="G548" s="91"/>
      <c r="H548" s="91"/>
      <c r="I548" s="91"/>
      <c r="J548" s="91"/>
      <c r="K548" s="91"/>
      <c r="L548" s="3"/>
    </row>
    <row r="549" ht="14.25" customHeight="1">
      <c r="A549" s="91"/>
      <c r="B549" s="91"/>
      <c r="C549" s="91"/>
      <c r="D549" s="91"/>
      <c r="E549" s="91"/>
      <c r="F549" s="92"/>
      <c r="G549" s="91"/>
      <c r="H549" s="91"/>
      <c r="I549" s="91"/>
      <c r="J549" s="91"/>
      <c r="K549" s="91"/>
      <c r="L549" s="3"/>
    </row>
    <row r="550" ht="14.25" customHeight="1">
      <c r="A550" s="91"/>
      <c r="B550" s="91"/>
      <c r="C550" s="91"/>
      <c r="D550" s="91"/>
      <c r="E550" s="91"/>
      <c r="F550" s="92"/>
      <c r="G550" s="91"/>
      <c r="H550" s="91"/>
      <c r="I550" s="91"/>
      <c r="J550" s="91"/>
      <c r="K550" s="91"/>
      <c r="L550" s="3"/>
    </row>
    <row r="551" ht="14.25" customHeight="1">
      <c r="A551" s="91"/>
      <c r="B551" s="91"/>
      <c r="C551" s="91"/>
      <c r="D551" s="91"/>
      <c r="E551" s="91"/>
      <c r="F551" s="92"/>
      <c r="G551" s="91"/>
      <c r="H551" s="91"/>
      <c r="I551" s="91"/>
      <c r="J551" s="91"/>
      <c r="K551" s="91"/>
      <c r="L551" s="3"/>
    </row>
    <row r="552" ht="14.25" customHeight="1">
      <c r="A552" s="91"/>
      <c r="B552" s="91"/>
      <c r="C552" s="91"/>
      <c r="D552" s="91"/>
      <c r="E552" s="91"/>
      <c r="F552" s="92"/>
      <c r="G552" s="91"/>
      <c r="H552" s="91"/>
      <c r="I552" s="91"/>
      <c r="J552" s="91"/>
      <c r="K552" s="91"/>
      <c r="L552" s="3"/>
    </row>
    <row r="553" ht="14.25" customHeight="1">
      <c r="A553" s="91"/>
      <c r="B553" s="91"/>
      <c r="C553" s="91"/>
      <c r="D553" s="91"/>
      <c r="E553" s="91"/>
      <c r="F553" s="92"/>
      <c r="G553" s="91"/>
      <c r="H553" s="91"/>
      <c r="I553" s="91"/>
      <c r="J553" s="91"/>
      <c r="K553" s="91"/>
      <c r="L553" s="3"/>
    </row>
    <row r="554" ht="14.25" customHeight="1">
      <c r="A554" s="91"/>
      <c r="B554" s="91"/>
      <c r="C554" s="91"/>
      <c r="D554" s="91"/>
      <c r="E554" s="91"/>
      <c r="F554" s="92"/>
      <c r="G554" s="91"/>
      <c r="H554" s="91"/>
      <c r="I554" s="91"/>
      <c r="J554" s="91"/>
      <c r="K554" s="91"/>
      <c r="L554" s="3"/>
    </row>
    <row r="555" ht="14.25" customHeight="1">
      <c r="A555" s="91"/>
      <c r="B555" s="91"/>
      <c r="C555" s="91"/>
      <c r="D555" s="91"/>
      <c r="E555" s="91"/>
      <c r="F555" s="92"/>
      <c r="G555" s="91"/>
      <c r="H555" s="91"/>
      <c r="I555" s="91"/>
      <c r="J555" s="91"/>
      <c r="K555" s="91"/>
      <c r="L555" s="3"/>
    </row>
    <row r="556" ht="14.25" customHeight="1">
      <c r="A556" s="91"/>
      <c r="B556" s="91"/>
      <c r="C556" s="91"/>
      <c r="D556" s="91"/>
      <c r="E556" s="91"/>
      <c r="F556" s="92"/>
      <c r="G556" s="91"/>
      <c r="H556" s="91"/>
      <c r="I556" s="91"/>
      <c r="J556" s="91"/>
      <c r="K556" s="91"/>
      <c r="L556" s="3"/>
    </row>
    <row r="557" ht="14.25" customHeight="1">
      <c r="A557" s="91"/>
      <c r="B557" s="91"/>
      <c r="C557" s="91"/>
      <c r="D557" s="91"/>
      <c r="E557" s="91"/>
      <c r="F557" s="92"/>
      <c r="G557" s="91"/>
      <c r="H557" s="91"/>
      <c r="I557" s="91"/>
      <c r="J557" s="91"/>
      <c r="K557" s="91"/>
      <c r="L557" s="3"/>
    </row>
    <row r="558" ht="14.25" customHeight="1">
      <c r="A558" s="91"/>
      <c r="B558" s="91"/>
      <c r="C558" s="91"/>
      <c r="D558" s="91"/>
      <c r="E558" s="91"/>
      <c r="F558" s="92"/>
      <c r="G558" s="91"/>
      <c r="H558" s="91"/>
      <c r="I558" s="91"/>
      <c r="J558" s="91"/>
      <c r="K558" s="91"/>
      <c r="L558" s="3"/>
    </row>
    <row r="559" ht="14.25" customHeight="1">
      <c r="A559" s="91"/>
      <c r="B559" s="91"/>
      <c r="C559" s="91"/>
      <c r="D559" s="91"/>
      <c r="E559" s="91"/>
      <c r="F559" s="92"/>
      <c r="G559" s="91"/>
      <c r="H559" s="91"/>
      <c r="I559" s="91"/>
      <c r="J559" s="91"/>
      <c r="K559" s="91"/>
      <c r="L559" s="3"/>
    </row>
    <row r="560" ht="14.25" customHeight="1">
      <c r="A560" s="91"/>
      <c r="B560" s="91"/>
      <c r="C560" s="91"/>
      <c r="D560" s="91"/>
      <c r="E560" s="91"/>
      <c r="F560" s="92"/>
      <c r="G560" s="91"/>
      <c r="H560" s="91"/>
      <c r="I560" s="91"/>
      <c r="J560" s="91"/>
      <c r="K560" s="91"/>
      <c r="L560" s="3"/>
    </row>
    <row r="561" ht="14.25" customHeight="1">
      <c r="A561" s="91"/>
      <c r="B561" s="91"/>
      <c r="C561" s="91"/>
      <c r="D561" s="91"/>
      <c r="E561" s="91"/>
      <c r="F561" s="92"/>
      <c r="G561" s="91"/>
      <c r="H561" s="91"/>
      <c r="I561" s="91"/>
      <c r="J561" s="91"/>
      <c r="K561" s="91"/>
      <c r="L561" s="3"/>
    </row>
    <row r="562" ht="14.25" customHeight="1">
      <c r="A562" s="91"/>
      <c r="B562" s="91"/>
      <c r="C562" s="91"/>
      <c r="D562" s="91"/>
      <c r="E562" s="91"/>
      <c r="F562" s="92"/>
      <c r="G562" s="91"/>
      <c r="H562" s="91"/>
      <c r="I562" s="91"/>
      <c r="J562" s="91"/>
      <c r="K562" s="91"/>
      <c r="L562" s="3"/>
    </row>
    <row r="563" ht="14.25" customHeight="1">
      <c r="A563" s="91"/>
      <c r="B563" s="91"/>
      <c r="C563" s="91"/>
      <c r="D563" s="91"/>
      <c r="E563" s="91"/>
      <c r="F563" s="92"/>
      <c r="G563" s="91"/>
      <c r="H563" s="91"/>
      <c r="I563" s="91"/>
      <c r="J563" s="91"/>
      <c r="K563" s="91"/>
      <c r="L563" s="3"/>
    </row>
    <row r="564" ht="14.25" customHeight="1">
      <c r="A564" s="91"/>
      <c r="B564" s="91"/>
      <c r="C564" s="91"/>
      <c r="D564" s="91"/>
      <c r="E564" s="91"/>
      <c r="F564" s="92"/>
      <c r="G564" s="91"/>
      <c r="H564" s="91"/>
      <c r="I564" s="91"/>
      <c r="J564" s="91"/>
      <c r="K564" s="91"/>
      <c r="L564" s="3"/>
    </row>
    <row r="565" ht="14.25" customHeight="1">
      <c r="A565" s="91"/>
      <c r="B565" s="91"/>
      <c r="C565" s="91"/>
      <c r="D565" s="91"/>
      <c r="E565" s="91"/>
      <c r="F565" s="92"/>
      <c r="G565" s="91"/>
      <c r="H565" s="91"/>
      <c r="I565" s="91"/>
      <c r="J565" s="91"/>
      <c r="K565" s="91"/>
      <c r="L565" s="3"/>
    </row>
    <row r="566" ht="14.25" customHeight="1">
      <c r="A566" s="91"/>
      <c r="B566" s="91"/>
      <c r="C566" s="91"/>
      <c r="D566" s="91"/>
      <c r="E566" s="91"/>
      <c r="F566" s="92"/>
      <c r="G566" s="91"/>
      <c r="H566" s="91"/>
      <c r="I566" s="91"/>
      <c r="J566" s="91"/>
      <c r="K566" s="91"/>
      <c r="L566" s="3"/>
    </row>
    <row r="567" ht="14.25" customHeight="1">
      <c r="A567" s="91"/>
      <c r="B567" s="91"/>
      <c r="C567" s="91"/>
      <c r="D567" s="91"/>
      <c r="E567" s="91"/>
      <c r="F567" s="92"/>
      <c r="G567" s="91"/>
      <c r="H567" s="91"/>
      <c r="I567" s="91"/>
      <c r="J567" s="91"/>
      <c r="K567" s="91"/>
      <c r="L567" s="3"/>
    </row>
    <row r="568" ht="14.25" customHeight="1">
      <c r="A568" s="91"/>
      <c r="B568" s="91"/>
      <c r="C568" s="91"/>
      <c r="D568" s="91"/>
      <c r="E568" s="91"/>
      <c r="F568" s="92"/>
      <c r="G568" s="91"/>
      <c r="H568" s="91"/>
      <c r="I568" s="91"/>
      <c r="J568" s="91"/>
      <c r="K568" s="91"/>
      <c r="L568" s="3"/>
    </row>
    <row r="569" ht="14.25" customHeight="1">
      <c r="A569" s="91"/>
      <c r="B569" s="91"/>
      <c r="C569" s="91"/>
      <c r="D569" s="91"/>
      <c r="E569" s="91"/>
      <c r="F569" s="92"/>
      <c r="G569" s="91"/>
      <c r="H569" s="91"/>
      <c r="I569" s="91"/>
      <c r="J569" s="91"/>
      <c r="K569" s="91"/>
      <c r="L569" s="3"/>
    </row>
    <row r="570" ht="14.25" customHeight="1">
      <c r="A570" s="91"/>
      <c r="B570" s="91"/>
      <c r="C570" s="91"/>
      <c r="D570" s="91"/>
      <c r="E570" s="91"/>
      <c r="F570" s="92"/>
      <c r="G570" s="91"/>
      <c r="H570" s="91"/>
      <c r="I570" s="91"/>
      <c r="J570" s="91"/>
      <c r="K570" s="91"/>
      <c r="L570" s="3"/>
    </row>
    <row r="571" ht="14.25" customHeight="1">
      <c r="A571" s="91"/>
      <c r="B571" s="91"/>
      <c r="C571" s="91"/>
      <c r="D571" s="91"/>
      <c r="E571" s="91"/>
      <c r="F571" s="92"/>
      <c r="G571" s="91"/>
      <c r="H571" s="91"/>
      <c r="I571" s="91"/>
      <c r="J571" s="91"/>
      <c r="K571" s="91"/>
      <c r="L571" s="3"/>
    </row>
    <row r="572" ht="14.25" customHeight="1">
      <c r="A572" s="91"/>
      <c r="B572" s="91"/>
      <c r="C572" s="91"/>
      <c r="D572" s="91"/>
      <c r="E572" s="91"/>
      <c r="F572" s="92"/>
      <c r="G572" s="91"/>
      <c r="H572" s="91"/>
      <c r="I572" s="91"/>
      <c r="J572" s="91"/>
      <c r="K572" s="91"/>
      <c r="L572" s="3"/>
    </row>
    <row r="573" ht="14.25" customHeight="1">
      <c r="A573" s="91"/>
      <c r="B573" s="91"/>
      <c r="C573" s="91"/>
      <c r="D573" s="91"/>
      <c r="E573" s="91"/>
      <c r="F573" s="92"/>
      <c r="G573" s="91"/>
      <c r="H573" s="91"/>
      <c r="I573" s="91"/>
      <c r="J573" s="91"/>
      <c r="K573" s="91"/>
      <c r="L573" s="3"/>
    </row>
    <row r="574" ht="14.25" customHeight="1">
      <c r="A574" s="91"/>
      <c r="B574" s="91"/>
      <c r="C574" s="91"/>
      <c r="D574" s="91"/>
      <c r="E574" s="91"/>
      <c r="F574" s="92"/>
      <c r="G574" s="91"/>
      <c r="H574" s="91"/>
      <c r="I574" s="91"/>
      <c r="J574" s="91"/>
      <c r="K574" s="91"/>
      <c r="L574" s="3"/>
    </row>
    <row r="575" ht="14.25" customHeight="1">
      <c r="A575" s="91"/>
      <c r="B575" s="91"/>
      <c r="C575" s="91"/>
      <c r="D575" s="91"/>
      <c r="E575" s="91"/>
      <c r="F575" s="92"/>
      <c r="G575" s="91"/>
      <c r="H575" s="91"/>
      <c r="I575" s="91"/>
      <c r="J575" s="91"/>
      <c r="K575" s="91"/>
      <c r="L575" s="3"/>
    </row>
    <row r="576" ht="14.25" customHeight="1">
      <c r="A576" s="91"/>
      <c r="B576" s="91"/>
      <c r="C576" s="91"/>
      <c r="D576" s="91"/>
      <c r="E576" s="91"/>
      <c r="F576" s="92"/>
      <c r="G576" s="91"/>
      <c r="H576" s="91"/>
      <c r="I576" s="91"/>
      <c r="J576" s="91"/>
      <c r="K576" s="91"/>
      <c r="L576" s="3"/>
    </row>
    <row r="577" ht="14.25" customHeight="1">
      <c r="A577" s="91"/>
      <c r="B577" s="91"/>
      <c r="C577" s="91"/>
      <c r="D577" s="91"/>
      <c r="E577" s="91"/>
      <c r="F577" s="92"/>
      <c r="G577" s="91"/>
      <c r="H577" s="91"/>
      <c r="I577" s="91"/>
      <c r="J577" s="91"/>
      <c r="K577" s="91"/>
      <c r="L577" s="3"/>
    </row>
    <row r="578" ht="14.25" customHeight="1">
      <c r="A578" s="91"/>
      <c r="B578" s="91"/>
      <c r="C578" s="91"/>
      <c r="D578" s="91"/>
      <c r="E578" s="91"/>
      <c r="F578" s="92"/>
      <c r="G578" s="91"/>
      <c r="H578" s="91"/>
      <c r="I578" s="91"/>
      <c r="J578" s="91"/>
      <c r="K578" s="91"/>
      <c r="L578" s="3"/>
    </row>
    <row r="579" ht="14.25" customHeight="1">
      <c r="A579" s="91"/>
      <c r="B579" s="91"/>
      <c r="C579" s="91"/>
      <c r="D579" s="91"/>
      <c r="E579" s="91"/>
      <c r="F579" s="92"/>
      <c r="G579" s="91"/>
      <c r="H579" s="91"/>
      <c r="I579" s="91"/>
      <c r="J579" s="91"/>
      <c r="K579" s="91"/>
      <c r="L579" s="3"/>
    </row>
    <row r="580" ht="14.25" customHeight="1">
      <c r="A580" s="91"/>
      <c r="B580" s="91"/>
      <c r="C580" s="91"/>
      <c r="D580" s="91"/>
      <c r="E580" s="91"/>
      <c r="F580" s="92"/>
      <c r="G580" s="91"/>
      <c r="H580" s="91"/>
      <c r="I580" s="91"/>
      <c r="J580" s="91"/>
      <c r="K580" s="91"/>
      <c r="L580" s="3"/>
    </row>
    <row r="581" ht="14.25" customHeight="1">
      <c r="A581" s="91"/>
      <c r="B581" s="91"/>
      <c r="C581" s="91"/>
      <c r="D581" s="91"/>
      <c r="E581" s="91"/>
      <c r="F581" s="92"/>
      <c r="G581" s="91"/>
      <c r="H581" s="91"/>
      <c r="I581" s="91"/>
      <c r="J581" s="91"/>
      <c r="K581" s="91"/>
      <c r="L581" s="3"/>
    </row>
    <row r="582" ht="14.25" customHeight="1">
      <c r="A582" s="91"/>
      <c r="B582" s="91"/>
      <c r="C582" s="91"/>
      <c r="D582" s="91"/>
      <c r="E582" s="91"/>
      <c r="F582" s="92"/>
      <c r="G582" s="91"/>
      <c r="H582" s="91"/>
      <c r="I582" s="91"/>
      <c r="J582" s="91"/>
      <c r="K582" s="91"/>
      <c r="L582" s="3"/>
    </row>
    <row r="583" ht="14.25" customHeight="1">
      <c r="A583" s="91"/>
      <c r="B583" s="91"/>
      <c r="C583" s="91"/>
      <c r="D583" s="91"/>
      <c r="E583" s="91"/>
      <c r="F583" s="92"/>
      <c r="G583" s="91"/>
      <c r="H583" s="91"/>
      <c r="I583" s="91"/>
      <c r="J583" s="91"/>
      <c r="K583" s="91"/>
      <c r="L583" s="3"/>
    </row>
    <row r="584" ht="14.25" customHeight="1">
      <c r="A584" s="91"/>
      <c r="B584" s="91"/>
      <c r="C584" s="91"/>
      <c r="D584" s="91"/>
      <c r="E584" s="91"/>
      <c r="F584" s="92"/>
      <c r="G584" s="91"/>
      <c r="H584" s="91"/>
      <c r="I584" s="91"/>
      <c r="J584" s="91"/>
      <c r="K584" s="91"/>
      <c r="L584" s="3"/>
    </row>
    <row r="585" ht="14.25" customHeight="1">
      <c r="A585" s="91"/>
      <c r="B585" s="91"/>
      <c r="C585" s="91"/>
      <c r="D585" s="91"/>
      <c r="E585" s="91"/>
      <c r="F585" s="92"/>
      <c r="G585" s="91"/>
      <c r="H585" s="91"/>
      <c r="I585" s="91"/>
      <c r="J585" s="91"/>
      <c r="K585" s="91"/>
      <c r="L585" s="3"/>
    </row>
    <row r="586" ht="14.25" customHeight="1">
      <c r="A586" s="91"/>
      <c r="B586" s="91"/>
      <c r="C586" s="91"/>
      <c r="D586" s="91"/>
      <c r="E586" s="91"/>
      <c r="F586" s="92"/>
      <c r="G586" s="91"/>
      <c r="H586" s="91"/>
      <c r="I586" s="91"/>
      <c r="J586" s="91"/>
      <c r="K586" s="91"/>
      <c r="L586" s="3"/>
    </row>
    <row r="587" ht="14.25" customHeight="1">
      <c r="A587" s="91"/>
      <c r="B587" s="91"/>
      <c r="C587" s="91"/>
      <c r="D587" s="91"/>
      <c r="E587" s="91"/>
      <c r="F587" s="92"/>
      <c r="G587" s="91"/>
      <c r="H587" s="91"/>
      <c r="I587" s="91"/>
      <c r="J587" s="91"/>
      <c r="K587" s="91"/>
      <c r="L587" s="3"/>
    </row>
    <row r="588" ht="14.25" customHeight="1">
      <c r="A588" s="91"/>
      <c r="B588" s="91"/>
      <c r="C588" s="91"/>
      <c r="D588" s="91"/>
      <c r="E588" s="91"/>
      <c r="F588" s="92"/>
      <c r="G588" s="91"/>
      <c r="H588" s="91"/>
      <c r="I588" s="91"/>
      <c r="J588" s="91"/>
      <c r="K588" s="91"/>
      <c r="L588" s="3"/>
    </row>
    <row r="589" ht="14.25" customHeight="1">
      <c r="A589" s="91"/>
      <c r="B589" s="91"/>
      <c r="C589" s="91"/>
      <c r="D589" s="91"/>
      <c r="E589" s="91"/>
      <c r="F589" s="92"/>
      <c r="G589" s="91"/>
      <c r="H589" s="91"/>
      <c r="I589" s="91"/>
      <c r="J589" s="91"/>
      <c r="K589" s="91"/>
      <c r="L589" s="3"/>
    </row>
    <row r="590" ht="14.25" customHeight="1">
      <c r="A590" s="91"/>
      <c r="B590" s="91"/>
      <c r="C590" s="91"/>
      <c r="D590" s="91"/>
      <c r="E590" s="91"/>
      <c r="F590" s="92"/>
      <c r="G590" s="91"/>
      <c r="H590" s="91"/>
      <c r="I590" s="91"/>
      <c r="J590" s="91"/>
      <c r="K590" s="91"/>
      <c r="L590" s="3"/>
    </row>
    <row r="591" ht="14.25" customHeight="1">
      <c r="A591" s="91"/>
      <c r="B591" s="91"/>
      <c r="C591" s="91"/>
      <c r="D591" s="91"/>
      <c r="E591" s="91"/>
      <c r="F591" s="92"/>
      <c r="G591" s="91"/>
      <c r="H591" s="91"/>
      <c r="I591" s="91"/>
      <c r="J591" s="91"/>
      <c r="K591" s="91"/>
      <c r="L591" s="3"/>
    </row>
    <row r="592" ht="14.25" customHeight="1">
      <c r="A592" s="91"/>
      <c r="B592" s="91"/>
      <c r="C592" s="91"/>
      <c r="D592" s="91"/>
      <c r="E592" s="91"/>
      <c r="F592" s="92"/>
      <c r="G592" s="91"/>
      <c r="H592" s="91"/>
      <c r="I592" s="91"/>
      <c r="J592" s="91"/>
      <c r="K592" s="91"/>
      <c r="L592" s="3"/>
    </row>
    <row r="593" ht="14.25" customHeight="1">
      <c r="A593" s="91"/>
      <c r="B593" s="91"/>
      <c r="C593" s="91"/>
      <c r="D593" s="91"/>
      <c r="E593" s="91"/>
      <c r="F593" s="92"/>
      <c r="G593" s="91"/>
      <c r="H593" s="91"/>
      <c r="I593" s="91"/>
      <c r="J593" s="91"/>
      <c r="K593" s="91"/>
      <c r="L593" s="3"/>
    </row>
    <row r="594" ht="14.25" customHeight="1">
      <c r="A594" s="91"/>
      <c r="B594" s="91"/>
      <c r="C594" s="91"/>
      <c r="D594" s="91"/>
      <c r="E594" s="91"/>
      <c r="F594" s="92"/>
      <c r="G594" s="91"/>
      <c r="H594" s="91"/>
      <c r="I594" s="91"/>
      <c r="J594" s="91"/>
      <c r="K594" s="91"/>
      <c r="L594" s="3"/>
    </row>
    <row r="595" ht="14.25" customHeight="1">
      <c r="A595" s="91"/>
      <c r="B595" s="91"/>
      <c r="C595" s="91"/>
      <c r="D595" s="91"/>
      <c r="E595" s="91"/>
      <c r="F595" s="92"/>
      <c r="G595" s="91"/>
      <c r="H595" s="91"/>
      <c r="I595" s="91"/>
      <c r="J595" s="91"/>
      <c r="K595" s="91"/>
      <c r="L595" s="3"/>
    </row>
    <row r="596" ht="14.25" customHeight="1">
      <c r="A596" s="91"/>
      <c r="B596" s="91"/>
      <c r="C596" s="91"/>
      <c r="D596" s="91"/>
      <c r="E596" s="91"/>
      <c r="F596" s="92"/>
      <c r="G596" s="91"/>
      <c r="H596" s="91"/>
      <c r="I596" s="91"/>
      <c r="J596" s="91"/>
      <c r="K596" s="91"/>
      <c r="L596" s="3"/>
    </row>
    <row r="597" ht="14.25" customHeight="1">
      <c r="A597" s="91"/>
      <c r="B597" s="91"/>
      <c r="C597" s="91"/>
      <c r="D597" s="91"/>
      <c r="E597" s="91"/>
      <c r="F597" s="92"/>
      <c r="G597" s="91"/>
      <c r="H597" s="91"/>
      <c r="I597" s="91"/>
      <c r="J597" s="91"/>
      <c r="K597" s="91"/>
      <c r="L597" s="3"/>
    </row>
    <row r="598" ht="14.25" customHeight="1">
      <c r="A598" s="91"/>
      <c r="B598" s="91"/>
      <c r="C598" s="91"/>
      <c r="D598" s="91"/>
      <c r="E598" s="91"/>
      <c r="F598" s="92"/>
      <c r="G598" s="91"/>
      <c r="H598" s="91"/>
      <c r="I598" s="91"/>
      <c r="J598" s="91"/>
      <c r="K598" s="91"/>
      <c r="L598" s="3"/>
    </row>
    <row r="599" ht="14.25" customHeight="1">
      <c r="A599" s="91"/>
      <c r="B599" s="91"/>
      <c r="C599" s="91"/>
      <c r="D599" s="91"/>
      <c r="E599" s="91"/>
      <c r="F599" s="92"/>
      <c r="G599" s="91"/>
      <c r="H599" s="91"/>
      <c r="I599" s="91"/>
      <c r="J599" s="91"/>
      <c r="K599" s="91"/>
      <c r="L599" s="3"/>
    </row>
    <row r="600" ht="14.25" customHeight="1">
      <c r="A600" s="91"/>
      <c r="B600" s="91"/>
      <c r="C600" s="91"/>
      <c r="D600" s="91"/>
      <c r="E600" s="91"/>
      <c r="F600" s="92"/>
      <c r="G600" s="91"/>
      <c r="H600" s="91"/>
      <c r="I600" s="91"/>
      <c r="J600" s="91"/>
      <c r="K600" s="91"/>
      <c r="L600" s="3"/>
    </row>
    <row r="601" ht="14.25" customHeight="1">
      <c r="A601" s="91"/>
      <c r="B601" s="91"/>
      <c r="C601" s="91"/>
      <c r="D601" s="91"/>
      <c r="E601" s="91"/>
      <c r="F601" s="92"/>
      <c r="G601" s="91"/>
      <c r="H601" s="91"/>
      <c r="I601" s="91"/>
      <c r="J601" s="91"/>
      <c r="K601" s="91"/>
      <c r="L601" s="3"/>
    </row>
    <row r="602" ht="14.25" customHeight="1">
      <c r="A602" s="91"/>
      <c r="B602" s="91"/>
      <c r="C602" s="91"/>
      <c r="D602" s="91"/>
      <c r="E602" s="91"/>
      <c r="F602" s="92"/>
      <c r="G602" s="91"/>
      <c r="H602" s="91"/>
      <c r="I602" s="91"/>
      <c r="J602" s="91"/>
      <c r="K602" s="91"/>
      <c r="L602" s="3"/>
    </row>
    <row r="603" ht="14.25" customHeight="1">
      <c r="A603" s="91"/>
      <c r="B603" s="91"/>
      <c r="C603" s="91"/>
      <c r="D603" s="91"/>
      <c r="E603" s="91"/>
      <c r="F603" s="92"/>
      <c r="G603" s="91"/>
      <c r="H603" s="91"/>
      <c r="I603" s="91"/>
      <c r="J603" s="91"/>
      <c r="K603" s="91"/>
      <c r="L603" s="3"/>
    </row>
    <row r="604" ht="14.25" customHeight="1">
      <c r="A604" s="91"/>
      <c r="B604" s="91"/>
      <c r="C604" s="91"/>
      <c r="D604" s="91"/>
      <c r="E604" s="91"/>
      <c r="F604" s="92"/>
      <c r="G604" s="91"/>
      <c r="H604" s="91"/>
      <c r="I604" s="91"/>
      <c r="J604" s="91"/>
      <c r="K604" s="91"/>
      <c r="L604" s="3"/>
    </row>
    <row r="605" ht="14.25" customHeight="1">
      <c r="A605" s="91"/>
      <c r="B605" s="91"/>
      <c r="C605" s="91"/>
      <c r="D605" s="91"/>
      <c r="E605" s="91"/>
      <c r="F605" s="92"/>
      <c r="G605" s="91"/>
      <c r="H605" s="91"/>
      <c r="I605" s="91"/>
      <c r="J605" s="91"/>
      <c r="K605" s="91"/>
      <c r="L605" s="3"/>
    </row>
    <row r="606" ht="14.25" customHeight="1">
      <c r="A606" s="91"/>
      <c r="B606" s="91"/>
      <c r="C606" s="91"/>
      <c r="D606" s="91"/>
      <c r="E606" s="91"/>
      <c r="F606" s="92"/>
      <c r="G606" s="91"/>
      <c r="H606" s="91"/>
      <c r="I606" s="91"/>
      <c r="J606" s="91"/>
      <c r="K606" s="91"/>
      <c r="L606" s="3"/>
    </row>
    <row r="607" ht="14.25" customHeight="1">
      <c r="A607" s="91"/>
      <c r="B607" s="91"/>
      <c r="C607" s="91"/>
      <c r="D607" s="91"/>
      <c r="E607" s="91"/>
      <c r="F607" s="92"/>
      <c r="G607" s="91"/>
      <c r="H607" s="91"/>
      <c r="I607" s="91"/>
      <c r="J607" s="91"/>
      <c r="K607" s="91"/>
      <c r="L607" s="3"/>
    </row>
    <row r="608" ht="14.25" customHeight="1">
      <c r="A608" s="91"/>
      <c r="B608" s="91"/>
      <c r="C608" s="91"/>
      <c r="D608" s="91"/>
      <c r="E608" s="91"/>
      <c r="F608" s="92"/>
      <c r="G608" s="91"/>
      <c r="H608" s="91"/>
      <c r="I608" s="91"/>
      <c r="J608" s="91"/>
      <c r="K608" s="91"/>
      <c r="L608" s="3"/>
    </row>
    <row r="609" ht="14.25" customHeight="1">
      <c r="A609" s="91"/>
      <c r="B609" s="91"/>
      <c r="C609" s="91"/>
      <c r="D609" s="91"/>
      <c r="E609" s="91"/>
      <c r="F609" s="92"/>
      <c r="G609" s="91"/>
      <c r="H609" s="91"/>
      <c r="I609" s="91"/>
      <c r="J609" s="91"/>
      <c r="K609" s="91"/>
      <c r="L609" s="3"/>
    </row>
    <row r="610" ht="14.25" customHeight="1">
      <c r="A610" s="91"/>
      <c r="B610" s="91"/>
      <c r="C610" s="91"/>
      <c r="D610" s="91"/>
      <c r="E610" s="91"/>
      <c r="F610" s="92"/>
      <c r="G610" s="91"/>
      <c r="H610" s="91"/>
      <c r="I610" s="91"/>
      <c r="J610" s="91"/>
      <c r="K610" s="91"/>
      <c r="L610" s="3"/>
    </row>
    <row r="611" ht="14.25" customHeight="1">
      <c r="A611" s="91"/>
      <c r="B611" s="91"/>
      <c r="C611" s="91"/>
      <c r="D611" s="91"/>
      <c r="E611" s="91"/>
      <c r="F611" s="92"/>
      <c r="G611" s="91"/>
      <c r="H611" s="91"/>
      <c r="I611" s="91"/>
      <c r="J611" s="91"/>
      <c r="K611" s="91"/>
      <c r="L611" s="3"/>
    </row>
    <row r="612" ht="14.25" customHeight="1">
      <c r="A612" s="91"/>
      <c r="B612" s="91"/>
      <c r="C612" s="91"/>
      <c r="D612" s="91"/>
      <c r="E612" s="91"/>
      <c r="F612" s="92"/>
      <c r="G612" s="91"/>
      <c r="H612" s="91"/>
      <c r="I612" s="91"/>
      <c r="J612" s="91"/>
      <c r="K612" s="91"/>
      <c r="L612" s="3"/>
    </row>
    <row r="613" ht="14.25" customHeight="1">
      <c r="A613" s="91"/>
      <c r="B613" s="91"/>
      <c r="C613" s="91"/>
      <c r="D613" s="91"/>
      <c r="E613" s="91"/>
      <c r="F613" s="92"/>
      <c r="G613" s="91"/>
      <c r="H613" s="91"/>
      <c r="I613" s="91"/>
      <c r="J613" s="91"/>
      <c r="K613" s="91"/>
      <c r="L613" s="3"/>
    </row>
    <row r="614" ht="14.25" customHeight="1">
      <c r="A614" s="91"/>
      <c r="B614" s="91"/>
      <c r="C614" s="91"/>
      <c r="D614" s="91"/>
      <c r="E614" s="91"/>
      <c r="F614" s="92"/>
      <c r="G614" s="91"/>
      <c r="H614" s="91"/>
      <c r="I614" s="91"/>
      <c r="J614" s="91"/>
      <c r="K614" s="91"/>
      <c r="L614" s="3"/>
    </row>
    <row r="615" ht="14.25" customHeight="1">
      <c r="A615" s="91"/>
      <c r="B615" s="91"/>
      <c r="C615" s="91"/>
      <c r="D615" s="91"/>
      <c r="E615" s="91"/>
      <c r="F615" s="92"/>
      <c r="G615" s="91"/>
      <c r="H615" s="91"/>
      <c r="I615" s="91"/>
      <c r="J615" s="91"/>
      <c r="K615" s="91"/>
      <c r="L615" s="3"/>
    </row>
    <row r="616" ht="14.25" customHeight="1">
      <c r="A616" s="91"/>
      <c r="B616" s="91"/>
      <c r="C616" s="91"/>
      <c r="D616" s="91"/>
      <c r="E616" s="91"/>
      <c r="F616" s="92"/>
      <c r="G616" s="91"/>
      <c r="H616" s="91"/>
      <c r="I616" s="91"/>
      <c r="J616" s="91"/>
      <c r="K616" s="91"/>
      <c r="L616" s="3"/>
    </row>
    <row r="617" ht="14.25" customHeight="1">
      <c r="A617" s="91"/>
      <c r="B617" s="91"/>
      <c r="C617" s="91"/>
      <c r="D617" s="91"/>
      <c r="E617" s="91"/>
      <c r="F617" s="92"/>
      <c r="G617" s="91"/>
      <c r="H617" s="91"/>
      <c r="I617" s="91"/>
      <c r="J617" s="91"/>
      <c r="K617" s="91"/>
      <c r="L617" s="3"/>
    </row>
    <row r="618" ht="14.25" customHeight="1">
      <c r="A618" s="91"/>
      <c r="B618" s="91"/>
      <c r="C618" s="91"/>
      <c r="D618" s="91"/>
      <c r="E618" s="91"/>
      <c r="F618" s="92"/>
      <c r="G618" s="91"/>
      <c r="H618" s="91"/>
      <c r="I618" s="91"/>
      <c r="J618" s="91"/>
      <c r="K618" s="91"/>
      <c r="L618" s="3"/>
    </row>
    <row r="619" ht="14.25" customHeight="1">
      <c r="A619" s="91"/>
      <c r="B619" s="91"/>
      <c r="C619" s="91"/>
      <c r="D619" s="91"/>
      <c r="E619" s="91"/>
      <c r="F619" s="92"/>
      <c r="G619" s="91"/>
      <c r="H619" s="91"/>
      <c r="I619" s="91"/>
      <c r="J619" s="91"/>
      <c r="K619" s="91"/>
      <c r="L619" s="3"/>
    </row>
    <row r="620" ht="14.25" customHeight="1">
      <c r="A620" s="91"/>
      <c r="B620" s="91"/>
      <c r="C620" s="91"/>
      <c r="D620" s="91"/>
      <c r="E620" s="91"/>
      <c r="F620" s="92"/>
      <c r="G620" s="91"/>
      <c r="H620" s="91"/>
      <c r="I620" s="91"/>
      <c r="J620" s="91"/>
      <c r="K620" s="91"/>
      <c r="L620" s="3"/>
    </row>
    <row r="621" ht="14.25" customHeight="1">
      <c r="A621" s="91"/>
      <c r="B621" s="91"/>
      <c r="C621" s="91"/>
      <c r="D621" s="91"/>
      <c r="E621" s="91"/>
      <c r="F621" s="92"/>
      <c r="G621" s="91"/>
      <c r="H621" s="91"/>
      <c r="I621" s="91"/>
      <c r="J621" s="91"/>
      <c r="K621" s="91"/>
      <c r="L621" s="3"/>
    </row>
    <row r="622" ht="14.25" customHeight="1">
      <c r="A622" s="91"/>
      <c r="B622" s="91"/>
      <c r="C622" s="91"/>
      <c r="D622" s="91"/>
      <c r="E622" s="91"/>
      <c r="F622" s="92"/>
      <c r="G622" s="91"/>
      <c r="H622" s="91"/>
      <c r="I622" s="91"/>
      <c r="J622" s="91"/>
      <c r="K622" s="91"/>
      <c r="L622" s="3"/>
    </row>
    <row r="623" ht="14.25" customHeight="1">
      <c r="A623" s="91"/>
      <c r="B623" s="91"/>
      <c r="C623" s="91"/>
      <c r="D623" s="91"/>
      <c r="E623" s="91"/>
      <c r="F623" s="92"/>
      <c r="G623" s="91"/>
      <c r="H623" s="91"/>
      <c r="I623" s="91"/>
      <c r="J623" s="91"/>
      <c r="K623" s="91"/>
      <c r="L623" s="3"/>
    </row>
    <row r="624" ht="14.25" customHeight="1">
      <c r="A624" s="91"/>
      <c r="B624" s="91"/>
      <c r="C624" s="91"/>
      <c r="D624" s="91"/>
      <c r="E624" s="91"/>
      <c r="F624" s="92"/>
      <c r="G624" s="91"/>
      <c r="H624" s="91"/>
      <c r="I624" s="91"/>
      <c r="J624" s="91"/>
      <c r="K624" s="91"/>
      <c r="L624" s="3"/>
    </row>
    <row r="625" ht="14.25" customHeight="1">
      <c r="A625" s="91"/>
      <c r="B625" s="91"/>
      <c r="C625" s="91"/>
      <c r="D625" s="91"/>
      <c r="E625" s="91"/>
      <c r="F625" s="92"/>
      <c r="G625" s="91"/>
      <c r="H625" s="91"/>
      <c r="I625" s="91"/>
      <c r="J625" s="91"/>
      <c r="K625" s="91"/>
      <c r="L625" s="3"/>
    </row>
    <row r="626" ht="14.25" customHeight="1">
      <c r="A626" s="91"/>
      <c r="B626" s="91"/>
      <c r="C626" s="91"/>
      <c r="D626" s="91"/>
      <c r="E626" s="91"/>
      <c r="F626" s="92"/>
      <c r="G626" s="91"/>
      <c r="H626" s="91"/>
      <c r="I626" s="91"/>
      <c r="J626" s="91"/>
      <c r="K626" s="91"/>
      <c r="L626" s="3"/>
    </row>
    <row r="627" ht="14.25" customHeight="1">
      <c r="A627" s="91"/>
      <c r="B627" s="91"/>
      <c r="C627" s="91"/>
      <c r="D627" s="91"/>
      <c r="E627" s="91"/>
      <c r="F627" s="92"/>
      <c r="G627" s="91"/>
      <c r="H627" s="91"/>
      <c r="I627" s="91"/>
      <c r="J627" s="91"/>
      <c r="K627" s="91"/>
      <c r="L627" s="3"/>
    </row>
    <row r="628" ht="14.25" customHeight="1">
      <c r="A628" s="91"/>
      <c r="B628" s="91"/>
      <c r="C628" s="91"/>
      <c r="D628" s="91"/>
      <c r="E628" s="91"/>
      <c r="F628" s="92"/>
      <c r="G628" s="91"/>
      <c r="H628" s="91"/>
      <c r="I628" s="91"/>
      <c r="J628" s="91"/>
      <c r="K628" s="91"/>
      <c r="L628" s="3"/>
    </row>
    <row r="629" ht="14.25" customHeight="1">
      <c r="A629" s="91"/>
      <c r="B629" s="91"/>
      <c r="C629" s="91"/>
      <c r="D629" s="91"/>
      <c r="E629" s="91"/>
      <c r="F629" s="92"/>
      <c r="G629" s="91"/>
      <c r="H629" s="91"/>
      <c r="I629" s="91"/>
      <c r="J629" s="91"/>
      <c r="K629" s="91"/>
      <c r="L629" s="3"/>
    </row>
    <row r="630" ht="14.25" customHeight="1">
      <c r="A630" s="91"/>
      <c r="B630" s="91"/>
      <c r="C630" s="91"/>
      <c r="D630" s="91"/>
      <c r="E630" s="91"/>
      <c r="F630" s="92"/>
      <c r="G630" s="91"/>
      <c r="H630" s="91"/>
      <c r="I630" s="91"/>
      <c r="J630" s="91"/>
      <c r="K630" s="91"/>
      <c r="L630" s="3"/>
    </row>
    <row r="631" ht="14.25" customHeight="1">
      <c r="A631" s="91"/>
      <c r="B631" s="91"/>
      <c r="C631" s="91"/>
      <c r="D631" s="91"/>
      <c r="E631" s="91"/>
      <c r="F631" s="92"/>
      <c r="G631" s="91"/>
      <c r="H631" s="91"/>
      <c r="I631" s="91"/>
      <c r="J631" s="91"/>
      <c r="K631" s="91"/>
      <c r="L631" s="3"/>
    </row>
    <row r="632" ht="14.25" customHeight="1">
      <c r="A632" s="91"/>
      <c r="B632" s="91"/>
      <c r="C632" s="91"/>
      <c r="D632" s="91"/>
      <c r="E632" s="91"/>
      <c r="F632" s="92"/>
      <c r="G632" s="91"/>
      <c r="H632" s="91"/>
      <c r="I632" s="91"/>
      <c r="J632" s="91"/>
      <c r="K632" s="91"/>
      <c r="L632" s="3"/>
    </row>
    <row r="633" ht="14.25" customHeight="1">
      <c r="A633" s="91"/>
      <c r="B633" s="91"/>
      <c r="C633" s="91"/>
      <c r="D633" s="91"/>
      <c r="E633" s="91"/>
      <c r="F633" s="92"/>
      <c r="G633" s="91"/>
      <c r="H633" s="91"/>
      <c r="I633" s="91"/>
      <c r="J633" s="91"/>
      <c r="K633" s="91"/>
      <c r="L633" s="3"/>
    </row>
    <row r="634" ht="14.25" customHeight="1">
      <c r="A634" s="91"/>
      <c r="B634" s="91"/>
      <c r="C634" s="91"/>
      <c r="D634" s="91"/>
      <c r="E634" s="91"/>
      <c r="F634" s="92"/>
      <c r="G634" s="91"/>
      <c r="H634" s="91"/>
      <c r="I634" s="91"/>
      <c r="J634" s="91"/>
      <c r="K634" s="91"/>
      <c r="L634" s="3"/>
    </row>
    <row r="635" ht="14.25" customHeight="1">
      <c r="A635" s="91"/>
      <c r="B635" s="91"/>
      <c r="C635" s="91"/>
      <c r="D635" s="91"/>
      <c r="E635" s="91"/>
      <c r="F635" s="92"/>
      <c r="G635" s="91"/>
      <c r="H635" s="91"/>
      <c r="I635" s="91"/>
      <c r="J635" s="91"/>
      <c r="K635" s="91"/>
      <c r="L635" s="3"/>
    </row>
    <row r="636" ht="14.25" customHeight="1">
      <c r="A636" s="91"/>
      <c r="B636" s="91"/>
      <c r="C636" s="91"/>
      <c r="D636" s="91"/>
      <c r="E636" s="91"/>
      <c r="F636" s="92"/>
      <c r="G636" s="91"/>
      <c r="H636" s="91"/>
      <c r="I636" s="91"/>
      <c r="J636" s="91"/>
      <c r="K636" s="91"/>
      <c r="L636" s="3"/>
    </row>
    <row r="637" ht="14.25" customHeight="1">
      <c r="A637" s="91"/>
      <c r="B637" s="91"/>
      <c r="C637" s="91"/>
      <c r="D637" s="91"/>
      <c r="E637" s="91"/>
      <c r="F637" s="92"/>
      <c r="G637" s="91"/>
      <c r="H637" s="91"/>
      <c r="I637" s="91"/>
      <c r="J637" s="91"/>
      <c r="K637" s="91"/>
      <c r="L637" s="3"/>
    </row>
    <row r="638" ht="14.25" customHeight="1">
      <c r="A638" s="91"/>
      <c r="B638" s="91"/>
      <c r="C638" s="91"/>
      <c r="D638" s="91"/>
      <c r="E638" s="91"/>
      <c r="F638" s="92"/>
      <c r="G638" s="91"/>
      <c r="H638" s="91"/>
      <c r="I638" s="91"/>
      <c r="J638" s="91"/>
      <c r="K638" s="91"/>
      <c r="L638" s="3"/>
    </row>
    <row r="639" ht="14.25" customHeight="1">
      <c r="A639" s="91"/>
      <c r="B639" s="91"/>
      <c r="C639" s="91"/>
      <c r="D639" s="91"/>
      <c r="E639" s="91"/>
      <c r="F639" s="92"/>
      <c r="G639" s="91"/>
      <c r="H639" s="91"/>
      <c r="I639" s="91"/>
      <c r="J639" s="91"/>
      <c r="K639" s="91"/>
      <c r="L639" s="3"/>
    </row>
    <row r="640" ht="14.25" customHeight="1">
      <c r="A640" s="91"/>
      <c r="B640" s="91"/>
      <c r="C640" s="91"/>
      <c r="D640" s="91"/>
      <c r="E640" s="91"/>
      <c r="F640" s="92"/>
      <c r="G640" s="91"/>
      <c r="H640" s="91"/>
      <c r="I640" s="91"/>
      <c r="J640" s="91"/>
      <c r="K640" s="91"/>
      <c r="L640" s="3"/>
    </row>
    <row r="641" ht="14.25" customHeight="1">
      <c r="A641" s="91"/>
      <c r="B641" s="91"/>
      <c r="C641" s="91"/>
      <c r="D641" s="91"/>
      <c r="E641" s="91"/>
      <c r="F641" s="92"/>
      <c r="G641" s="91"/>
      <c r="H641" s="91"/>
      <c r="I641" s="91"/>
      <c r="J641" s="91"/>
      <c r="K641" s="91"/>
      <c r="L641" s="3"/>
    </row>
    <row r="642" ht="14.25" customHeight="1">
      <c r="A642" s="91"/>
      <c r="B642" s="91"/>
      <c r="C642" s="91"/>
      <c r="D642" s="91"/>
      <c r="E642" s="91"/>
      <c r="F642" s="92"/>
      <c r="G642" s="91"/>
      <c r="H642" s="91"/>
      <c r="I642" s="91"/>
      <c r="J642" s="91"/>
      <c r="K642" s="91"/>
      <c r="L642" s="3"/>
    </row>
    <row r="643" ht="14.25" customHeight="1">
      <c r="A643" s="91"/>
      <c r="B643" s="91"/>
      <c r="C643" s="91"/>
      <c r="D643" s="91"/>
      <c r="E643" s="91"/>
      <c r="F643" s="92"/>
      <c r="G643" s="91"/>
      <c r="H643" s="91"/>
      <c r="I643" s="91"/>
      <c r="J643" s="91"/>
      <c r="K643" s="91"/>
      <c r="L643" s="3"/>
    </row>
    <row r="644" ht="14.25" customHeight="1">
      <c r="A644" s="91"/>
      <c r="B644" s="91"/>
      <c r="C644" s="91"/>
      <c r="D644" s="91"/>
      <c r="E644" s="91"/>
      <c r="F644" s="92"/>
      <c r="G644" s="91"/>
      <c r="H644" s="91"/>
      <c r="I644" s="91"/>
      <c r="J644" s="91"/>
      <c r="K644" s="91"/>
      <c r="L644" s="3"/>
    </row>
    <row r="645" ht="14.25" customHeight="1">
      <c r="A645" s="91"/>
      <c r="B645" s="91"/>
      <c r="C645" s="91"/>
      <c r="D645" s="91"/>
      <c r="E645" s="91"/>
      <c r="F645" s="92"/>
      <c r="G645" s="91"/>
      <c r="H645" s="91"/>
      <c r="I645" s="91"/>
      <c r="J645" s="91"/>
      <c r="K645" s="91"/>
      <c r="L645" s="3"/>
    </row>
    <row r="646" ht="14.25" customHeight="1">
      <c r="A646" s="91"/>
      <c r="B646" s="91"/>
      <c r="C646" s="91"/>
      <c r="D646" s="91"/>
      <c r="E646" s="91"/>
      <c r="F646" s="92"/>
      <c r="G646" s="91"/>
      <c r="H646" s="91"/>
      <c r="I646" s="91"/>
      <c r="J646" s="91"/>
      <c r="K646" s="91"/>
      <c r="L646" s="3"/>
    </row>
    <row r="647" ht="14.25" customHeight="1">
      <c r="A647" s="91"/>
      <c r="B647" s="91"/>
      <c r="C647" s="91"/>
      <c r="D647" s="91"/>
      <c r="E647" s="91"/>
      <c r="F647" s="92"/>
      <c r="G647" s="91"/>
      <c r="H647" s="91"/>
      <c r="I647" s="91"/>
      <c r="J647" s="91"/>
      <c r="K647" s="91"/>
      <c r="L647" s="3"/>
    </row>
    <row r="648" ht="14.25" customHeight="1">
      <c r="A648" s="91"/>
      <c r="B648" s="91"/>
      <c r="C648" s="91"/>
      <c r="D648" s="91"/>
      <c r="E648" s="91"/>
      <c r="F648" s="92"/>
      <c r="G648" s="91"/>
      <c r="H648" s="91"/>
      <c r="I648" s="91"/>
      <c r="J648" s="91"/>
      <c r="K648" s="91"/>
      <c r="L648" s="3"/>
    </row>
    <row r="649" ht="14.25" customHeight="1">
      <c r="A649" s="91"/>
      <c r="B649" s="91"/>
      <c r="C649" s="91"/>
      <c r="D649" s="91"/>
      <c r="E649" s="91"/>
      <c r="F649" s="92"/>
      <c r="G649" s="91"/>
      <c r="H649" s="91"/>
      <c r="I649" s="91"/>
      <c r="J649" s="91"/>
      <c r="K649" s="91"/>
      <c r="L649" s="3"/>
    </row>
    <row r="650" ht="14.25" customHeight="1">
      <c r="A650" s="91"/>
      <c r="B650" s="91"/>
      <c r="C650" s="91"/>
      <c r="D650" s="91"/>
      <c r="E650" s="91"/>
      <c r="F650" s="92"/>
      <c r="G650" s="91"/>
      <c r="H650" s="91"/>
      <c r="I650" s="91"/>
      <c r="J650" s="91"/>
      <c r="K650" s="91"/>
      <c r="L650" s="3"/>
    </row>
    <row r="651" ht="14.25" customHeight="1">
      <c r="A651" s="91"/>
      <c r="B651" s="91"/>
      <c r="C651" s="91"/>
      <c r="D651" s="91"/>
      <c r="E651" s="91"/>
      <c r="F651" s="92"/>
      <c r="G651" s="91"/>
      <c r="H651" s="91"/>
      <c r="I651" s="91"/>
      <c r="J651" s="91"/>
      <c r="K651" s="91"/>
      <c r="L651" s="3"/>
    </row>
    <row r="652" ht="14.25" customHeight="1">
      <c r="A652" s="91"/>
      <c r="B652" s="91"/>
      <c r="C652" s="91"/>
      <c r="D652" s="91"/>
      <c r="E652" s="91"/>
      <c r="F652" s="92"/>
      <c r="G652" s="91"/>
      <c r="H652" s="91"/>
      <c r="I652" s="91"/>
      <c r="J652" s="91"/>
      <c r="K652" s="91"/>
      <c r="L652" s="3"/>
    </row>
    <row r="653" ht="14.25" customHeight="1">
      <c r="A653" s="91"/>
      <c r="B653" s="91"/>
      <c r="C653" s="91"/>
      <c r="D653" s="91"/>
      <c r="E653" s="91"/>
      <c r="F653" s="92"/>
      <c r="G653" s="91"/>
      <c r="H653" s="91"/>
      <c r="I653" s="91"/>
      <c r="J653" s="91"/>
      <c r="K653" s="91"/>
      <c r="L653" s="3"/>
    </row>
    <row r="654" ht="14.25" customHeight="1">
      <c r="A654" s="91"/>
      <c r="B654" s="91"/>
      <c r="C654" s="91"/>
      <c r="D654" s="91"/>
      <c r="E654" s="91"/>
      <c r="F654" s="92"/>
      <c r="G654" s="91"/>
      <c r="H654" s="91"/>
      <c r="I654" s="91"/>
      <c r="J654" s="91"/>
      <c r="K654" s="91"/>
      <c r="L654" s="3"/>
    </row>
    <row r="655" ht="14.25" customHeight="1">
      <c r="A655" s="91"/>
      <c r="B655" s="91"/>
      <c r="C655" s="91"/>
      <c r="D655" s="91"/>
      <c r="E655" s="91"/>
      <c r="F655" s="92"/>
      <c r="G655" s="91"/>
      <c r="H655" s="91"/>
      <c r="I655" s="91"/>
      <c r="J655" s="91"/>
      <c r="K655" s="91"/>
      <c r="L655" s="3"/>
    </row>
    <row r="656" ht="14.25" customHeight="1">
      <c r="A656" s="91"/>
      <c r="B656" s="91"/>
      <c r="C656" s="91"/>
      <c r="D656" s="91"/>
      <c r="E656" s="91"/>
      <c r="F656" s="92"/>
      <c r="G656" s="91"/>
      <c r="H656" s="91"/>
      <c r="I656" s="91"/>
      <c r="J656" s="91"/>
      <c r="K656" s="91"/>
      <c r="L656" s="3"/>
    </row>
    <row r="657" ht="14.25" customHeight="1">
      <c r="A657" s="91"/>
      <c r="B657" s="91"/>
      <c r="C657" s="91"/>
      <c r="D657" s="91"/>
      <c r="E657" s="91"/>
      <c r="F657" s="92"/>
      <c r="G657" s="91"/>
      <c r="H657" s="91"/>
      <c r="I657" s="91"/>
      <c r="J657" s="91"/>
      <c r="K657" s="91"/>
      <c r="L657" s="3"/>
    </row>
    <row r="658" ht="14.25" customHeight="1">
      <c r="A658" s="91"/>
      <c r="B658" s="91"/>
      <c r="C658" s="91"/>
      <c r="D658" s="91"/>
      <c r="E658" s="91"/>
      <c r="F658" s="92"/>
      <c r="G658" s="91"/>
      <c r="H658" s="91"/>
      <c r="I658" s="91"/>
      <c r="J658" s="91"/>
      <c r="K658" s="91"/>
      <c r="L658" s="3"/>
    </row>
    <row r="659" ht="14.25" customHeight="1">
      <c r="A659" s="91"/>
      <c r="B659" s="91"/>
      <c r="C659" s="91"/>
      <c r="D659" s="91"/>
      <c r="E659" s="91"/>
      <c r="F659" s="92"/>
      <c r="G659" s="91"/>
      <c r="H659" s="91"/>
      <c r="I659" s="91"/>
      <c r="J659" s="91"/>
      <c r="K659" s="91"/>
      <c r="L659" s="3"/>
    </row>
    <row r="660" ht="14.25" customHeight="1">
      <c r="A660" s="91"/>
      <c r="B660" s="91"/>
      <c r="C660" s="91"/>
      <c r="D660" s="91"/>
      <c r="E660" s="91"/>
      <c r="F660" s="92"/>
      <c r="G660" s="91"/>
      <c r="H660" s="91"/>
      <c r="I660" s="91"/>
      <c r="J660" s="91"/>
      <c r="K660" s="91"/>
      <c r="L660" s="3"/>
    </row>
    <row r="661" ht="14.25" customHeight="1">
      <c r="A661" s="91"/>
      <c r="B661" s="91"/>
      <c r="C661" s="91"/>
      <c r="D661" s="91"/>
      <c r="E661" s="91"/>
      <c r="F661" s="92"/>
      <c r="G661" s="91"/>
      <c r="H661" s="91"/>
      <c r="I661" s="91"/>
      <c r="J661" s="91"/>
      <c r="K661" s="91"/>
      <c r="L661" s="3"/>
    </row>
    <row r="662" ht="14.25" customHeight="1">
      <c r="A662" s="91"/>
      <c r="B662" s="91"/>
      <c r="C662" s="91"/>
      <c r="D662" s="91"/>
      <c r="E662" s="91"/>
      <c r="F662" s="92"/>
      <c r="G662" s="91"/>
      <c r="H662" s="91"/>
      <c r="I662" s="91"/>
      <c r="J662" s="91"/>
      <c r="K662" s="91"/>
      <c r="L662" s="3"/>
    </row>
    <row r="663" ht="14.25" customHeight="1">
      <c r="A663" s="91"/>
      <c r="B663" s="91"/>
      <c r="C663" s="91"/>
      <c r="D663" s="91"/>
      <c r="E663" s="91"/>
      <c r="F663" s="92"/>
      <c r="G663" s="91"/>
      <c r="H663" s="91"/>
      <c r="I663" s="91"/>
      <c r="J663" s="91"/>
      <c r="K663" s="91"/>
      <c r="L663" s="3"/>
    </row>
    <row r="664" ht="14.25" customHeight="1">
      <c r="A664" s="91"/>
      <c r="B664" s="91"/>
      <c r="C664" s="91"/>
      <c r="D664" s="91"/>
      <c r="E664" s="91"/>
      <c r="F664" s="92"/>
      <c r="G664" s="91"/>
      <c r="H664" s="91"/>
      <c r="I664" s="91"/>
      <c r="J664" s="91"/>
      <c r="K664" s="91"/>
      <c r="L664" s="3"/>
    </row>
    <row r="665" ht="14.25" customHeight="1">
      <c r="A665" s="91"/>
      <c r="B665" s="91"/>
      <c r="C665" s="91"/>
      <c r="D665" s="91"/>
      <c r="E665" s="91"/>
      <c r="F665" s="92"/>
      <c r="G665" s="91"/>
      <c r="H665" s="91"/>
      <c r="I665" s="91"/>
      <c r="J665" s="91"/>
      <c r="K665" s="91"/>
      <c r="L665" s="3"/>
    </row>
    <row r="666" ht="14.25" customHeight="1">
      <c r="A666" s="91"/>
      <c r="B666" s="91"/>
      <c r="C666" s="91"/>
      <c r="D666" s="91"/>
      <c r="E666" s="91"/>
      <c r="F666" s="92"/>
      <c r="G666" s="91"/>
      <c r="H666" s="91"/>
      <c r="I666" s="91"/>
      <c r="J666" s="91"/>
      <c r="K666" s="91"/>
      <c r="L666" s="3"/>
    </row>
    <row r="667" ht="14.25" customHeight="1">
      <c r="A667" s="91"/>
      <c r="B667" s="91"/>
      <c r="C667" s="91"/>
      <c r="D667" s="91"/>
      <c r="E667" s="91"/>
      <c r="F667" s="92"/>
      <c r="G667" s="91"/>
      <c r="H667" s="91"/>
      <c r="I667" s="91"/>
      <c r="J667" s="91"/>
      <c r="K667" s="91"/>
      <c r="L667" s="3"/>
    </row>
    <row r="668" ht="14.25" customHeight="1">
      <c r="A668" s="91"/>
      <c r="B668" s="91"/>
      <c r="C668" s="91"/>
      <c r="D668" s="91"/>
      <c r="E668" s="91"/>
      <c r="F668" s="92"/>
      <c r="G668" s="91"/>
      <c r="H668" s="91"/>
      <c r="I668" s="91"/>
      <c r="J668" s="91"/>
      <c r="K668" s="91"/>
      <c r="L668" s="3"/>
    </row>
    <row r="669" ht="14.25" customHeight="1">
      <c r="A669" s="91"/>
      <c r="B669" s="91"/>
      <c r="C669" s="91"/>
      <c r="D669" s="91"/>
      <c r="E669" s="91"/>
      <c r="F669" s="92"/>
      <c r="G669" s="91"/>
      <c r="H669" s="91"/>
      <c r="I669" s="91"/>
      <c r="J669" s="91"/>
      <c r="K669" s="91"/>
      <c r="L669" s="3"/>
    </row>
    <row r="670" ht="14.25" customHeight="1">
      <c r="A670" s="91"/>
      <c r="B670" s="91"/>
      <c r="C670" s="91"/>
      <c r="D670" s="91"/>
      <c r="E670" s="91"/>
      <c r="F670" s="92"/>
      <c r="G670" s="91"/>
      <c r="H670" s="91"/>
      <c r="I670" s="91"/>
      <c r="J670" s="91"/>
      <c r="K670" s="91"/>
      <c r="L670" s="3"/>
    </row>
    <row r="671" ht="14.25" customHeight="1">
      <c r="A671" s="91"/>
      <c r="B671" s="91"/>
      <c r="C671" s="91"/>
      <c r="D671" s="91"/>
      <c r="E671" s="91"/>
      <c r="F671" s="92"/>
      <c r="G671" s="91"/>
      <c r="H671" s="91"/>
      <c r="I671" s="91"/>
      <c r="J671" s="91"/>
      <c r="K671" s="91"/>
      <c r="L671" s="3"/>
    </row>
    <row r="672" ht="14.25" customHeight="1">
      <c r="A672" s="91"/>
      <c r="B672" s="91"/>
      <c r="C672" s="91"/>
      <c r="D672" s="91"/>
      <c r="E672" s="91"/>
      <c r="F672" s="92"/>
      <c r="G672" s="91"/>
      <c r="H672" s="91"/>
      <c r="I672" s="91"/>
      <c r="J672" s="91"/>
      <c r="K672" s="91"/>
      <c r="L672" s="3"/>
    </row>
    <row r="673" ht="14.25" customHeight="1">
      <c r="A673" s="91"/>
      <c r="B673" s="91"/>
      <c r="C673" s="91"/>
      <c r="D673" s="91"/>
      <c r="E673" s="91"/>
      <c r="F673" s="92"/>
      <c r="G673" s="91"/>
      <c r="H673" s="91"/>
      <c r="I673" s="91"/>
      <c r="J673" s="91"/>
      <c r="K673" s="91"/>
      <c r="L673" s="3"/>
    </row>
    <row r="674" ht="14.25" customHeight="1">
      <c r="A674" s="91"/>
      <c r="B674" s="91"/>
      <c r="C674" s="91"/>
      <c r="D674" s="91"/>
      <c r="E674" s="91"/>
      <c r="F674" s="92"/>
      <c r="G674" s="91"/>
      <c r="H674" s="91"/>
      <c r="I674" s="91"/>
      <c r="J674" s="91"/>
      <c r="K674" s="91"/>
      <c r="L674" s="3"/>
    </row>
    <row r="675" ht="14.25" customHeight="1">
      <c r="A675" s="91"/>
      <c r="B675" s="91"/>
      <c r="C675" s="91"/>
      <c r="D675" s="91"/>
      <c r="E675" s="91"/>
      <c r="F675" s="92"/>
      <c r="G675" s="91"/>
      <c r="H675" s="91"/>
      <c r="I675" s="91"/>
      <c r="J675" s="91"/>
      <c r="K675" s="91"/>
      <c r="L675" s="3"/>
    </row>
    <row r="676" ht="14.25" customHeight="1">
      <c r="A676" s="91"/>
      <c r="B676" s="91"/>
      <c r="C676" s="91"/>
      <c r="D676" s="91"/>
      <c r="E676" s="91"/>
      <c r="F676" s="92"/>
      <c r="G676" s="91"/>
      <c r="H676" s="91"/>
      <c r="I676" s="91"/>
      <c r="J676" s="91"/>
      <c r="K676" s="91"/>
      <c r="L676" s="3"/>
    </row>
    <row r="677" ht="14.25" customHeight="1">
      <c r="A677" s="91"/>
      <c r="B677" s="91"/>
      <c r="C677" s="91"/>
      <c r="D677" s="91"/>
      <c r="E677" s="91"/>
      <c r="F677" s="92"/>
      <c r="G677" s="91"/>
      <c r="H677" s="91"/>
      <c r="I677" s="91"/>
      <c r="J677" s="91"/>
      <c r="K677" s="91"/>
      <c r="L677" s="3"/>
    </row>
    <row r="678" ht="14.25" customHeight="1">
      <c r="A678" s="91"/>
      <c r="B678" s="91"/>
      <c r="C678" s="91"/>
      <c r="D678" s="91"/>
      <c r="E678" s="91"/>
      <c r="F678" s="92"/>
      <c r="G678" s="91"/>
      <c r="H678" s="91"/>
      <c r="I678" s="91"/>
      <c r="J678" s="91"/>
      <c r="K678" s="91"/>
      <c r="L678" s="3"/>
    </row>
    <row r="679" ht="14.25" customHeight="1">
      <c r="A679" s="91"/>
      <c r="B679" s="91"/>
      <c r="C679" s="91"/>
      <c r="D679" s="91"/>
      <c r="E679" s="91"/>
      <c r="F679" s="92"/>
      <c r="G679" s="91"/>
      <c r="H679" s="91"/>
      <c r="I679" s="91"/>
      <c r="J679" s="91"/>
      <c r="K679" s="91"/>
      <c r="L679" s="3"/>
    </row>
    <row r="680" ht="14.25" customHeight="1">
      <c r="A680" s="91"/>
      <c r="B680" s="91"/>
      <c r="C680" s="91"/>
      <c r="D680" s="91"/>
      <c r="E680" s="91"/>
      <c r="F680" s="92"/>
      <c r="G680" s="91"/>
      <c r="H680" s="91"/>
      <c r="I680" s="91"/>
      <c r="J680" s="91"/>
      <c r="K680" s="91"/>
      <c r="L680" s="3"/>
    </row>
    <row r="681" ht="14.25" customHeight="1">
      <c r="A681" s="91"/>
      <c r="B681" s="91"/>
      <c r="C681" s="91"/>
      <c r="D681" s="91"/>
      <c r="E681" s="91"/>
      <c r="F681" s="92"/>
      <c r="G681" s="91"/>
      <c r="H681" s="91"/>
      <c r="I681" s="91"/>
      <c r="J681" s="91"/>
      <c r="K681" s="91"/>
      <c r="L681" s="3"/>
    </row>
    <row r="682" ht="14.25" customHeight="1">
      <c r="A682" s="91"/>
      <c r="B682" s="91"/>
      <c r="C682" s="91"/>
      <c r="D682" s="91"/>
      <c r="E682" s="91"/>
      <c r="F682" s="92"/>
      <c r="G682" s="91"/>
      <c r="H682" s="91"/>
      <c r="I682" s="91"/>
      <c r="J682" s="91"/>
      <c r="K682" s="91"/>
      <c r="L682" s="3"/>
    </row>
    <row r="683" ht="14.25" customHeight="1">
      <c r="A683" s="91"/>
      <c r="B683" s="91"/>
      <c r="C683" s="91"/>
      <c r="D683" s="91"/>
      <c r="E683" s="91"/>
      <c r="F683" s="92"/>
      <c r="G683" s="91"/>
      <c r="H683" s="91"/>
      <c r="I683" s="91"/>
      <c r="J683" s="91"/>
      <c r="K683" s="91"/>
      <c r="L683" s="3"/>
    </row>
    <row r="684" ht="14.25" customHeight="1">
      <c r="A684" s="91"/>
      <c r="B684" s="91"/>
      <c r="C684" s="91"/>
      <c r="D684" s="91"/>
      <c r="E684" s="91"/>
      <c r="F684" s="92"/>
      <c r="G684" s="91"/>
      <c r="H684" s="91"/>
      <c r="I684" s="91"/>
      <c r="J684" s="91"/>
      <c r="K684" s="91"/>
      <c r="L684" s="3"/>
    </row>
    <row r="685" ht="14.25" customHeight="1">
      <c r="A685" s="91"/>
      <c r="B685" s="91"/>
      <c r="C685" s="91"/>
      <c r="D685" s="91"/>
      <c r="E685" s="91"/>
      <c r="F685" s="92"/>
      <c r="G685" s="91"/>
      <c r="H685" s="91"/>
      <c r="I685" s="91"/>
      <c r="J685" s="91"/>
      <c r="K685" s="91"/>
      <c r="L685" s="3"/>
    </row>
    <row r="686" ht="14.25" customHeight="1">
      <c r="A686" s="91"/>
      <c r="B686" s="91"/>
      <c r="C686" s="91"/>
      <c r="D686" s="91"/>
      <c r="E686" s="91"/>
      <c r="F686" s="92"/>
      <c r="G686" s="91"/>
      <c r="H686" s="91"/>
      <c r="I686" s="91"/>
      <c r="J686" s="91"/>
      <c r="K686" s="91"/>
      <c r="L686" s="3"/>
    </row>
    <row r="687" ht="14.25" customHeight="1">
      <c r="A687" s="91"/>
      <c r="B687" s="91"/>
      <c r="C687" s="91"/>
      <c r="D687" s="91"/>
      <c r="E687" s="91"/>
      <c r="F687" s="92"/>
      <c r="G687" s="91"/>
      <c r="H687" s="91"/>
      <c r="I687" s="91"/>
      <c r="J687" s="91"/>
      <c r="K687" s="91"/>
      <c r="L687" s="3"/>
    </row>
    <row r="688" ht="14.25" customHeight="1">
      <c r="A688" s="91"/>
      <c r="B688" s="91"/>
      <c r="C688" s="91"/>
      <c r="D688" s="91"/>
      <c r="E688" s="91"/>
      <c r="F688" s="92"/>
      <c r="G688" s="91"/>
      <c r="H688" s="91"/>
      <c r="I688" s="91"/>
      <c r="J688" s="91"/>
      <c r="K688" s="91"/>
      <c r="L688" s="3"/>
    </row>
    <row r="689" ht="14.25" customHeight="1">
      <c r="A689" s="91"/>
      <c r="B689" s="91"/>
      <c r="C689" s="91"/>
      <c r="D689" s="91"/>
      <c r="E689" s="91"/>
      <c r="F689" s="92"/>
      <c r="G689" s="91"/>
      <c r="H689" s="91"/>
      <c r="I689" s="91"/>
      <c r="J689" s="91"/>
      <c r="K689" s="91"/>
      <c r="L689" s="3"/>
    </row>
    <row r="690" ht="14.25" customHeight="1">
      <c r="A690" s="91"/>
      <c r="B690" s="91"/>
      <c r="C690" s="91"/>
      <c r="D690" s="91"/>
      <c r="E690" s="91"/>
      <c r="F690" s="92"/>
      <c r="G690" s="91"/>
      <c r="H690" s="91"/>
      <c r="I690" s="91"/>
      <c r="J690" s="91"/>
      <c r="K690" s="91"/>
      <c r="L690" s="3"/>
    </row>
    <row r="691" ht="14.25" customHeight="1">
      <c r="A691" s="91"/>
      <c r="B691" s="91"/>
      <c r="C691" s="91"/>
      <c r="D691" s="91"/>
      <c r="E691" s="91"/>
      <c r="F691" s="92"/>
      <c r="G691" s="91"/>
      <c r="H691" s="91"/>
      <c r="I691" s="91"/>
      <c r="J691" s="91"/>
      <c r="K691" s="91"/>
      <c r="L691" s="3"/>
    </row>
    <row r="692" ht="14.25" customHeight="1">
      <c r="A692" s="91"/>
      <c r="B692" s="91"/>
      <c r="C692" s="91"/>
      <c r="D692" s="91"/>
      <c r="E692" s="91"/>
      <c r="F692" s="92"/>
      <c r="G692" s="91"/>
      <c r="H692" s="91"/>
      <c r="I692" s="91"/>
      <c r="J692" s="91"/>
      <c r="K692" s="91"/>
      <c r="L692" s="3"/>
    </row>
    <row r="693" ht="14.25" customHeight="1">
      <c r="A693" s="91"/>
      <c r="B693" s="91"/>
      <c r="C693" s="91"/>
      <c r="D693" s="91"/>
      <c r="E693" s="91"/>
      <c r="F693" s="92"/>
      <c r="G693" s="91"/>
      <c r="H693" s="91"/>
      <c r="I693" s="91"/>
      <c r="J693" s="91"/>
      <c r="K693" s="91"/>
      <c r="L693" s="3"/>
    </row>
    <row r="694" ht="14.25" customHeight="1">
      <c r="A694" s="91"/>
      <c r="B694" s="91"/>
      <c r="C694" s="91"/>
      <c r="D694" s="91"/>
      <c r="E694" s="91"/>
      <c r="F694" s="92"/>
      <c r="G694" s="91"/>
      <c r="H694" s="91"/>
      <c r="I694" s="91"/>
      <c r="J694" s="91"/>
      <c r="K694" s="91"/>
      <c r="L694" s="3"/>
    </row>
    <row r="695" ht="14.25" customHeight="1">
      <c r="A695" s="91"/>
      <c r="B695" s="91"/>
      <c r="C695" s="91"/>
      <c r="D695" s="91"/>
      <c r="E695" s="91"/>
      <c r="F695" s="92"/>
      <c r="G695" s="91"/>
      <c r="H695" s="91"/>
      <c r="I695" s="91"/>
      <c r="J695" s="91"/>
      <c r="K695" s="91"/>
      <c r="L695" s="3"/>
    </row>
    <row r="696" ht="14.25" customHeight="1">
      <c r="A696" s="91"/>
      <c r="B696" s="91"/>
      <c r="C696" s="91"/>
      <c r="D696" s="91"/>
      <c r="E696" s="91"/>
      <c r="F696" s="92"/>
      <c r="G696" s="91"/>
      <c r="H696" s="91"/>
      <c r="I696" s="91"/>
      <c r="J696" s="91"/>
      <c r="K696" s="91"/>
      <c r="L696" s="3"/>
    </row>
    <row r="697" ht="14.25" customHeight="1">
      <c r="A697" s="91"/>
      <c r="B697" s="91"/>
      <c r="C697" s="91"/>
      <c r="D697" s="91"/>
      <c r="E697" s="91"/>
      <c r="F697" s="92"/>
      <c r="G697" s="91"/>
      <c r="H697" s="91"/>
      <c r="I697" s="91"/>
      <c r="J697" s="91"/>
      <c r="K697" s="91"/>
      <c r="L697" s="3"/>
    </row>
    <row r="698" ht="14.25" customHeight="1">
      <c r="A698" s="91"/>
      <c r="B698" s="91"/>
      <c r="C698" s="91"/>
      <c r="D698" s="91"/>
      <c r="E698" s="91"/>
      <c r="F698" s="92"/>
      <c r="G698" s="91"/>
      <c r="H698" s="91"/>
      <c r="I698" s="91"/>
      <c r="J698" s="91"/>
      <c r="K698" s="91"/>
      <c r="L698" s="3"/>
    </row>
    <row r="699" ht="14.25" customHeight="1">
      <c r="A699" s="91"/>
      <c r="B699" s="91"/>
      <c r="C699" s="91"/>
      <c r="D699" s="91"/>
      <c r="E699" s="91"/>
      <c r="F699" s="92"/>
      <c r="G699" s="91"/>
      <c r="H699" s="91"/>
      <c r="I699" s="91"/>
      <c r="J699" s="91"/>
      <c r="K699" s="91"/>
      <c r="L699" s="3"/>
    </row>
    <row r="700" ht="14.25" customHeight="1">
      <c r="A700" s="91"/>
      <c r="B700" s="91"/>
      <c r="C700" s="91"/>
      <c r="D700" s="91"/>
      <c r="E700" s="91"/>
      <c r="F700" s="92"/>
      <c r="G700" s="91"/>
      <c r="H700" s="91"/>
      <c r="I700" s="91"/>
      <c r="J700" s="91"/>
      <c r="K700" s="91"/>
      <c r="L700" s="3"/>
    </row>
    <row r="701" ht="14.25" customHeight="1">
      <c r="A701" s="91"/>
      <c r="B701" s="91"/>
      <c r="C701" s="91"/>
      <c r="D701" s="91"/>
      <c r="E701" s="91"/>
      <c r="F701" s="92"/>
      <c r="G701" s="91"/>
      <c r="H701" s="91"/>
      <c r="I701" s="91"/>
      <c r="J701" s="91"/>
      <c r="K701" s="91"/>
      <c r="L701" s="3"/>
    </row>
    <row r="702" ht="14.25" customHeight="1">
      <c r="A702" s="91"/>
      <c r="B702" s="91"/>
      <c r="C702" s="91"/>
      <c r="D702" s="91"/>
      <c r="E702" s="91"/>
      <c r="F702" s="92"/>
      <c r="G702" s="91"/>
      <c r="H702" s="91"/>
      <c r="I702" s="91"/>
      <c r="J702" s="91"/>
      <c r="K702" s="91"/>
      <c r="L702" s="3"/>
    </row>
    <row r="703" ht="14.25" customHeight="1">
      <c r="A703" s="91"/>
      <c r="B703" s="91"/>
      <c r="C703" s="91"/>
      <c r="D703" s="91"/>
      <c r="E703" s="91"/>
      <c r="F703" s="92"/>
      <c r="G703" s="91"/>
      <c r="H703" s="91"/>
      <c r="I703" s="91"/>
      <c r="J703" s="91"/>
      <c r="K703" s="91"/>
      <c r="L703" s="3"/>
    </row>
    <row r="704" ht="14.25" customHeight="1">
      <c r="A704" s="91"/>
      <c r="B704" s="91"/>
      <c r="C704" s="91"/>
      <c r="D704" s="91"/>
      <c r="E704" s="91"/>
      <c r="F704" s="92"/>
      <c r="G704" s="91"/>
      <c r="H704" s="91"/>
      <c r="I704" s="91"/>
      <c r="J704" s="91"/>
      <c r="K704" s="91"/>
      <c r="L704" s="3"/>
    </row>
    <row r="705" ht="14.25" customHeight="1">
      <c r="A705" s="91"/>
      <c r="B705" s="91"/>
      <c r="C705" s="91"/>
      <c r="D705" s="91"/>
      <c r="E705" s="91"/>
      <c r="F705" s="92"/>
      <c r="G705" s="91"/>
      <c r="H705" s="91"/>
      <c r="I705" s="91"/>
      <c r="J705" s="91"/>
      <c r="K705" s="91"/>
      <c r="L705" s="3"/>
    </row>
    <row r="706" ht="14.25" customHeight="1">
      <c r="A706" s="91"/>
      <c r="B706" s="91"/>
      <c r="C706" s="91"/>
      <c r="D706" s="91"/>
      <c r="E706" s="91"/>
      <c r="F706" s="92"/>
      <c r="G706" s="91"/>
      <c r="H706" s="91"/>
      <c r="I706" s="91"/>
      <c r="J706" s="91"/>
      <c r="K706" s="91"/>
      <c r="L706" s="3"/>
    </row>
    <row r="707" ht="14.25" customHeight="1">
      <c r="A707" s="91"/>
      <c r="B707" s="91"/>
      <c r="C707" s="91"/>
      <c r="D707" s="91"/>
      <c r="E707" s="91"/>
      <c r="F707" s="92"/>
      <c r="G707" s="91"/>
      <c r="H707" s="91"/>
      <c r="I707" s="91"/>
      <c r="J707" s="91"/>
      <c r="K707" s="91"/>
      <c r="L707" s="3"/>
    </row>
    <row r="708" ht="14.25" customHeight="1">
      <c r="A708" s="91"/>
      <c r="B708" s="91"/>
      <c r="C708" s="91"/>
      <c r="D708" s="91"/>
      <c r="E708" s="91"/>
      <c r="F708" s="92"/>
      <c r="G708" s="91"/>
      <c r="H708" s="91"/>
      <c r="I708" s="91"/>
      <c r="J708" s="91"/>
      <c r="K708" s="91"/>
      <c r="L708" s="3"/>
    </row>
    <row r="709" ht="14.25" customHeight="1">
      <c r="A709" s="91"/>
      <c r="B709" s="91"/>
      <c r="C709" s="91"/>
      <c r="D709" s="91"/>
      <c r="E709" s="91"/>
      <c r="F709" s="92"/>
      <c r="G709" s="91"/>
      <c r="H709" s="91"/>
      <c r="I709" s="91"/>
      <c r="J709" s="91"/>
      <c r="K709" s="91"/>
      <c r="L709" s="3"/>
    </row>
    <row r="710" ht="14.25" customHeight="1">
      <c r="A710" s="91"/>
      <c r="B710" s="91"/>
      <c r="C710" s="91"/>
      <c r="D710" s="91"/>
      <c r="E710" s="91"/>
      <c r="F710" s="92"/>
      <c r="G710" s="91"/>
      <c r="H710" s="91"/>
      <c r="I710" s="91"/>
      <c r="J710" s="91"/>
      <c r="K710" s="91"/>
      <c r="L710" s="3"/>
    </row>
    <row r="711" ht="14.25" customHeight="1">
      <c r="A711" s="91"/>
      <c r="B711" s="91"/>
      <c r="C711" s="91"/>
      <c r="D711" s="91"/>
      <c r="E711" s="91"/>
      <c r="F711" s="92"/>
      <c r="G711" s="91"/>
      <c r="H711" s="91"/>
      <c r="I711" s="91"/>
      <c r="J711" s="91"/>
      <c r="K711" s="91"/>
      <c r="L711" s="3"/>
    </row>
    <row r="712" ht="14.25" customHeight="1">
      <c r="A712" s="91"/>
      <c r="B712" s="91"/>
      <c r="C712" s="91"/>
      <c r="D712" s="91"/>
      <c r="E712" s="91"/>
      <c r="F712" s="92"/>
      <c r="G712" s="91"/>
      <c r="H712" s="91"/>
      <c r="I712" s="91"/>
      <c r="J712" s="91"/>
      <c r="K712" s="91"/>
      <c r="L712" s="3"/>
    </row>
    <row r="713" ht="14.25" customHeight="1">
      <c r="A713" s="91"/>
      <c r="B713" s="91"/>
      <c r="C713" s="91"/>
      <c r="D713" s="91"/>
      <c r="E713" s="91"/>
      <c r="F713" s="92"/>
      <c r="G713" s="91"/>
      <c r="H713" s="91"/>
      <c r="I713" s="91"/>
      <c r="J713" s="91"/>
      <c r="K713" s="91"/>
      <c r="L713" s="3"/>
    </row>
    <row r="714" ht="14.25" customHeight="1">
      <c r="A714" s="91"/>
      <c r="B714" s="91"/>
      <c r="C714" s="91"/>
      <c r="D714" s="91"/>
      <c r="E714" s="91"/>
      <c r="F714" s="92"/>
      <c r="G714" s="91"/>
      <c r="H714" s="91"/>
      <c r="I714" s="91"/>
      <c r="J714" s="91"/>
      <c r="K714" s="91"/>
      <c r="L714" s="3"/>
    </row>
    <row r="715" ht="14.25" customHeight="1">
      <c r="A715" s="91"/>
      <c r="B715" s="91"/>
      <c r="C715" s="91"/>
      <c r="D715" s="91"/>
      <c r="E715" s="91"/>
      <c r="F715" s="92"/>
      <c r="G715" s="91"/>
      <c r="H715" s="91"/>
      <c r="I715" s="91"/>
      <c r="J715" s="91"/>
      <c r="K715" s="91"/>
      <c r="L715" s="3"/>
    </row>
    <row r="716" ht="14.25" customHeight="1">
      <c r="A716" s="91"/>
      <c r="B716" s="91"/>
      <c r="C716" s="91"/>
      <c r="D716" s="91"/>
      <c r="E716" s="91"/>
      <c r="F716" s="92"/>
      <c r="G716" s="91"/>
      <c r="H716" s="91"/>
      <c r="I716" s="91"/>
      <c r="J716" s="91"/>
      <c r="K716" s="91"/>
      <c r="L716" s="3"/>
    </row>
    <row r="717" ht="14.25" customHeight="1">
      <c r="A717" s="91"/>
      <c r="B717" s="91"/>
      <c r="C717" s="91"/>
      <c r="D717" s="91"/>
      <c r="E717" s="91"/>
      <c r="F717" s="92"/>
      <c r="G717" s="91"/>
      <c r="H717" s="91"/>
      <c r="I717" s="91"/>
      <c r="J717" s="91"/>
      <c r="K717" s="91"/>
      <c r="L717" s="3"/>
    </row>
    <row r="718" ht="14.25" customHeight="1">
      <c r="A718" s="91"/>
      <c r="B718" s="91"/>
      <c r="C718" s="91"/>
      <c r="D718" s="91"/>
      <c r="E718" s="91"/>
      <c r="F718" s="92"/>
      <c r="G718" s="91"/>
      <c r="H718" s="91"/>
      <c r="I718" s="91"/>
      <c r="J718" s="91"/>
      <c r="K718" s="91"/>
      <c r="L718" s="3"/>
    </row>
    <row r="719" ht="14.25" customHeight="1">
      <c r="A719" s="91"/>
      <c r="B719" s="91"/>
      <c r="C719" s="91"/>
      <c r="D719" s="91"/>
      <c r="E719" s="91"/>
      <c r="F719" s="92"/>
      <c r="G719" s="91"/>
      <c r="H719" s="91"/>
      <c r="I719" s="91"/>
      <c r="J719" s="91"/>
      <c r="K719" s="91"/>
      <c r="L719" s="3"/>
    </row>
    <row r="720" ht="14.25" customHeight="1">
      <c r="A720" s="91"/>
      <c r="B720" s="91"/>
      <c r="C720" s="91"/>
      <c r="D720" s="91"/>
      <c r="E720" s="91"/>
      <c r="F720" s="92"/>
      <c r="G720" s="91"/>
      <c r="H720" s="91"/>
      <c r="I720" s="91"/>
      <c r="J720" s="91"/>
      <c r="K720" s="91"/>
      <c r="L720" s="3"/>
    </row>
    <row r="721" ht="14.25" customHeight="1">
      <c r="A721" s="91"/>
      <c r="B721" s="91"/>
      <c r="C721" s="91"/>
      <c r="D721" s="91"/>
      <c r="E721" s="91"/>
      <c r="F721" s="92"/>
      <c r="G721" s="91"/>
      <c r="H721" s="91"/>
      <c r="I721" s="91"/>
      <c r="J721" s="91"/>
      <c r="K721" s="91"/>
      <c r="L721" s="3"/>
    </row>
    <row r="722" ht="14.25" customHeight="1">
      <c r="A722" s="91"/>
      <c r="B722" s="91"/>
      <c r="C722" s="91"/>
      <c r="D722" s="91"/>
      <c r="E722" s="91"/>
      <c r="F722" s="92"/>
      <c r="G722" s="91"/>
      <c r="H722" s="91"/>
      <c r="I722" s="91"/>
      <c r="J722" s="91"/>
      <c r="K722" s="91"/>
      <c r="L722" s="3"/>
    </row>
    <row r="723" ht="14.25" customHeight="1">
      <c r="A723" s="91"/>
      <c r="B723" s="91"/>
      <c r="C723" s="91"/>
      <c r="D723" s="91"/>
      <c r="E723" s="91"/>
      <c r="F723" s="92"/>
      <c r="G723" s="91"/>
      <c r="H723" s="91"/>
      <c r="I723" s="91"/>
      <c r="J723" s="91"/>
      <c r="K723" s="91"/>
      <c r="L723" s="3"/>
    </row>
    <row r="724" ht="14.25" customHeight="1">
      <c r="A724" s="91"/>
      <c r="B724" s="91"/>
      <c r="C724" s="91"/>
      <c r="D724" s="91"/>
      <c r="E724" s="91"/>
      <c r="F724" s="92"/>
      <c r="G724" s="91"/>
      <c r="H724" s="91"/>
      <c r="I724" s="91"/>
      <c r="J724" s="91"/>
      <c r="K724" s="91"/>
      <c r="L724" s="3"/>
    </row>
    <row r="725" ht="14.25" customHeight="1">
      <c r="A725" s="91"/>
      <c r="B725" s="91"/>
      <c r="C725" s="91"/>
      <c r="D725" s="91"/>
      <c r="E725" s="91"/>
      <c r="F725" s="92"/>
      <c r="G725" s="91"/>
      <c r="H725" s="91"/>
      <c r="I725" s="91"/>
      <c r="J725" s="91"/>
      <c r="K725" s="91"/>
      <c r="L725" s="3"/>
    </row>
    <row r="726" ht="14.25" customHeight="1">
      <c r="A726" s="91"/>
      <c r="B726" s="91"/>
      <c r="C726" s="91"/>
      <c r="D726" s="91"/>
      <c r="E726" s="91"/>
      <c r="F726" s="92"/>
      <c r="G726" s="91"/>
      <c r="H726" s="91"/>
      <c r="I726" s="91"/>
      <c r="J726" s="91"/>
      <c r="K726" s="91"/>
      <c r="L726" s="3"/>
    </row>
    <row r="727" ht="14.25" customHeight="1">
      <c r="A727" s="91"/>
      <c r="B727" s="91"/>
      <c r="C727" s="91"/>
      <c r="D727" s="91"/>
      <c r="E727" s="91"/>
      <c r="F727" s="92"/>
      <c r="G727" s="91"/>
      <c r="H727" s="91"/>
      <c r="I727" s="91"/>
      <c r="J727" s="91"/>
      <c r="K727" s="91"/>
      <c r="L727" s="3"/>
    </row>
    <row r="728" ht="14.25" customHeight="1">
      <c r="A728" s="91"/>
      <c r="B728" s="91"/>
      <c r="C728" s="91"/>
      <c r="D728" s="91"/>
      <c r="E728" s="91"/>
      <c r="F728" s="92"/>
      <c r="G728" s="91"/>
      <c r="H728" s="91"/>
      <c r="I728" s="91"/>
      <c r="J728" s="91"/>
      <c r="K728" s="91"/>
      <c r="L728" s="3"/>
    </row>
    <row r="729" ht="14.25" customHeight="1">
      <c r="A729" s="91"/>
      <c r="B729" s="91"/>
      <c r="C729" s="91"/>
      <c r="D729" s="91"/>
      <c r="E729" s="91"/>
      <c r="F729" s="92"/>
      <c r="G729" s="91"/>
      <c r="H729" s="91"/>
      <c r="I729" s="91"/>
      <c r="J729" s="91"/>
      <c r="K729" s="91"/>
      <c r="L729" s="3"/>
    </row>
    <row r="730" ht="14.25" customHeight="1">
      <c r="A730" s="91"/>
      <c r="B730" s="91"/>
      <c r="C730" s="91"/>
      <c r="D730" s="91"/>
      <c r="E730" s="91"/>
      <c r="F730" s="92"/>
      <c r="G730" s="91"/>
      <c r="H730" s="91"/>
      <c r="I730" s="91"/>
      <c r="J730" s="91"/>
      <c r="K730" s="91"/>
      <c r="L730" s="3"/>
    </row>
    <row r="731" ht="14.25" customHeight="1">
      <c r="A731" s="91"/>
      <c r="B731" s="91"/>
      <c r="C731" s="91"/>
      <c r="D731" s="91"/>
      <c r="E731" s="91"/>
      <c r="F731" s="92"/>
      <c r="G731" s="91"/>
      <c r="H731" s="91"/>
      <c r="I731" s="91"/>
      <c r="J731" s="91"/>
      <c r="K731" s="91"/>
      <c r="L731" s="3"/>
    </row>
    <row r="732" ht="14.25" customHeight="1">
      <c r="A732" s="91"/>
      <c r="B732" s="91"/>
      <c r="C732" s="91"/>
      <c r="D732" s="91"/>
      <c r="E732" s="91"/>
      <c r="F732" s="92"/>
      <c r="G732" s="91"/>
      <c r="H732" s="91"/>
      <c r="I732" s="91"/>
      <c r="J732" s="91"/>
      <c r="K732" s="91"/>
      <c r="L732" s="3"/>
    </row>
    <row r="733" ht="14.25" customHeight="1">
      <c r="A733" s="91"/>
      <c r="B733" s="91"/>
      <c r="C733" s="91"/>
      <c r="D733" s="91"/>
      <c r="E733" s="91"/>
      <c r="F733" s="92"/>
      <c r="G733" s="91"/>
      <c r="H733" s="91"/>
      <c r="I733" s="91"/>
      <c r="J733" s="91"/>
      <c r="K733" s="91"/>
      <c r="L733" s="3"/>
    </row>
    <row r="734" ht="14.25" customHeight="1">
      <c r="A734" s="91"/>
      <c r="B734" s="91"/>
      <c r="C734" s="91"/>
      <c r="D734" s="91"/>
      <c r="E734" s="91"/>
      <c r="F734" s="92"/>
      <c r="G734" s="91"/>
      <c r="H734" s="91"/>
      <c r="I734" s="91"/>
      <c r="J734" s="91"/>
      <c r="K734" s="91"/>
      <c r="L734" s="3"/>
    </row>
    <row r="735" ht="14.25" customHeight="1">
      <c r="A735" s="91"/>
      <c r="B735" s="91"/>
      <c r="C735" s="91"/>
      <c r="D735" s="91"/>
      <c r="E735" s="91"/>
      <c r="F735" s="92"/>
      <c r="G735" s="91"/>
      <c r="H735" s="91"/>
      <c r="I735" s="91"/>
      <c r="J735" s="91"/>
      <c r="K735" s="91"/>
      <c r="L735" s="3"/>
    </row>
    <row r="736" ht="14.25" customHeight="1">
      <c r="A736" s="91"/>
      <c r="B736" s="91"/>
      <c r="C736" s="91"/>
      <c r="D736" s="91"/>
      <c r="E736" s="91"/>
      <c r="F736" s="92"/>
      <c r="G736" s="91"/>
      <c r="H736" s="91"/>
      <c r="I736" s="91"/>
      <c r="J736" s="91"/>
      <c r="K736" s="91"/>
      <c r="L736" s="3"/>
    </row>
    <row r="737" ht="14.25" customHeight="1">
      <c r="A737" s="91"/>
      <c r="B737" s="91"/>
      <c r="C737" s="91"/>
      <c r="D737" s="91"/>
      <c r="E737" s="91"/>
      <c r="F737" s="92"/>
      <c r="G737" s="91"/>
      <c r="H737" s="91"/>
      <c r="I737" s="91"/>
      <c r="J737" s="91"/>
      <c r="K737" s="91"/>
      <c r="L737" s="3"/>
    </row>
    <row r="738" ht="14.25" customHeight="1">
      <c r="A738" s="91"/>
      <c r="B738" s="91"/>
      <c r="C738" s="91"/>
      <c r="D738" s="91"/>
      <c r="E738" s="91"/>
      <c r="F738" s="92"/>
      <c r="G738" s="91"/>
      <c r="H738" s="91"/>
      <c r="I738" s="91"/>
      <c r="J738" s="91"/>
      <c r="K738" s="91"/>
      <c r="L738" s="3"/>
    </row>
    <row r="739" ht="14.25" customHeight="1">
      <c r="A739" s="91"/>
      <c r="B739" s="91"/>
      <c r="C739" s="91"/>
      <c r="D739" s="91"/>
      <c r="E739" s="91"/>
      <c r="F739" s="92"/>
      <c r="G739" s="91"/>
      <c r="H739" s="91"/>
      <c r="I739" s="91"/>
      <c r="J739" s="91"/>
      <c r="K739" s="91"/>
      <c r="L739" s="3"/>
    </row>
    <row r="740" ht="14.25" customHeight="1">
      <c r="A740" s="91"/>
      <c r="B740" s="91"/>
      <c r="C740" s="91"/>
      <c r="D740" s="91"/>
      <c r="E740" s="91"/>
      <c r="F740" s="92"/>
      <c r="G740" s="91"/>
      <c r="H740" s="91"/>
      <c r="I740" s="91"/>
      <c r="J740" s="91"/>
      <c r="K740" s="91"/>
      <c r="L740" s="3"/>
    </row>
    <row r="741" ht="14.25" customHeight="1">
      <c r="A741" s="91"/>
      <c r="B741" s="91"/>
      <c r="C741" s="91"/>
      <c r="D741" s="91"/>
      <c r="E741" s="91"/>
      <c r="F741" s="92"/>
      <c r="G741" s="91"/>
      <c r="H741" s="91"/>
      <c r="I741" s="91"/>
      <c r="J741" s="91"/>
      <c r="K741" s="91"/>
      <c r="L741" s="3"/>
    </row>
    <row r="742" ht="14.25" customHeight="1">
      <c r="A742" s="91"/>
      <c r="B742" s="91"/>
      <c r="C742" s="91"/>
      <c r="D742" s="91"/>
      <c r="E742" s="91"/>
      <c r="F742" s="92"/>
      <c r="G742" s="91"/>
      <c r="H742" s="91"/>
      <c r="I742" s="91"/>
      <c r="J742" s="91"/>
      <c r="K742" s="91"/>
      <c r="L742" s="3"/>
    </row>
    <row r="743" ht="14.25" customHeight="1">
      <c r="A743" s="91"/>
      <c r="B743" s="91"/>
      <c r="C743" s="91"/>
      <c r="D743" s="91"/>
      <c r="E743" s="91"/>
      <c r="F743" s="92"/>
      <c r="G743" s="91"/>
      <c r="H743" s="91"/>
      <c r="I743" s="91"/>
      <c r="J743" s="91"/>
      <c r="K743" s="91"/>
      <c r="L743" s="3"/>
    </row>
    <row r="744" ht="14.25" customHeight="1">
      <c r="A744" s="91"/>
      <c r="B744" s="91"/>
      <c r="C744" s="91"/>
      <c r="D744" s="91"/>
      <c r="E744" s="91"/>
      <c r="F744" s="92"/>
      <c r="G744" s="91"/>
      <c r="H744" s="91"/>
      <c r="I744" s="91"/>
      <c r="J744" s="91"/>
      <c r="K744" s="91"/>
      <c r="L744" s="3"/>
    </row>
    <row r="745" ht="14.25" customHeight="1">
      <c r="A745" s="91"/>
      <c r="B745" s="91"/>
      <c r="C745" s="91"/>
      <c r="D745" s="91"/>
      <c r="E745" s="91"/>
      <c r="F745" s="92"/>
      <c r="G745" s="91"/>
      <c r="H745" s="91"/>
      <c r="I745" s="91"/>
      <c r="J745" s="91"/>
      <c r="K745" s="91"/>
      <c r="L745" s="3"/>
    </row>
    <row r="746" ht="14.25" customHeight="1">
      <c r="A746" s="91"/>
      <c r="B746" s="91"/>
      <c r="C746" s="91"/>
      <c r="D746" s="91"/>
      <c r="E746" s="91"/>
      <c r="F746" s="92"/>
      <c r="G746" s="91"/>
      <c r="H746" s="91"/>
      <c r="I746" s="91"/>
      <c r="J746" s="91"/>
      <c r="K746" s="91"/>
      <c r="L746" s="3"/>
    </row>
    <row r="747" ht="14.25" customHeight="1">
      <c r="A747" s="91"/>
      <c r="B747" s="91"/>
      <c r="C747" s="91"/>
      <c r="D747" s="91"/>
      <c r="E747" s="91"/>
      <c r="F747" s="92"/>
      <c r="G747" s="91"/>
      <c r="H747" s="91"/>
      <c r="I747" s="91"/>
      <c r="J747" s="91"/>
      <c r="K747" s="91"/>
      <c r="L747" s="3"/>
    </row>
    <row r="748" ht="14.25" customHeight="1">
      <c r="A748" s="91"/>
      <c r="B748" s="91"/>
      <c r="C748" s="91"/>
      <c r="D748" s="91"/>
      <c r="E748" s="91"/>
      <c r="F748" s="92"/>
      <c r="G748" s="91"/>
      <c r="H748" s="91"/>
      <c r="I748" s="91"/>
      <c r="J748" s="91"/>
      <c r="K748" s="91"/>
      <c r="L748" s="3"/>
    </row>
    <row r="749" ht="14.25" customHeight="1">
      <c r="A749" s="91"/>
      <c r="B749" s="91"/>
      <c r="C749" s="91"/>
      <c r="D749" s="91"/>
      <c r="E749" s="91"/>
      <c r="F749" s="92"/>
      <c r="G749" s="91"/>
      <c r="H749" s="91"/>
      <c r="I749" s="91"/>
      <c r="J749" s="91"/>
      <c r="K749" s="91"/>
      <c r="L749" s="3"/>
    </row>
    <row r="750" ht="14.25" customHeight="1">
      <c r="A750" s="91"/>
      <c r="B750" s="91"/>
      <c r="C750" s="91"/>
      <c r="D750" s="91"/>
      <c r="E750" s="91"/>
      <c r="F750" s="92"/>
      <c r="G750" s="91"/>
      <c r="H750" s="91"/>
      <c r="I750" s="91"/>
      <c r="J750" s="91"/>
      <c r="K750" s="91"/>
      <c r="L750" s="3"/>
    </row>
    <row r="751" ht="14.25" customHeight="1">
      <c r="A751" s="91"/>
      <c r="B751" s="91"/>
      <c r="C751" s="91"/>
      <c r="D751" s="91"/>
      <c r="E751" s="91"/>
      <c r="F751" s="92"/>
      <c r="G751" s="91"/>
      <c r="H751" s="91"/>
      <c r="I751" s="91"/>
      <c r="J751" s="91"/>
      <c r="K751" s="91"/>
      <c r="L751" s="3"/>
    </row>
    <row r="752" ht="14.25" customHeight="1">
      <c r="A752" s="91"/>
      <c r="B752" s="91"/>
      <c r="C752" s="91"/>
      <c r="D752" s="91"/>
      <c r="E752" s="91"/>
      <c r="F752" s="92"/>
      <c r="G752" s="91"/>
      <c r="H752" s="91"/>
      <c r="I752" s="91"/>
      <c r="J752" s="91"/>
      <c r="K752" s="91"/>
      <c r="L752" s="3"/>
    </row>
    <row r="753" ht="14.25" customHeight="1">
      <c r="A753" s="91"/>
      <c r="B753" s="91"/>
      <c r="C753" s="91"/>
      <c r="D753" s="91"/>
      <c r="E753" s="91"/>
      <c r="F753" s="92"/>
      <c r="G753" s="91"/>
      <c r="H753" s="91"/>
      <c r="I753" s="91"/>
      <c r="J753" s="91"/>
      <c r="K753" s="91"/>
      <c r="L753" s="3"/>
    </row>
    <row r="754" ht="14.25" customHeight="1">
      <c r="A754" s="91"/>
      <c r="B754" s="91"/>
      <c r="C754" s="91"/>
      <c r="D754" s="91"/>
      <c r="E754" s="91"/>
      <c r="F754" s="92"/>
      <c r="G754" s="91"/>
      <c r="H754" s="91"/>
      <c r="I754" s="91"/>
      <c r="J754" s="91"/>
      <c r="K754" s="91"/>
      <c r="L754" s="3"/>
    </row>
    <row r="755" ht="14.25" customHeight="1">
      <c r="A755" s="91"/>
      <c r="B755" s="91"/>
      <c r="C755" s="91"/>
      <c r="D755" s="91"/>
      <c r="E755" s="91"/>
      <c r="F755" s="92"/>
      <c r="G755" s="91"/>
      <c r="H755" s="91"/>
      <c r="I755" s="91"/>
      <c r="J755" s="91"/>
      <c r="K755" s="91"/>
      <c r="L755" s="3"/>
    </row>
    <row r="756" ht="14.25" customHeight="1">
      <c r="A756" s="91"/>
      <c r="B756" s="91"/>
      <c r="C756" s="91"/>
      <c r="D756" s="91"/>
      <c r="E756" s="91"/>
      <c r="F756" s="92"/>
      <c r="G756" s="91"/>
      <c r="H756" s="91"/>
      <c r="I756" s="91"/>
      <c r="J756" s="91"/>
      <c r="K756" s="91"/>
      <c r="L756" s="3"/>
    </row>
    <row r="757" ht="14.25" customHeight="1">
      <c r="A757" s="91"/>
      <c r="B757" s="91"/>
      <c r="C757" s="91"/>
      <c r="D757" s="91"/>
      <c r="E757" s="91"/>
      <c r="F757" s="92"/>
      <c r="G757" s="91"/>
      <c r="H757" s="91"/>
      <c r="I757" s="91"/>
      <c r="J757" s="91"/>
      <c r="K757" s="91"/>
      <c r="L757" s="3"/>
    </row>
    <row r="758" ht="14.25" customHeight="1">
      <c r="A758" s="91"/>
      <c r="B758" s="91"/>
      <c r="C758" s="91"/>
      <c r="D758" s="91"/>
      <c r="E758" s="91"/>
      <c r="F758" s="92"/>
      <c r="G758" s="91"/>
      <c r="H758" s="91"/>
      <c r="I758" s="91"/>
      <c r="J758" s="91"/>
      <c r="K758" s="91"/>
      <c r="L758" s="3"/>
    </row>
    <row r="759" ht="14.25" customHeight="1">
      <c r="A759" s="91"/>
      <c r="B759" s="91"/>
      <c r="C759" s="91"/>
      <c r="D759" s="91"/>
      <c r="E759" s="91"/>
      <c r="F759" s="92"/>
      <c r="G759" s="91"/>
      <c r="H759" s="91"/>
      <c r="I759" s="91"/>
      <c r="J759" s="91"/>
      <c r="K759" s="91"/>
      <c r="L759" s="3"/>
    </row>
    <row r="760" ht="14.25" customHeight="1">
      <c r="A760" s="91"/>
      <c r="B760" s="91"/>
      <c r="C760" s="91"/>
      <c r="D760" s="91"/>
      <c r="E760" s="91"/>
      <c r="F760" s="92"/>
      <c r="G760" s="91"/>
      <c r="H760" s="91"/>
      <c r="I760" s="91"/>
      <c r="J760" s="91"/>
      <c r="K760" s="91"/>
      <c r="L760" s="3"/>
    </row>
    <row r="761" ht="14.25" customHeight="1">
      <c r="A761" s="91"/>
      <c r="B761" s="91"/>
      <c r="C761" s="91"/>
      <c r="D761" s="91"/>
      <c r="E761" s="91"/>
      <c r="F761" s="92"/>
      <c r="G761" s="91"/>
      <c r="H761" s="91"/>
      <c r="I761" s="91"/>
      <c r="J761" s="91"/>
      <c r="K761" s="91"/>
      <c r="L761" s="3"/>
    </row>
    <row r="762" ht="14.25" customHeight="1">
      <c r="A762" s="91"/>
      <c r="B762" s="91"/>
      <c r="C762" s="91"/>
      <c r="D762" s="91"/>
      <c r="E762" s="91"/>
      <c r="F762" s="92"/>
      <c r="G762" s="91"/>
      <c r="H762" s="91"/>
      <c r="I762" s="91"/>
      <c r="J762" s="91"/>
      <c r="K762" s="91"/>
      <c r="L762" s="3"/>
    </row>
    <row r="763" ht="14.25" customHeight="1">
      <c r="A763" s="91"/>
      <c r="B763" s="91"/>
      <c r="C763" s="91"/>
      <c r="D763" s="91"/>
      <c r="E763" s="91"/>
      <c r="F763" s="92"/>
      <c r="G763" s="91"/>
      <c r="H763" s="91"/>
      <c r="I763" s="91"/>
      <c r="J763" s="91"/>
      <c r="K763" s="91"/>
      <c r="L763" s="3"/>
    </row>
    <row r="764" ht="14.25" customHeight="1">
      <c r="A764" s="91"/>
      <c r="B764" s="91"/>
      <c r="C764" s="91"/>
      <c r="D764" s="91"/>
      <c r="E764" s="91"/>
      <c r="F764" s="92"/>
      <c r="G764" s="91"/>
      <c r="H764" s="91"/>
      <c r="I764" s="91"/>
      <c r="J764" s="91"/>
      <c r="K764" s="91"/>
      <c r="L764" s="3"/>
    </row>
    <row r="765" ht="14.25" customHeight="1">
      <c r="A765" s="91"/>
      <c r="B765" s="91"/>
      <c r="C765" s="91"/>
      <c r="D765" s="91"/>
      <c r="E765" s="91"/>
      <c r="F765" s="92"/>
      <c r="G765" s="91"/>
      <c r="H765" s="91"/>
      <c r="I765" s="91"/>
      <c r="J765" s="91"/>
      <c r="K765" s="91"/>
      <c r="L765" s="3"/>
    </row>
    <row r="766" ht="14.25" customHeight="1">
      <c r="A766" s="91"/>
      <c r="B766" s="91"/>
      <c r="C766" s="91"/>
      <c r="D766" s="91"/>
      <c r="E766" s="91"/>
      <c r="F766" s="92"/>
      <c r="G766" s="91"/>
      <c r="H766" s="91"/>
      <c r="I766" s="91"/>
      <c r="J766" s="91"/>
      <c r="K766" s="91"/>
      <c r="L766" s="3"/>
    </row>
    <row r="767" ht="14.25" customHeight="1">
      <c r="A767" s="91"/>
      <c r="B767" s="91"/>
      <c r="C767" s="91"/>
      <c r="D767" s="91"/>
      <c r="E767" s="91"/>
      <c r="F767" s="92"/>
      <c r="G767" s="91"/>
      <c r="H767" s="91"/>
      <c r="I767" s="91"/>
      <c r="J767" s="91"/>
      <c r="K767" s="91"/>
      <c r="L767" s="3"/>
    </row>
    <row r="768" ht="14.25" customHeight="1">
      <c r="A768" s="91"/>
      <c r="B768" s="91"/>
      <c r="C768" s="91"/>
      <c r="D768" s="91"/>
      <c r="E768" s="91"/>
      <c r="F768" s="92"/>
      <c r="G768" s="91"/>
      <c r="H768" s="91"/>
      <c r="I768" s="91"/>
      <c r="J768" s="91"/>
      <c r="K768" s="91"/>
      <c r="L768" s="3"/>
    </row>
    <row r="769" ht="14.25" customHeight="1">
      <c r="A769" s="91"/>
      <c r="B769" s="91"/>
      <c r="C769" s="91"/>
      <c r="D769" s="91"/>
      <c r="E769" s="91"/>
      <c r="F769" s="92"/>
      <c r="G769" s="91"/>
      <c r="H769" s="91"/>
      <c r="I769" s="91"/>
      <c r="J769" s="91"/>
      <c r="K769" s="91"/>
      <c r="L769" s="3"/>
    </row>
    <row r="770" ht="14.25" customHeight="1">
      <c r="A770" s="91"/>
      <c r="B770" s="91"/>
      <c r="C770" s="91"/>
      <c r="D770" s="91"/>
      <c r="E770" s="91"/>
      <c r="F770" s="92"/>
      <c r="G770" s="91"/>
      <c r="H770" s="91"/>
      <c r="I770" s="91"/>
      <c r="J770" s="91"/>
      <c r="K770" s="91"/>
      <c r="L770" s="3"/>
    </row>
    <row r="771" ht="14.25" customHeight="1">
      <c r="A771" s="91"/>
      <c r="B771" s="91"/>
      <c r="C771" s="91"/>
      <c r="D771" s="91"/>
      <c r="E771" s="91"/>
      <c r="F771" s="92"/>
      <c r="G771" s="91"/>
      <c r="H771" s="91"/>
      <c r="I771" s="91"/>
      <c r="J771" s="91"/>
      <c r="K771" s="91"/>
      <c r="L771" s="3"/>
    </row>
    <row r="772" ht="14.25" customHeight="1">
      <c r="A772" s="91"/>
      <c r="B772" s="91"/>
      <c r="C772" s="91"/>
      <c r="D772" s="91"/>
      <c r="E772" s="91"/>
      <c r="F772" s="92"/>
      <c r="G772" s="91"/>
      <c r="H772" s="91"/>
      <c r="I772" s="91"/>
      <c r="J772" s="91"/>
      <c r="K772" s="91"/>
      <c r="L772" s="3"/>
    </row>
    <row r="773" ht="14.25" customHeight="1">
      <c r="A773" s="91"/>
      <c r="B773" s="91"/>
      <c r="C773" s="91"/>
      <c r="D773" s="91"/>
      <c r="E773" s="91"/>
      <c r="F773" s="92"/>
      <c r="G773" s="91"/>
      <c r="H773" s="91"/>
      <c r="I773" s="91"/>
      <c r="J773" s="91"/>
      <c r="K773" s="91"/>
      <c r="L773" s="3"/>
    </row>
    <row r="774" ht="14.25" customHeight="1">
      <c r="A774" s="91"/>
      <c r="B774" s="91"/>
      <c r="C774" s="91"/>
      <c r="D774" s="91"/>
      <c r="E774" s="91"/>
      <c r="F774" s="92"/>
      <c r="G774" s="91"/>
      <c r="H774" s="91"/>
      <c r="I774" s="91"/>
      <c r="J774" s="91"/>
      <c r="K774" s="91"/>
      <c r="L774" s="3"/>
    </row>
    <row r="775" ht="14.25" customHeight="1">
      <c r="A775" s="91"/>
      <c r="B775" s="91"/>
      <c r="C775" s="91"/>
      <c r="D775" s="91"/>
      <c r="E775" s="91"/>
      <c r="F775" s="92"/>
      <c r="G775" s="91"/>
      <c r="H775" s="91"/>
      <c r="I775" s="91"/>
      <c r="J775" s="91"/>
      <c r="K775" s="91"/>
      <c r="L775" s="3"/>
    </row>
    <row r="776" ht="14.25" customHeight="1">
      <c r="A776" s="91"/>
      <c r="B776" s="91"/>
      <c r="C776" s="91"/>
      <c r="D776" s="91"/>
      <c r="E776" s="91"/>
      <c r="F776" s="92"/>
      <c r="G776" s="91"/>
      <c r="H776" s="91"/>
      <c r="I776" s="91"/>
      <c r="J776" s="91"/>
      <c r="K776" s="91"/>
      <c r="L776" s="3"/>
    </row>
    <row r="777" ht="14.25" customHeight="1">
      <c r="A777" s="91"/>
      <c r="B777" s="91"/>
      <c r="C777" s="91"/>
      <c r="D777" s="91"/>
      <c r="E777" s="91"/>
      <c r="F777" s="92"/>
      <c r="G777" s="91"/>
      <c r="H777" s="91"/>
      <c r="I777" s="91"/>
      <c r="J777" s="91"/>
      <c r="K777" s="91"/>
      <c r="L777" s="3"/>
    </row>
    <row r="778" ht="14.25" customHeight="1">
      <c r="A778" s="91"/>
      <c r="B778" s="91"/>
      <c r="C778" s="91"/>
      <c r="D778" s="91"/>
      <c r="E778" s="91"/>
      <c r="F778" s="92"/>
      <c r="G778" s="91"/>
      <c r="H778" s="91"/>
      <c r="I778" s="91"/>
      <c r="J778" s="91"/>
      <c r="K778" s="91"/>
      <c r="L778" s="3"/>
    </row>
    <row r="779" ht="14.25" customHeight="1">
      <c r="A779" s="91"/>
      <c r="B779" s="91"/>
      <c r="C779" s="91"/>
      <c r="D779" s="91"/>
      <c r="E779" s="91"/>
      <c r="F779" s="92"/>
      <c r="G779" s="91"/>
      <c r="H779" s="91"/>
      <c r="I779" s="91"/>
      <c r="J779" s="91"/>
      <c r="K779" s="91"/>
      <c r="L779" s="3"/>
    </row>
    <row r="780" ht="14.25" customHeight="1">
      <c r="A780" s="91"/>
      <c r="B780" s="91"/>
      <c r="C780" s="91"/>
      <c r="D780" s="91"/>
      <c r="E780" s="91"/>
      <c r="F780" s="92"/>
      <c r="G780" s="91"/>
      <c r="H780" s="91"/>
      <c r="I780" s="91"/>
      <c r="J780" s="91"/>
      <c r="K780" s="91"/>
      <c r="L780" s="3"/>
    </row>
    <row r="781" ht="14.25" customHeight="1">
      <c r="A781" s="91"/>
      <c r="B781" s="91"/>
      <c r="C781" s="91"/>
      <c r="D781" s="91"/>
      <c r="E781" s="91"/>
      <c r="F781" s="92"/>
      <c r="G781" s="91"/>
      <c r="H781" s="91"/>
      <c r="I781" s="91"/>
      <c r="J781" s="91"/>
      <c r="K781" s="91"/>
      <c r="L781" s="3"/>
    </row>
    <row r="782" ht="14.25" customHeight="1">
      <c r="A782" s="91"/>
      <c r="B782" s="91"/>
      <c r="C782" s="91"/>
      <c r="D782" s="91"/>
      <c r="E782" s="91"/>
      <c r="F782" s="92"/>
      <c r="G782" s="91"/>
      <c r="H782" s="91"/>
      <c r="I782" s="91"/>
      <c r="J782" s="91"/>
      <c r="K782" s="91"/>
      <c r="L782" s="3"/>
    </row>
    <row r="783" ht="14.25" customHeight="1">
      <c r="A783" s="91"/>
      <c r="B783" s="91"/>
      <c r="C783" s="91"/>
      <c r="D783" s="91"/>
      <c r="E783" s="91"/>
      <c r="F783" s="92"/>
      <c r="G783" s="91"/>
      <c r="H783" s="91"/>
      <c r="I783" s="91"/>
      <c r="J783" s="91"/>
      <c r="K783" s="91"/>
      <c r="L783" s="3"/>
    </row>
    <row r="784" ht="14.25" customHeight="1">
      <c r="A784" s="91"/>
      <c r="B784" s="91"/>
      <c r="C784" s="91"/>
      <c r="D784" s="91"/>
      <c r="E784" s="91"/>
      <c r="F784" s="92"/>
      <c r="G784" s="91"/>
      <c r="H784" s="91"/>
      <c r="I784" s="91"/>
      <c r="J784" s="91"/>
      <c r="K784" s="91"/>
      <c r="L784" s="3"/>
    </row>
    <row r="785" ht="14.25" customHeight="1">
      <c r="A785" s="91"/>
      <c r="B785" s="91"/>
      <c r="C785" s="91"/>
      <c r="D785" s="91"/>
      <c r="E785" s="91"/>
      <c r="F785" s="92"/>
      <c r="G785" s="91"/>
      <c r="H785" s="91"/>
      <c r="I785" s="91"/>
      <c r="J785" s="91"/>
      <c r="K785" s="91"/>
      <c r="L785" s="3"/>
    </row>
    <row r="786" ht="14.25" customHeight="1">
      <c r="A786" s="91"/>
      <c r="B786" s="91"/>
      <c r="C786" s="91"/>
      <c r="D786" s="91"/>
      <c r="E786" s="91"/>
      <c r="F786" s="92"/>
      <c r="G786" s="91"/>
      <c r="H786" s="91"/>
      <c r="I786" s="91"/>
      <c r="J786" s="91"/>
      <c r="K786" s="91"/>
      <c r="L786" s="3"/>
    </row>
    <row r="787" ht="14.25" customHeight="1">
      <c r="A787" s="91"/>
      <c r="B787" s="91"/>
      <c r="C787" s="91"/>
      <c r="D787" s="91"/>
      <c r="E787" s="91"/>
      <c r="F787" s="92"/>
      <c r="G787" s="91"/>
      <c r="H787" s="91"/>
      <c r="I787" s="91"/>
      <c r="J787" s="91"/>
      <c r="K787" s="91"/>
      <c r="L787" s="3"/>
    </row>
    <row r="788" ht="14.25" customHeight="1">
      <c r="A788" s="91"/>
      <c r="B788" s="91"/>
      <c r="C788" s="91"/>
      <c r="D788" s="91"/>
      <c r="E788" s="91"/>
      <c r="F788" s="92"/>
      <c r="G788" s="91"/>
      <c r="H788" s="91"/>
      <c r="I788" s="91"/>
      <c r="J788" s="91"/>
      <c r="K788" s="91"/>
      <c r="L788" s="3"/>
    </row>
    <row r="789" ht="14.25" customHeight="1">
      <c r="A789" s="91"/>
      <c r="B789" s="91"/>
      <c r="C789" s="91"/>
      <c r="D789" s="91"/>
      <c r="E789" s="91"/>
      <c r="F789" s="92"/>
      <c r="G789" s="91"/>
      <c r="H789" s="91"/>
      <c r="I789" s="91"/>
      <c r="J789" s="91"/>
      <c r="K789" s="91"/>
      <c r="L789" s="3"/>
    </row>
    <row r="790" ht="14.25" customHeight="1">
      <c r="A790" s="91"/>
      <c r="B790" s="91"/>
      <c r="C790" s="91"/>
      <c r="D790" s="91"/>
      <c r="E790" s="91"/>
      <c r="F790" s="92"/>
      <c r="G790" s="91"/>
      <c r="H790" s="91"/>
      <c r="I790" s="91"/>
      <c r="J790" s="91"/>
      <c r="K790" s="91"/>
      <c r="L790" s="3"/>
    </row>
    <row r="791" ht="14.25" customHeight="1">
      <c r="A791" s="91"/>
      <c r="B791" s="91"/>
      <c r="C791" s="91"/>
      <c r="D791" s="91"/>
      <c r="E791" s="91"/>
      <c r="F791" s="92"/>
      <c r="G791" s="91"/>
      <c r="H791" s="91"/>
      <c r="I791" s="91"/>
      <c r="J791" s="91"/>
      <c r="K791" s="91"/>
      <c r="L791" s="3"/>
    </row>
    <row r="792" ht="14.25" customHeight="1">
      <c r="A792" s="91"/>
      <c r="B792" s="91"/>
      <c r="C792" s="91"/>
      <c r="D792" s="91"/>
      <c r="E792" s="91"/>
      <c r="F792" s="92"/>
      <c r="G792" s="91"/>
      <c r="H792" s="91"/>
      <c r="I792" s="91"/>
      <c r="J792" s="91"/>
      <c r="K792" s="91"/>
      <c r="L792" s="3"/>
    </row>
    <row r="793" ht="14.25" customHeight="1">
      <c r="A793" s="91"/>
      <c r="B793" s="91"/>
      <c r="C793" s="91"/>
      <c r="D793" s="91"/>
      <c r="E793" s="91"/>
      <c r="F793" s="92"/>
      <c r="G793" s="91"/>
      <c r="H793" s="91"/>
      <c r="I793" s="91"/>
      <c r="J793" s="91"/>
      <c r="K793" s="91"/>
      <c r="L793" s="3"/>
    </row>
    <row r="794" ht="14.25" customHeight="1">
      <c r="A794" s="91"/>
      <c r="B794" s="91"/>
      <c r="C794" s="91"/>
      <c r="D794" s="91"/>
      <c r="E794" s="91"/>
      <c r="F794" s="92"/>
      <c r="G794" s="91"/>
      <c r="H794" s="91"/>
      <c r="I794" s="91"/>
      <c r="J794" s="91"/>
      <c r="K794" s="91"/>
      <c r="L794" s="3"/>
    </row>
    <row r="795" ht="14.25" customHeight="1">
      <c r="A795" s="91"/>
      <c r="B795" s="91"/>
      <c r="C795" s="91"/>
      <c r="D795" s="91"/>
      <c r="E795" s="91"/>
      <c r="F795" s="92"/>
      <c r="G795" s="91"/>
      <c r="H795" s="91"/>
      <c r="I795" s="91"/>
      <c r="J795" s="91"/>
      <c r="K795" s="91"/>
      <c r="L795" s="3"/>
    </row>
    <row r="796" ht="14.25" customHeight="1">
      <c r="A796" s="91"/>
      <c r="B796" s="91"/>
      <c r="C796" s="91"/>
      <c r="D796" s="91"/>
      <c r="E796" s="91"/>
      <c r="F796" s="92"/>
      <c r="G796" s="91"/>
      <c r="H796" s="91"/>
      <c r="I796" s="91"/>
      <c r="J796" s="91"/>
      <c r="K796" s="91"/>
      <c r="L796" s="3"/>
    </row>
    <row r="797" ht="14.25" customHeight="1">
      <c r="A797" s="91"/>
      <c r="B797" s="91"/>
      <c r="C797" s="91"/>
      <c r="D797" s="91"/>
      <c r="E797" s="91"/>
      <c r="F797" s="92"/>
      <c r="G797" s="91"/>
      <c r="H797" s="91"/>
      <c r="I797" s="91"/>
      <c r="J797" s="91"/>
      <c r="K797" s="91"/>
      <c r="L797" s="3"/>
    </row>
    <row r="798" ht="14.25" customHeight="1">
      <c r="A798" s="91"/>
      <c r="B798" s="91"/>
      <c r="C798" s="91"/>
      <c r="D798" s="91"/>
      <c r="E798" s="91"/>
      <c r="F798" s="92"/>
      <c r="G798" s="91"/>
      <c r="H798" s="91"/>
      <c r="I798" s="91"/>
      <c r="J798" s="91"/>
      <c r="K798" s="91"/>
      <c r="L798" s="3"/>
    </row>
    <row r="799" ht="14.25" customHeight="1">
      <c r="A799" s="91"/>
      <c r="B799" s="91"/>
      <c r="C799" s="91"/>
      <c r="D799" s="91"/>
      <c r="E799" s="91"/>
      <c r="F799" s="92"/>
      <c r="G799" s="91"/>
      <c r="H799" s="91"/>
      <c r="I799" s="91"/>
      <c r="J799" s="91"/>
      <c r="K799" s="91"/>
      <c r="L799" s="3"/>
    </row>
    <row r="800" ht="14.25" customHeight="1">
      <c r="A800" s="91"/>
      <c r="B800" s="91"/>
      <c r="C800" s="91"/>
      <c r="D800" s="91"/>
      <c r="E800" s="91"/>
      <c r="F800" s="92"/>
      <c r="G800" s="91"/>
      <c r="H800" s="91"/>
      <c r="I800" s="91"/>
      <c r="J800" s="91"/>
      <c r="K800" s="91"/>
      <c r="L800" s="3"/>
    </row>
    <row r="801" ht="14.25" customHeight="1">
      <c r="A801" s="91"/>
      <c r="B801" s="91"/>
      <c r="C801" s="91"/>
      <c r="D801" s="91"/>
      <c r="E801" s="91"/>
      <c r="F801" s="92"/>
      <c r="G801" s="91"/>
      <c r="H801" s="91"/>
      <c r="I801" s="91"/>
      <c r="J801" s="91"/>
      <c r="K801" s="91"/>
      <c r="L801" s="3"/>
    </row>
    <row r="802" ht="14.25" customHeight="1">
      <c r="A802" s="91"/>
      <c r="B802" s="91"/>
      <c r="C802" s="91"/>
      <c r="D802" s="91"/>
      <c r="E802" s="91"/>
      <c r="F802" s="92"/>
      <c r="G802" s="91"/>
      <c r="H802" s="91"/>
      <c r="I802" s="91"/>
      <c r="J802" s="91"/>
      <c r="K802" s="91"/>
      <c r="L802" s="3"/>
    </row>
    <row r="803" ht="14.25" customHeight="1">
      <c r="A803" s="91"/>
      <c r="B803" s="91"/>
      <c r="C803" s="91"/>
      <c r="D803" s="91"/>
      <c r="E803" s="91"/>
      <c r="F803" s="92"/>
      <c r="G803" s="91"/>
      <c r="H803" s="91"/>
      <c r="I803" s="91"/>
      <c r="J803" s="91"/>
      <c r="K803" s="91"/>
      <c r="L803" s="3"/>
    </row>
    <row r="804" ht="14.25" customHeight="1">
      <c r="A804" s="91"/>
      <c r="B804" s="91"/>
      <c r="C804" s="91"/>
      <c r="D804" s="91"/>
      <c r="E804" s="91"/>
      <c r="F804" s="92"/>
      <c r="G804" s="91"/>
      <c r="H804" s="91"/>
      <c r="I804" s="91"/>
      <c r="J804" s="91"/>
      <c r="K804" s="91"/>
      <c r="L804" s="3"/>
    </row>
    <row r="805" ht="14.25" customHeight="1">
      <c r="A805" s="91"/>
      <c r="B805" s="91"/>
      <c r="C805" s="91"/>
      <c r="D805" s="91"/>
      <c r="E805" s="91"/>
      <c r="F805" s="92"/>
      <c r="G805" s="91"/>
      <c r="H805" s="91"/>
      <c r="I805" s="91"/>
      <c r="J805" s="91"/>
      <c r="K805" s="91"/>
      <c r="L805" s="3"/>
    </row>
    <row r="806" ht="14.25" customHeight="1">
      <c r="A806" s="91"/>
      <c r="B806" s="91"/>
      <c r="C806" s="91"/>
      <c r="D806" s="91"/>
      <c r="E806" s="91"/>
      <c r="F806" s="92"/>
      <c r="G806" s="91"/>
      <c r="H806" s="91"/>
      <c r="I806" s="91"/>
      <c r="J806" s="91"/>
      <c r="K806" s="91"/>
      <c r="L806" s="3"/>
    </row>
    <row r="807" ht="14.25" customHeight="1">
      <c r="A807" s="91"/>
      <c r="B807" s="91"/>
      <c r="C807" s="91"/>
      <c r="D807" s="91"/>
      <c r="E807" s="91"/>
      <c r="F807" s="92"/>
      <c r="G807" s="91"/>
      <c r="H807" s="91"/>
      <c r="I807" s="91"/>
      <c r="J807" s="91"/>
      <c r="K807" s="91"/>
      <c r="L807" s="3"/>
    </row>
    <row r="808" ht="14.25" customHeight="1">
      <c r="A808" s="91"/>
      <c r="B808" s="91"/>
      <c r="C808" s="91"/>
      <c r="D808" s="91"/>
      <c r="E808" s="91"/>
      <c r="F808" s="92"/>
      <c r="G808" s="91"/>
      <c r="H808" s="91"/>
      <c r="I808" s="91"/>
      <c r="J808" s="91"/>
      <c r="K808" s="91"/>
      <c r="L808" s="3"/>
    </row>
    <row r="809" ht="14.25" customHeight="1">
      <c r="A809" s="91"/>
      <c r="B809" s="91"/>
      <c r="C809" s="91"/>
      <c r="D809" s="91"/>
      <c r="E809" s="91"/>
      <c r="F809" s="92"/>
      <c r="G809" s="91"/>
      <c r="H809" s="91"/>
      <c r="I809" s="91"/>
      <c r="J809" s="91"/>
      <c r="K809" s="91"/>
      <c r="L809" s="3"/>
    </row>
    <row r="810" ht="14.25" customHeight="1">
      <c r="A810" s="91"/>
      <c r="B810" s="91"/>
      <c r="C810" s="91"/>
      <c r="D810" s="91"/>
      <c r="E810" s="91"/>
      <c r="F810" s="92"/>
      <c r="G810" s="91"/>
      <c r="H810" s="91"/>
      <c r="I810" s="91"/>
      <c r="J810" s="91"/>
      <c r="K810" s="91"/>
      <c r="L810" s="3"/>
    </row>
    <row r="811" ht="14.25" customHeight="1">
      <c r="A811" s="91"/>
      <c r="B811" s="91"/>
      <c r="C811" s="91"/>
      <c r="D811" s="91"/>
      <c r="E811" s="91"/>
      <c r="F811" s="92"/>
      <c r="G811" s="91"/>
      <c r="H811" s="91"/>
      <c r="I811" s="91"/>
      <c r="J811" s="91"/>
      <c r="K811" s="91"/>
      <c r="L811" s="3"/>
    </row>
    <row r="812" ht="14.25" customHeight="1">
      <c r="A812" s="91"/>
      <c r="B812" s="91"/>
      <c r="C812" s="91"/>
      <c r="D812" s="91"/>
      <c r="E812" s="91"/>
      <c r="F812" s="92"/>
      <c r="G812" s="91"/>
      <c r="H812" s="91"/>
      <c r="I812" s="91"/>
      <c r="J812" s="91"/>
      <c r="K812" s="91"/>
      <c r="L812" s="3"/>
    </row>
    <row r="813" ht="14.25" customHeight="1">
      <c r="A813" s="91"/>
      <c r="B813" s="91"/>
      <c r="C813" s="91"/>
      <c r="D813" s="91"/>
      <c r="E813" s="91"/>
      <c r="F813" s="92"/>
      <c r="G813" s="91"/>
      <c r="H813" s="91"/>
      <c r="I813" s="91"/>
      <c r="J813" s="91"/>
      <c r="K813" s="91"/>
      <c r="L813" s="3"/>
    </row>
    <row r="814" ht="14.25" customHeight="1">
      <c r="A814" s="91"/>
      <c r="B814" s="91"/>
      <c r="C814" s="91"/>
      <c r="D814" s="91"/>
      <c r="E814" s="91"/>
      <c r="F814" s="92"/>
      <c r="G814" s="91"/>
      <c r="H814" s="91"/>
      <c r="I814" s="91"/>
      <c r="J814" s="91"/>
      <c r="K814" s="91"/>
      <c r="L814" s="3"/>
    </row>
    <row r="815" ht="14.25" customHeight="1">
      <c r="A815" s="91"/>
      <c r="B815" s="91"/>
      <c r="C815" s="91"/>
      <c r="D815" s="91"/>
      <c r="E815" s="91"/>
      <c r="F815" s="92"/>
      <c r="G815" s="91"/>
      <c r="H815" s="91"/>
      <c r="I815" s="91"/>
      <c r="J815" s="91"/>
      <c r="K815" s="91"/>
      <c r="L815" s="3"/>
    </row>
    <row r="816" ht="14.25" customHeight="1">
      <c r="A816" s="91"/>
      <c r="B816" s="91"/>
      <c r="C816" s="91"/>
      <c r="D816" s="91"/>
      <c r="E816" s="91"/>
      <c r="F816" s="92"/>
      <c r="G816" s="91"/>
      <c r="H816" s="91"/>
      <c r="I816" s="91"/>
      <c r="J816" s="91"/>
      <c r="K816" s="91"/>
      <c r="L816" s="3"/>
    </row>
    <row r="817" ht="14.25" customHeight="1">
      <c r="A817" s="91"/>
      <c r="B817" s="91"/>
      <c r="C817" s="91"/>
      <c r="D817" s="91"/>
      <c r="E817" s="91"/>
      <c r="F817" s="92"/>
      <c r="G817" s="91"/>
      <c r="H817" s="91"/>
      <c r="I817" s="91"/>
      <c r="J817" s="91"/>
      <c r="K817" s="91"/>
      <c r="L817" s="3"/>
    </row>
    <row r="818" ht="14.25" customHeight="1">
      <c r="A818" s="91"/>
      <c r="B818" s="91"/>
      <c r="C818" s="91"/>
      <c r="D818" s="91"/>
      <c r="E818" s="91"/>
      <c r="F818" s="92"/>
      <c r="G818" s="91"/>
      <c r="H818" s="91"/>
      <c r="I818" s="91"/>
      <c r="J818" s="91"/>
      <c r="K818" s="91"/>
      <c r="L818" s="3"/>
    </row>
    <row r="819" ht="14.25" customHeight="1">
      <c r="A819" s="91"/>
      <c r="B819" s="91"/>
      <c r="C819" s="91"/>
      <c r="D819" s="91"/>
      <c r="E819" s="91"/>
      <c r="F819" s="92"/>
      <c r="G819" s="91"/>
      <c r="H819" s="91"/>
      <c r="I819" s="91"/>
      <c r="J819" s="91"/>
      <c r="K819" s="91"/>
      <c r="L819" s="3"/>
    </row>
    <row r="820" ht="14.25" customHeight="1">
      <c r="A820" s="91"/>
      <c r="B820" s="91"/>
      <c r="C820" s="91"/>
      <c r="D820" s="91"/>
      <c r="E820" s="91"/>
      <c r="F820" s="92"/>
      <c r="G820" s="91"/>
      <c r="H820" s="91"/>
      <c r="I820" s="91"/>
      <c r="J820" s="91"/>
      <c r="K820" s="91"/>
      <c r="L820" s="3"/>
    </row>
    <row r="821" ht="14.25" customHeight="1">
      <c r="A821" s="91"/>
      <c r="B821" s="91"/>
      <c r="C821" s="91"/>
      <c r="D821" s="91"/>
      <c r="E821" s="91"/>
      <c r="F821" s="92"/>
      <c r="G821" s="91"/>
      <c r="H821" s="91"/>
      <c r="I821" s="91"/>
      <c r="J821" s="91"/>
      <c r="K821" s="91"/>
      <c r="L821" s="3"/>
    </row>
    <row r="822" ht="14.25" customHeight="1">
      <c r="A822" s="91"/>
      <c r="B822" s="91"/>
      <c r="C822" s="91"/>
      <c r="D822" s="91"/>
      <c r="E822" s="91"/>
      <c r="F822" s="92"/>
      <c r="G822" s="91"/>
      <c r="H822" s="91"/>
      <c r="I822" s="91"/>
      <c r="J822" s="91"/>
      <c r="K822" s="91"/>
      <c r="L822" s="3"/>
    </row>
    <row r="823" ht="14.25" customHeight="1">
      <c r="A823" s="91"/>
      <c r="B823" s="91"/>
      <c r="C823" s="91"/>
      <c r="D823" s="91"/>
      <c r="E823" s="91"/>
      <c r="F823" s="92"/>
      <c r="G823" s="91"/>
      <c r="H823" s="91"/>
      <c r="I823" s="91"/>
      <c r="J823" s="91"/>
      <c r="K823" s="91"/>
      <c r="L823" s="3"/>
    </row>
    <row r="824" ht="14.25" customHeight="1">
      <c r="A824" s="91"/>
      <c r="B824" s="91"/>
      <c r="C824" s="91"/>
      <c r="D824" s="91"/>
      <c r="E824" s="91"/>
      <c r="F824" s="92"/>
      <c r="G824" s="91"/>
      <c r="H824" s="91"/>
      <c r="I824" s="91"/>
      <c r="J824" s="91"/>
      <c r="K824" s="91"/>
      <c r="L824" s="3"/>
    </row>
    <row r="825" ht="14.25" customHeight="1">
      <c r="A825" s="91"/>
      <c r="B825" s="91"/>
      <c r="C825" s="91"/>
      <c r="D825" s="91"/>
      <c r="E825" s="91"/>
      <c r="F825" s="92"/>
      <c r="G825" s="91"/>
      <c r="H825" s="91"/>
      <c r="I825" s="91"/>
      <c r="J825" s="91"/>
      <c r="K825" s="91"/>
      <c r="L825" s="3"/>
    </row>
    <row r="826" ht="14.25" customHeight="1">
      <c r="A826" s="91"/>
      <c r="B826" s="91"/>
      <c r="C826" s="91"/>
      <c r="D826" s="91"/>
      <c r="E826" s="91"/>
      <c r="F826" s="92"/>
      <c r="G826" s="91"/>
      <c r="H826" s="91"/>
      <c r="I826" s="91"/>
      <c r="J826" s="91"/>
      <c r="K826" s="91"/>
      <c r="L826" s="3"/>
    </row>
    <row r="827" ht="14.25" customHeight="1">
      <c r="A827" s="91"/>
      <c r="B827" s="91"/>
      <c r="C827" s="91"/>
      <c r="D827" s="91"/>
      <c r="E827" s="91"/>
      <c r="F827" s="92"/>
      <c r="G827" s="91"/>
      <c r="H827" s="91"/>
      <c r="I827" s="91"/>
      <c r="J827" s="91"/>
      <c r="K827" s="91"/>
      <c r="L827" s="3"/>
    </row>
    <row r="828" ht="14.25" customHeight="1">
      <c r="A828" s="91"/>
      <c r="B828" s="91"/>
      <c r="C828" s="91"/>
      <c r="D828" s="91"/>
      <c r="E828" s="91"/>
      <c r="F828" s="92"/>
      <c r="G828" s="91"/>
      <c r="H828" s="91"/>
      <c r="I828" s="91"/>
      <c r="J828" s="91"/>
      <c r="K828" s="91"/>
      <c r="L828" s="3"/>
    </row>
    <row r="829" ht="14.25" customHeight="1">
      <c r="A829" s="91"/>
      <c r="B829" s="91"/>
      <c r="C829" s="91"/>
      <c r="D829" s="91"/>
      <c r="E829" s="91"/>
      <c r="F829" s="92"/>
      <c r="G829" s="91"/>
      <c r="H829" s="91"/>
      <c r="I829" s="91"/>
      <c r="J829" s="91"/>
      <c r="K829" s="91"/>
      <c r="L829" s="3"/>
    </row>
    <row r="830" ht="14.25" customHeight="1">
      <c r="A830" s="91"/>
      <c r="B830" s="91"/>
      <c r="C830" s="91"/>
      <c r="D830" s="91"/>
      <c r="E830" s="91"/>
      <c r="F830" s="92"/>
      <c r="G830" s="91"/>
      <c r="H830" s="91"/>
      <c r="I830" s="91"/>
      <c r="J830" s="91"/>
      <c r="K830" s="91"/>
      <c r="L830" s="3"/>
    </row>
    <row r="831" ht="14.25" customHeight="1">
      <c r="A831" s="91"/>
      <c r="B831" s="91"/>
      <c r="C831" s="91"/>
      <c r="D831" s="91"/>
      <c r="E831" s="91"/>
      <c r="F831" s="92"/>
      <c r="G831" s="91"/>
      <c r="H831" s="91"/>
      <c r="I831" s="91"/>
      <c r="J831" s="91"/>
      <c r="K831" s="91"/>
      <c r="L831" s="3"/>
    </row>
    <row r="832" ht="14.25" customHeight="1">
      <c r="A832" s="91"/>
      <c r="B832" s="91"/>
      <c r="C832" s="91"/>
      <c r="D832" s="91"/>
      <c r="E832" s="91"/>
      <c r="F832" s="92"/>
      <c r="G832" s="91"/>
      <c r="H832" s="91"/>
      <c r="I832" s="91"/>
      <c r="J832" s="91"/>
      <c r="K832" s="91"/>
      <c r="L832" s="3"/>
    </row>
    <row r="833" ht="14.25" customHeight="1">
      <c r="A833" s="91"/>
      <c r="B833" s="91"/>
      <c r="C833" s="91"/>
      <c r="D833" s="91"/>
      <c r="E833" s="91"/>
      <c r="F833" s="92"/>
      <c r="G833" s="91"/>
      <c r="H833" s="91"/>
      <c r="I833" s="91"/>
      <c r="J833" s="91"/>
      <c r="K833" s="91"/>
      <c r="L833" s="3"/>
    </row>
    <row r="834" ht="14.25" customHeight="1">
      <c r="A834" s="91"/>
      <c r="B834" s="91"/>
      <c r="C834" s="91"/>
      <c r="D834" s="91"/>
      <c r="E834" s="91"/>
      <c r="F834" s="92"/>
      <c r="G834" s="91"/>
      <c r="H834" s="91"/>
      <c r="I834" s="91"/>
      <c r="J834" s="91"/>
      <c r="K834" s="91"/>
      <c r="L834" s="3"/>
    </row>
    <row r="835" ht="14.25" customHeight="1">
      <c r="A835" s="91"/>
      <c r="B835" s="91"/>
      <c r="C835" s="91"/>
      <c r="D835" s="91"/>
      <c r="E835" s="91"/>
      <c r="F835" s="92"/>
      <c r="G835" s="91"/>
      <c r="H835" s="91"/>
      <c r="I835" s="91"/>
      <c r="J835" s="91"/>
      <c r="K835" s="91"/>
      <c r="L835" s="3"/>
    </row>
    <row r="836" ht="14.25" customHeight="1">
      <c r="A836" s="91"/>
      <c r="B836" s="91"/>
      <c r="C836" s="91"/>
      <c r="D836" s="91"/>
      <c r="E836" s="91"/>
      <c r="F836" s="92"/>
      <c r="G836" s="91"/>
      <c r="H836" s="91"/>
      <c r="I836" s="91"/>
      <c r="J836" s="91"/>
      <c r="K836" s="91"/>
      <c r="L836" s="3"/>
    </row>
    <row r="837" ht="14.25" customHeight="1">
      <c r="A837" s="91"/>
      <c r="B837" s="91"/>
      <c r="C837" s="91"/>
      <c r="D837" s="91"/>
      <c r="E837" s="91"/>
      <c r="F837" s="92"/>
      <c r="G837" s="91"/>
      <c r="H837" s="91"/>
      <c r="I837" s="91"/>
      <c r="J837" s="91"/>
      <c r="K837" s="91"/>
      <c r="L837" s="3"/>
    </row>
    <row r="838" ht="14.25" customHeight="1">
      <c r="A838" s="91"/>
      <c r="B838" s="91"/>
      <c r="C838" s="91"/>
      <c r="D838" s="91"/>
      <c r="E838" s="91"/>
      <c r="F838" s="92"/>
      <c r="G838" s="91"/>
      <c r="H838" s="91"/>
      <c r="I838" s="91"/>
      <c r="J838" s="91"/>
      <c r="K838" s="91"/>
      <c r="L838" s="3"/>
    </row>
    <row r="839" ht="14.25" customHeight="1">
      <c r="A839" s="91"/>
      <c r="B839" s="91"/>
      <c r="C839" s="91"/>
      <c r="D839" s="91"/>
      <c r="E839" s="91"/>
      <c r="F839" s="92"/>
      <c r="G839" s="91"/>
      <c r="H839" s="91"/>
      <c r="I839" s="91"/>
      <c r="J839" s="91"/>
      <c r="K839" s="91"/>
      <c r="L839" s="3"/>
    </row>
    <row r="840" ht="14.25" customHeight="1">
      <c r="A840" s="91"/>
      <c r="B840" s="91"/>
      <c r="C840" s="91"/>
      <c r="D840" s="91"/>
      <c r="E840" s="91"/>
      <c r="F840" s="92"/>
      <c r="G840" s="91"/>
      <c r="H840" s="91"/>
      <c r="I840" s="91"/>
      <c r="J840" s="91"/>
      <c r="K840" s="91"/>
      <c r="L840" s="3"/>
    </row>
    <row r="841" ht="14.25" customHeight="1">
      <c r="A841" s="91"/>
      <c r="B841" s="91"/>
      <c r="C841" s="91"/>
      <c r="D841" s="91"/>
      <c r="E841" s="91"/>
      <c r="F841" s="92"/>
      <c r="G841" s="91"/>
      <c r="H841" s="91"/>
      <c r="I841" s="91"/>
      <c r="J841" s="91"/>
      <c r="K841" s="91"/>
      <c r="L841" s="3"/>
    </row>
    <row r="842" ht="14.25" customHeight="1">
      <c r="A842" s="91"/>
      <c r="B842" s="91"/>
      <c r="C842" s="91"/>
      <c r="D842" s="91"/>
      <c r="E842" s="91"/>
      <c r="F842" s="92"/>
      <c r="G842" s="91"/>
      <c r="H842" s="91"/>
      <c r="I842" s="91"/>
      <c r="J842" s="91"/>
      <c r="K842" s="91"/>
      <c r="L842" s="3"/>
    </row>
    <row r="843" ht="14.25" customHeight="1">
      <c r="A843" s="91"/>
      <c r="B843" s="91"/>
      <c r="C843" s="91"/>
      <c r="D843" s="91"/>
      <c r="E843" s="91"/>
      <c r="F843" s="92"/>
      <c r="G843" s="91"/>
      <c r="H843" s="91"/>
      <c r="I843" s="91"/>
      <c r="J843" s="91"/>
      <c r="K843" s="91"/>
      <c r="L843" s="3"/>
    </row>
    <row r="844" ht="14.25" customHeight="1">
      <c r="A844" s="91"/>
      <c r="B844" s="91"/>
      <c r="C844" s="91"/>
      <c r="D844" s="91"/>
      <c r="E844" s="91"/>
      <c r="F844" s="92"/>
      <c r="G844" s="91"/>
      <c r="H844" s="91"/>
      <c r="I844" s="91"/>
      <c r="J844" s="91"/>
      <c r="K844" s="91"/>
      <c r="L844" s="3"/>
    </row>
    <row r="845" ht="14.25" customHeight="1">
      <c r="A845" s="91"/>
      <c r="B845" s="91"/>
      <c r="C845" s="91"/>
      <c r="D845" s="91"/>
      <c r="E845" s="91"/>
      <c r="F845" s="92"/>
      <c r="G845" s="91"/>
      <c r="H845" s="91"/>
      <c r="I845" s="91"/>
      <c r="J845" s="91"/>
      <c r="K845" s="91"/>
      <c r="L845" s="3"/>
    </row>
    <row r="846" ht="14.25" customHeight="1">
      <c r="A846" s="91"/>
      <c r="B846" s="91"/>
      <c r="C846" s="91"/>
      <c r="D846" s="91"/>
      <c r="E846" s="91"/>
      <c r="F846" s="92"/>
      <c r="G846" s="91"/>
      <c r="H846" s="91"/>
      <c r="I846" s="91"/>
      <c r="J846" s="91"/>
      <c r="K846" s="91"/>
      <c r="L846" s="3"/>
    </row>
    <row r="847" ht="14.25" customHeight="1">
      <c r="A847" s="91"/>
      <c r="B847" s="91"/>
      <c r="C847" s="91"/>
      <c r="D847" s="91"/>
      <c r="E847" s="91"/>
      <c r="F847" s="92"/>
      <c r="G847" s="91"/>
      <c r="H847" s="91"/>
      <c r="I847" s="91"/>
      <c r="J847" s="91"/>
      <c r="K847" s="91"/>
      <c r="L847" s="3"/>
    </row>
    <row r="848" ht="14.25" customHeight="1">
      <c r="A848" s="91"/>
      <c r="B848" s="91"/>
      <c r="C848" s="91"/>
      <c r="D848" s="91"/>
      <c r="E848" s="91"/>
      <c r="F848" s="92"/>
      <c r="G848" s="91"/>
      <c r="H848" s="91"/>
      <c r="I848" s="91"/>
      <c r="J848" s="91"/>
      <c r="K848" s="91"/>
      <c r="L848" s="3"/>
    </row>
    <row r="849" ht="14.25" customHeight="1">
      <c r="A849" s="91"/>
      <c r="B849" s="91"/>
      <c r="C849" s="91"/>
      <c r="D849" s="91"/>
      <c r="E849" s="91"/>
      <c r="F849" s="92"/>
      <c r="G849" s="91"/>
      <c r="H849" s="91"/>
      <c r="I849" s="91"/>
      <c r="J849" s="91"/>
      <c r="K849" s="91"/>
      <c r="L849" s="3"/>
    </row>
    <row r="850" ht="14.25" customHeight="1">
      <c r="A850" s="91"/>
      <c r="B850" s="91"/>
      <c r="C850" s="91"/>
      <c r="D850" s="91"/>
      <c r="E850" s="91"/>
      <c r="F850" s="92"/>
      <c r="G850" s="91"/>
      <c r="H850" s="91"/>
      <c r="I850" s="91"/>
      <c r="J850" s="91"/>
      <c r="K850" s="91"/>
      <c r="L850" s="3"/>
    </row>
    <row r="851" ht="14.25" customHeight="1">
      <c r="A851" s="91"/>
      <c r="B851" s="91"/>
      <c r="C851" s="91"/>
      <c r="D851" s="91"/>
      <c r="E851" s="91"/>
      <c r="F851" s="92"/>
      <c r="G851" s="91"/>
      <c r="H851" s="91"/>
      <c r="I851" s="91"/>
      <c r="J851" s="91"/>
      <c r="K851" s="91"/>
      <c r="L851" s="3"/>
    </row>
    <row r="852" ht="14.25" customHeight="1">
      <c r="A852" s="91"/>
      <c r="B852" s="91"/>
      <c r="C852" s="91"/>
      <c r="D852" s="91"/>
      <c r="E852" s="91"/>
      <c r="F852" s="92"/>
      <c r="G852" s="91"/>
      <c r="H852" s="91"/>
      <c r="I852" s="91"/>
      <c r="J852" s="91"/>
      <c r="K852" s="91"/>
      <c r="L852" s="3"/>
    </row>
    <row r="853" ht="14.25" customHeight="1">
      <c r="A853" s="91"/>
      <c r="B853" s="91"/>
      <c r="C853" s="91"/>
      <c r="D853" s="91"/>
      <c r="E853" s="91"/>
      <c r="F853" s="92"/>
      <c r="G853" s="91"/>
      <c r="H853" s="91"/>
      <c r="I853" s="91"/>
      <c r="J853" s="91"/>
      <c r="K853" s="91"/>
      <c r="L853" s="3"/>
    </row>
    <row r="854" ht="14.25" customHeight="1">
      <c r="A854" s="91"/>
      <c r="B854" s="91"/>
      <c r="C854" s="91"/>
      <c r="D854" s="91"/>
      <c r="E854" s="91"/>
      <c r="F854" s="92"/>
      <c r="G854" s="91"/>
      <c r="H854" s="91"/>
      <c r="I854" s="91"/>
      <c r="J854" s="91"/>
      <c r="K854" s="91"/>
      <c r="L854" s="3"/>
    </row>
    <row r="855" ht="14.25" customHeight="1">
      <c r="A855" s="91"/>
      <c r="B855" s="91"/>
      <c r="C855" s="91"/>
      <c r="D855" s="91"/>
      <c r="E855" s="91"/>
      <c r="F855" s="92"/>
      <c r="G855" s="91"/>
      <c r="H855" s="91"/>
      <c r="I855" s="91"/>
      <c r="J855" s="91"/>
      <c r="K855" s="91"/>
      <c r="L855" s="3"/>
    </row>
    <row r="856" ht="14.25" customHeight="1">
      <c r="A856" s="91"/>
      <c r="B856" s="91"/>
      <c r="C856" s="91"/>
      <c r="D856" s="91"/>
      <c r="E856" s="91"/>
      <c r="F856" s="92"/>
      <c r="G856" s="91"/>
      <c r="H856" s="91"/>
      <c r="I856" s="91"/>
      <c r="J856" s="91"/>
      <c r="K856" s="91"/>
      <c r="L856" s="3"/>
    </row>
    <row r="857" ht="14.25" customHeight="1">
      <c r="A857" s="91"/>
      <c r="B857" s="91"/>
      <c r="C857" s="91"/>
      <c r="D857" s="91"/>
      <c r="E857" s="91"/>
      <c r="F857" s="92"/>
      <c r="G857" s="91"/>
      <c r="H857" s="91"/>
      <c r="I857" s="91"/>
      <c r="J857" s="91"/>
      <c r="K857" s="91"/>
      <c r="L857" s="3"/>
    </row>
    <row r="858" ht="14.25" customHeight="1">
      <c r="A858" s="91"/>
      <c r="B858" s="91"/>
      <c r="C858" s="91"/>
      <c r="D858" s="91"/>
      <c r="E858" s="91"/>
      <c r="F858" s="92"/>
      <c r="G858" s="91"/>
      <c r="H858" s="91"/>
      <c r="I858" s="91"/>
      <c r="J858" s="91"/>
      <c r="K858" s="91"/>
      <c r="L858" s="3"/>
    </row>
    <row r="859" ht="14.25" customHeight="1">
      <c r="A859" s="91"/>
      <c r="B859" s="91"/>
      <c r="C859" s="91"/>
      <c r="D859" s="91"/>
      <c r="E859" s="91"/>
      <c r="F859" s="92"/>
      <c r="G859" s="91"/>
      <c r="H859" s="91"/>
      <c r="I859" s="91"/>
      <c r="J859" s="91"/>
      <c r="K859" s="91"/>
      <c r="L859" s="3"/>
    </row>
    <row r="860" ht="14.25" customHeight="1">
      <c r="A860" s="91"/>
      <c r="B860" s="91"/>
      <c r="C860" s="91"/>
      <c r="D860" s="91"/>
      <c r="E860" s="91"/>
      <c r="F860" s="92"/>
      <c r="G860" s="91"/>
      <c r="H860" s="91"/>
      <c r="I860" s="91"/>
      <c r="J860" s="91"/>
      <c r="K860" s="91"/>
      <c r="L860" s="3"/>
    </row>
    <row r="861" ht="14.25" customHeight="1">
      <c r="A861" s="91"/>
      <c r="B861" s="91"/>
      <c r="C861" s="91"/>
      <c r="D861" s="91"/>
      <c r="E861" s="91"/>
      <c r="F861" s="92"/>
      <c r="G861" s="91"/>
      <c r="H861" s="91"/>
      <c r="I861" s="91"/>
      <c r="J861" s="91"/>
      <c r="K861" s="91"/>
      <c r="L861" s="3"/>
    </row>
    <row r="862" ht="14.25" customHeight="1">
      <c r="A862" s="91"/>
      <c r="B862" s="91"/>
      <c r="C862" s="91"/>
      <c r="D862" s="91"/>
      <c r="E862" s="91"/>
      <c r="F862" s="92"/>
      <c r="G862" s="91"/>
      <c r="H862" s="91"/>
      <c r="I862" s="91"/>
      <c r="J862" s="91"/>
      <c r="K862" s="91"/>
      <c r="L862" s="3"/>
    </row>
    <row r="863" ht="14.25" customHeight="1">
      <c r="A863" s="91"/>
      <c r="B863" s="91"/>
      <c r="C863" s="91"/>
      <c r="D863" s="91"/>
      <c r="E863" s="91"/>
      <c r="F863" s="92"/>
      <c r="G863" s="91"/>
      <c r="H863" s="91"/>
      <c r="I863" s="91"/>
      <c r="J863" s="91"/>
      <c r="K863" s="91"/>
      <c r="L863" s="3"/>
    </row>
    <row r="864" ht="14.25" customHeight="1">
      <c r="A864" s="91"/>
      <c r="B864" s="91"/>
      <c r="C864" s="91"/>
      <c r="D864" s="91"/>
      <c r="E864" s="91"/>
      <c r="F864" s="92"/>
      <c r="G864" s="91"/>
      <c r="H864" s="91"/>
      <c r="I864" s="91"/>
      <c r="J864" s="91"/>
      <c r="K864" s="91"/>
      <c r="L864" s="3"/>
    </row>
    <row r="865" ht="14.25" customHeight="1">
      <c r="A865" s="91"/>
      <c r="B865" s="91"/>
      <c r="C865" s="91"/>
      <c r="D865" s="91"/>
      <c r="E865" s="91"/>
      <c r="F865" s="92"/>
      <c r="G865" s="91"/>
      <c r="H865" s="91"/>
      <c r="I865" s="91"/>
      <c r="J865" s="91"/>
      <c r="K865" s="91"/>
      <c r="L865" s="3"/>
    </row>
    <row r="866" ht="14.25" customHeight="1">
      <c r="A866" s="91"/>
      <c r="B866" s="91"/>
      <c r="C866" s="91"/>
      <c r="D866" s="91"/>
      <c r="E866" s="91"/>
      <c r="F866" s="92"/>
      <c r="G866" s="91"/>
      <c r="H866" s="91"/>
      <c r="I866" s="91"/>
      <c r="J866" s="91"/>
      <c r="K866" s="91"/>
      <c r="L866" s="3"/>
    </row>
    <row r="867" ht="14.25" customHeight="1">
      <c r="A867" s="91"/>
      <c r="B867" s="91"/>
      <c r="C867" s="91"/>
      <c r="D867" s="91"/>
      <c r="E867" s="91"/>
      <c r="F867" s="92"/>
      <c r="G867" s="91"/>
      <c r="H867" s="91"/>
      <c r="I867" s="91"/>
      <c r="J867" s="91"/>
      <c r="K867" s="91"/>
      <c r="L867" s="3"/>
    </row>
    <row r="868" ht="14.25" customHeight="1">
      <c r="A868" s="91"/>
      <c r="B868" s="91"/>
      <c r="C868" s="91"/>
      <c r="D868" s="91"/>
      <c r="E868" s="91"/>
      <c r="F868" s="92"/>
      <c r="G868" s="91"/>
      <c r="H868" s="91"/>
      <c r="I868" s="91"/>
      <c r="J868" s="91"/>
      <c r="K868" s="91"/>
      <c r="L868" s="3"/>
    </row>
    <row r="869" ht="14.25" customHeight="1">
      <c r="A869" s="91"/>
      <c r="B869" s="91"/>
      <c r="C869" s="91"/>
      <c r="D869" s="91"/>
      <c r="E869" s="91"/>
      <c r="F869" s="92"/>
      <c r="G869" s="91"/>
      <c r="H869" s="91"/>
      <c r="I869" s="91"/>
      <c r="J869" s="91"/>
      <c r="K869" s="91"/>
      <c r="L869" s="3"/>
    </row>
    <row r="870" ht="14.25" customHeight="1">
      <c r="A870" s="91"/>
      <c r="B870" s="91"/>
      <c r="C870" s="91"/>
      <c r="D870" s="91"/>
      <c r="E870" s="91"/>
      <c r="F870" s="92"/>
      <c r="G870" s="91"/>
      <c r="H870" s="91"/>
      <c r="I870" s="91"/>
      <c r="J870" s="91"/>
      <c r="K870" s="91"/>
      <c r="L870" s="3"/>
    </row>
    <row r="871" ht="14.25" customHeight="1">
      <c r="A871" s="91"/>
      <c r="B871" s="91"/>
      <c r="C871" s="91"/>
      <c r="D871" s="91"/>
      <c r="E871" s="91"/>
      <c r="F871" s="92"/>
      <c r="G871" s="91"/>
      <c r="H871" s="91"/>
      <c r="I871" s="91"/>
      <c r="J871" s="91"/>
      <c r="K871" s="91"/>
      <c r="L871" s="3"/>
    </row>
    <row r="872" ht="14.25" customHeight="1">
      <c r="A872" s="91"/>
      <c r="B872" s="91"/>
      <c r="C872" s="91"/>
      <c r="D872" s="91"/>
      <c r="E872" s="91"/>
      <c r="F872" s="92"/>
      <c r="G872" s="91"/>
      <c r="H872" s="91"/>
      <c r="I872" s="91"/>
      <c r="J872" s="91"/>
      <c r="K872" s="91"/>
      <c r="L872" s="3"/>
    </row>
    <row r="873" ht="14.25" customHeight="1">
      <c r="A873" s="91"/>
      <c r="B873" s="91"/>
      <c r="C873" s="91"/>
      <c r="D873" s="91"/>
      <c r="E873" s="91"/>
      <c r="F873" s="92"/>
      <c r="G873" s="91"/>
      <c r="H873" s="91"/>
      <c r="I873" s="91"/>
      <c r="J873" s="91"/>
      <c r="K873" s="91"/>
      <c r="L873" s="3"/>
    </row>
    <row r="874" ht="14.25" customHeight="1">
      <c r="A874" s="91"/>
      <c r="B874" s="91"/>
      <c r="C874" s="91"/>
      <c r="D874" s="91"/>
      <c r="E874" s="91"/>
      <c r="F874" s="92"/>
      <c r="G874" s="91"/>
      <c r="H874" s="91"/>
      <c r="I874" s="91"/>
      <c r="J874" s="91"/>
      <c r="K874" s="91"/>
      <c r="L874" s="3"/>
    </row>
    <row r="875" ht="14.25" customHeight="1">
      <c r="A875" s="91"/>
      <c r="B875" s="91"/>
      <c r="C875" s="91"/>
      <c r="D875" s="91"/>
      <c r="E875" s="91"/>
      <c r="F875" s="92"/>
      <c r="G875" s="91"/>
      <c r="H875" s="91"/>
      <c r="I875" s="91"/>
      <c r="J875" s="91"/>
      <c r="K875" s="91"/>
      <c r="L875" s="3"/>
    </row>
    <row r="876" ht="14.25" customHeight="1">
      <c r="A876" s="91"/>
      <c r="B876" s="91"/>
      <c r="C876" s="91"/>
      <c r="D876" s="91"/>
      <c r="E876" s="91"/>
      <c r="F876" s="92"/>
      <c r="G876" s="91"/>
      <c r="H876" s="91"/>
      <c r="I876" s="91"/>
      <c r="J876" s="91"/>
      <c r="K876" s="91"/>
      <c r="L876" s="3"/>
    </row>
    <row r="877" ht="14.25" customHeight="1">
      <c r="A877" s="91"/>
      <c r="B877" s="91"/>
      <c r="C877" s="91"/>
      <c r="D877" s="91"/>
      <c r="E877" s="91"/>
      <c r="F877" s="92"/>
      <c r="G877" s="91"/>
      <c r="H877" s="91"/>
      <c r="I877" s="91"/>
      <c r="J877" s="91"/>
      <c r="K877" s="91"/>
      <c r="L877" s="3"/>
    </row>
    <row r="878" ht="14.25" customHeight="1">
      <c r="A878" s="91"/>
      <c r="B878" s="91"/>
      <c r="C878" s="91"/>
      <c r="D878" s="91"/>
      <c r="E878" s="91"/>
      <c r="F878" s="92"/>
      <c r="G878" s="91"/>
      <c r="H878" s="91"/>
      <c r="I878" s="91"/>
      <c r="J878" s="91"/>
      <c r="K878" s="91"/>
      <c r="L878" s="3"/>
    </row>
    <row r="879" ht="14.25" customHeight="1">
      <c r="A879" s="91"/>
      <c r="B879" s="91"/>
      <c r="C879" s="91"/>
      <c r="D879" s="91"/>
      <c r="E879" s="91"/>
      <c r="F879" s="92"/>
      <c r="G879" s="91"/>
      <c r="H879" s="91"/>
      <c r="I879" s="91"/>
      <c r="J879" s="91"/>
      <c r="K879" s="91"/>
      <c r="L879" s="3"/>
    </row>
    <row r="880" ht="14.25" customHeight="1">
      <c r="A880" s="91"/>
      <c r="B880" s="91"/>
      <c r="C880" s="91"/>
      <c r="D880" s="91"/>
      <c r="E880" s="91"/>
      <c r="F880" s="92"/>
      <c r="G880" s="91"/>
      <c r="H880" s="91"/>
      <c r="I880" s="91"/>
      <c r="J880" s="91"/>
      <c r="K880" s="91"/>
      <c r="L880" s="3"/>
    </row>
    <row r="881" ht="14.25" customHeight="1">
      <c r="A881" s="91"/>
      <c r="B881" s="91"/>
      <c r="C881" s="91"/>
      <c r="D881" s="91"/>
      <c r="E881" s="91"/>
      <c r="F881" s="92"/>
      <c r="G881" s="91"/>
      <c r="H881" s="91"/>
      <c r="I881" s="91"/>
      <c r="J881" s="91"/>
      <c r="K881" s="91"/>
      <c r="L881" s="3"/>
    </row>
    <row r="882" ht="14.25" customHeight="1">
      <c r="A882" s="91"/>
      <c r="B882" s="91"/>
      <c r="C882" s="91"/>
      <c r="D882" s="91"/>
      <c r="E882" s="91"/>
      <c r="F882" s="92"/>
      <c r="G882" s="91"/>
      <c r="H882" s="91"/>
      <c r="I882" s="91"/>
      <c r="J882" s="91"/>
      <c r="K882" s="91"/>
      <c r="L882" s="3"/>
    </row>
    <row r="883" ht="14.25" customHeight="1">
      <c r="A883" s="91"/>
      <c r="B883" s="91"/>
      <c r="C883" s="91"/>
      <c r="D883" s="91"/>
      <c r="E883" s="91"/>
      <c r="F883" s="92"/>
      <c r="G883" s="91"/>
      <c r="H883" s="91"/>
      <c r="I883" s="91"/>
      <c r="J883" s="91"/>
      <c r="K883" s="91"/>
      <c r="L883" s="3"/>
    </row>
    <row r="884" ht="14.25" customHeight="1">
      <c r="A884" s="91"/>
      <c r="B884" s="91"/>
      <c r="C884" s="91"/>
      <c r="D884" s="91"/>
      <c r="E884" s="91"/>
      <c r="F884" s="92"/>
      <c r="G884" s="91"/>
      <c r="H884" s="91"/>
      <c r="I884" s="91"/>
      <c r="J884" s="91"/>
      <c r="K884" s="91"/>
      <c r="L884" s="3"/>
    </row>
    <row r="885" ht="14.25" customHeight="1">
      <c r="A885" s="91"/>
      <c r="B885" s="91"/>
      <c r="C885" s="91"/>
      <c r="D885" s="91"/>
      <c r="E885" s="91"/>
      <c r="F885" s="92"/>
      <c r="G885" s="91"/>
      <c r="H885" s="91"/>
      <c r="I885" s="91"/>
      <c r="J885" s="91"/>
      <c r="K885" s="91"/>
      <c r="L885" s="3"/>
    </row>
    <row r="886" ht="14.25" customHeight="1">
      <c r="A886" s="91"/>
      <c r="B886" s="91"/>
      <c r="C886" s="91"/>
      <c r="D886" s="91"/>
      <c r="E886" s="91"/>
      <c r="F886" s="92"/>
      <c r="G886" s="91"/>
      <c r="H886" s="91"/>
      <c r="I886" s="91"/>
      <c r="J886" s="91"/>
      <c r="K886" s="91"/>
      <c r="L886" s="3"/>
    </row>
    <row r="887" ht="14.25" customHeight="1">
      <c r="A887" s="91"/>
      <c r="B887" s="91"/>
      <c r="C887" s="91"/>
      <c r="D887" s="91"/>
      <c r="E887" s="91"/>
      <c r="F887" s="92"/>
      <c r="G887" s="91"/>
      <c r="H887" s="91"/>
      <c r="I887" s="91"/>
      <c r="J887" s="91"/>
      <c r="K887" s="91"/>
      <c r="L887" s="3"/>
    </row>
    <row r="888" ht="14.25" customHeight="1">
      <c r="A888" s="91"/>
      <c r="B888" s="91"/>
      <c r="C888" s="91"/>
      <c r="D888" s="91"/>
      <c r="E888" s="91"/>
      <c r="F888" s="92"/>
      <c r="G888" s="91"/>
      <c r="H888" s="91"/>
      <c r="I888" s="91"/>
      <c r="J888" s="91"/>
      <c r="K888" s="91"/>
      <c r="L888" s="3"/>
    </row>
    <row r="889" ht="14.25" customHeight="1">
      <c r="A889" s="91"/>
      <c r="B889" s="91"/>
      <c r="C889" s="91"/>
      <c r="D889" s="91"/>
      <c r="E889" s="91"/>
      <c r="F889" s="92"/>
      <c r="G889" s="91"/>
      <c r="H889" s="91"/>
      <c r="I889" s="91"/>
      <c r="J889" s="91"/>
      <c r="K889" s="91"/>
      <c r="L889" s="3"/>
    </row>
    <row r="890" ht="14.25" customHeight="1">
      <c r="A890" s="91"/>
      <c r="B890" s="91"/>
      <c r="C890" s="91"/>
      <c r="D890" s="91"/>
      <c r="E890" s="91"/>
      <c r="F890" s="92"/>
      <c r="G890" s="91"/>
      <c r="H890" s="91"/>
      <c r="I890" s="91"/>
      <c r="J890" s="91"/>
      <c r="K890" s="91"/>
      <c r="L890" s="3"/>
    </row>
    <row r="891" ht="14.25" customHeight="1">
      <c r="A891" s="91"/>
      <c r="B891" s="91"/>
      <c r="C891" s="91"/>
      <c r="D891" s="91"/>
      <c r="E891" s="91"/>
      <c r="F891" s="92"/>
      <c r="G891" s="91"/>
      <c r="H891" s="91"/>
      <c r="I891" s="91"/>
      <c r="J891" s="91"/>
      <c r="K891" s="91"/>
      <c r="L891" s="3"/>
    </row>
    <row r="892" ht="14.25" customHeight="1">
      <c r="A892" s="91"/>
      <c r="B892" s="91"/>
      <c r="C892" s="91"/>
      <c r="D892" s="91"/>
      <c r="E892" s="91"/>
      <c r="F892" s="92"/>
      <c r="G892" s="91"/>
      <c r="H892" s="91"/>
      <c r="I892" s="91"/>
      <c r="J892" s="91"/>
      <c r="K892" s="91"/>
      <c r="L892" s="3"/>
    </row>
    <row r="893" ht="14.25" customHeight="1">
      <c r="A893" s="91"/>
      <c r="B893" s="91"/>
      <c r="C893" s="91"/>
      <c r="D893" s="91"/>
      <c r="E893" s="91"/>
      <c r="F893" s="92"/>
      <c r="G893" s="91"/>
      <c r="H893" s="91"/>
      <c r="I893" s="91"/>
      <c r="J893" s="91"/>
      <c r="K893" s="91"/>
      <c r="L893" s="3"/>
    </row>
    <row r="894" ht="14.25" customHeight="1">
      <c r="A894" s="91"/>
      <c r="B894" s="91"/>
      <c r="C894" s="91"/>
      <c r="D894" s="91"/>
      <c r="E894" s="91"/>
      <c r="F894" s="92"/>
      <c r="G894" s="91"/>
      <c r="H894" s="91"/>
      <c r="I894" s="91"/>
      <c r="J894" s="91"/>
      <c r="K894" s="91"/>
      <c r="L894" s="3"/>
    </row>
    <row r="895" ht="14.25" customHeight="1">
      <c r="A895" s="91"/>
      <c r="B895" s="91"/>
      <c r="C895" s="91"/>
      <c r="D895" s="91"/>
      <c r="E895" s="91"/>
      <c r="F895" s="92"/>
      <c r="G895" s="91"/>
      <c r="H895" s="91"/>
      <c r="I895" s="91"/>
      <c r="J895" s="91"/>
      <c r="K895" s="91"/>
      <c r="L895" s="3"/>
    </row>
    <row r="896" ht="14.25" customHeight="1">
      <c r="A896" s="91"/>
      <c r="B896" s="91"/>
      <c r="C896" s="91"/>
      <c r="D896" s="91"/>
      <c r="E896" s="91"/>
      <c r="F896" s="92"/>
      <c r="G896" s="91"/>
      <c r="H896" s="91"/>
      <c r="I896" s="91"/>
      <c r="J896" s="91"/>
      <c r="K896" s="91"/>
      <c r="L896" s="3"/>
    </row>
    <row r="897" ht="14.25" customHeight="1">
      <c r="A897" s="91"/>
      <c r="B897" s="91"/>
      <c r="C897" s="91"/>
      <c r="D897" s="91"/>
      <c r="E897" s="91"/>
      <c r="F897" s="92"/>
      <c r="G897" s="91"/>
      <c r="H897" s="91"/>
      <c r="I897" s="91"/>
      <c r="J897" s="91"/>
      <c r="K897" s="91"/>
      <c r="L897" s="3"/>
    </row>
    <row r="898" ht="14.25" customHeight="1">
      <c r="A898" s="91"/>
      <c r="B898" s="91"/>
      <c r="C898" s="91"/>
      <c r="D898" s="91"/>
      <c r="E898" s="91"/>
      <c r="F898" s="92"/>
      <c r="G898" s="91"/>
      <c r="H898" s="91"/>
      <c r="I898" s="91"/>
      <c r="J898" s="91"/>
      <c r="K898" s="91"/>
      <c r="L898" s="3"/>
    </row>
    <row r="899" ht="14.25" customHeight="1">
      <c r="A899" s="91"/>
      <c r="B899" s="91"/>
      <c r="C899" s="91"/>
      <c r="D899" s="91"/>
      <c r="E899" s="91"/>
      <c r="F899" s="92"/>
      <c r="G899" s="91"/>
      <c r="H899" s="91"/>
      <c r="I899" s="91"/>
      <c r="J899" s="91"/>
      <c r="K899" s="91"/>
      <c r="L899" s="3"/>
    </row>
    <row r="900" ht="14.25" customHeight="1">
      <c r="A900" s="91"/>
      <c r="B900" s="91"/>
      <c r="C900" s="91"/>
      <c r="D900" s="91"/>
      <c r="E900" s="91"/>
      <c r="F900" s="92"/>
      <c r="G900" s="91"/>
      <c r="H900" s="91"/>
      <c r="I900" s="91"/>
      <c r="J900" s="91"/>
      <c r="K900" s="91"/>
      <c r="L900" s="3"/>
    </row>
    <row r="901" ht="14.25" customHeight="1">
      <c r="A901" s="91"/>
      <c r="B901" s="91"/>
      <c r="C901" s="91"/>
      <c r="D901" s="91"/>
      <c r="E901" s="91"/>
      <c r="F901" s="92"/>
      <c r="G901" s="91"/>
      <c r="H901" s="91"/>
      <c r="I901" s="91"/>
      <c r="J901" s="91"/>
      <c r="K901" s="91"/>
      <c r="L901" s="3"/>
    </row>
    <row r="902" ht="14.25" customHeight="1">
      <c r="A902" s="91"/>
      <c r="B902" s="91"/>
      <c r="C902" s="91"/>
      <c r="D902" s="91"/>
      <c r="E902" s="91"/>
      <c r="F902" s="92"/>
      <c r="G902" s="91"/>
      <c r="H902" s="91"/>
      <c r="I902" s="91"/>
      <c r="J902" s="91"/>
      <c r="K902" s="91"/>
      <c r="L902" s="3"/>
    </row>
    <row r="903" ht="14.25" customHeight="1">
      <c r="A903" s="91"/>
      <c r="B903" s="91"/>
      <c r="C903" s="91"/>
      <c r="D903" s="91"/>
      <c r="E903" s="91"/>
      <c r="F903" s="92"/>
      <c r="G903" s="91"/>
      <c r="H903" s="91"/>
      <c r="I903" s="91"/>
      <c r="J903" s="91"/>
      <c r="K903" s="91"/>
      <c r="L903" s="3"/>
    </row>
    <row r="904" ht="14.25" customHeight="1">
      <c r="A904" s="91"/>
      <c r="B904" s="91"/>
      <c r="C904" s="91"/>
      <c r="D904" s="91"/>
      <c r="E904" s="91"/>
      <c r="F904" s="92"/>
      <c r="G904" s="91"/>
      <c r="H904" s="91"/>
      <c r="I904" s="91"/>
      <c r="J904" s="91"/>
      <c r="K904" s="91"/>
      <c r="L904" s="3"/>
    </row>
    <row r="905" ht="14.25" customHeight="1">
      <c r="A905" s="91"/>
      <c r="B905" s="91"/>
      <c r="C905" s="91"/>
      <c r="D905" s="91"/>
      <c r="E905" s="91"/>
      <c r="F905" s="92"/>
      <c r="G905" s="91"/>
      <c r="H905" s="91"/>
      <c r="I905" s="91"/>
      <c r="J905" s="91"/>
      <c r="K905" s="91"/>
      <c r="L905" s="3"/>
    </row>
    <row r="906" ht="14.25" customHeight="1">
      <c r="A906" s="91"/>
      <c r="B906" s="91"/>
      <c r="C906" s="91"/>
      <c r="D906" s="91"/>
      <c r="E906" s="91"/>
      <c r="F906" s="92"/>
      <c r="G906" s="91"/>
      <c r="H906" s="91"/>
      <c r="I906" s="91"/>
      <c r="J906" s="91"/>
      <c r="K906" s="91"/>
      <c r="L906" s="3"/>
    </row>
    <row r="907" ht="14.25" customHeight="1">
      <c r="A907" s="91"/>
      <c r="B907" s="91"/>
      <c r="C907" s="91"/>
      <c r="D907" s="91"/>
      <c r="E907" s="91"/>
      <c r="F907" s="92"/>
      <c r="G907" s="91"/>
      <c r="H907" s="91"/>
      <c r="I907" s="91"/>
      <c r="J907" s="91"/>
      <c r="K907" s="91"/>
      <c r="L907" s="3"/>
    </row>
    <row r="908" ht="14.25" customHeight="1">
      <c r="A908" s="91"/>
      <c r="B908" s="91"/>
      <c r="C908" s="91"/>
      <c r="D908" s="91"/>
      <c r="E908" s="91"/>
      <c r="F908" s="92"/>
      <c r="G908" s="91"/>
      <c r="H908" s="91"/>
      <c r="I908" s="91"/>
      <c r="J908" s="91"/>
      <c r="K908" s="91"/>
      <c r="L908" s="3"/>
    </row>
    <row r="909" ht="14.25" customHeight="1">
      <c r="A909" s="91"/>
      <c r="B909" s="91"/>
      <c r="C909" s="91"/>
      <c r="D909" s="91"/>
      <c r="E909" s="91"/>
      <c r="F909" s="92"/>
      <c r="G909" s="91"/>
      <c r="H909" s="91"/>
      <c r="I909" s="91"/>
      <c r="J909" s="91"/>
      <c r="K909" s="91"/>
      <c r="L909" s="3"/>
    </row>
    <row r="910" ht="14.25" customHeight="1">
      <c r="A910" s="91"/>
      <c r="B910" s="91"/>
      <c r="C910" s="91"/>
      <c r="D910" s="91"/>
      <c r="E910" s="91"/>
      <c r="F910" s="92"/>
      <c r="G910" s="91"/>
      <c r="H910" s="91"/>
      <c r="I910" s="91"/>
      <c r="J910" s="91"/>
      <c r="K910" s="91"/>
      <c r="L910" s="3"/>
    </row>
    <row r="911" ht="14.25" customHeight="1">
      <c r="A911" s="91"/>
      <c r="B911" s="91"/>
      <c r="C911" s="91"/>
      <c r="D911" s="91"/>
      <c r="E911" s="91"/>
      <c r="F911" s="92"/>
      <c r="G911" s="91"/>
      <c r="H911" s="91"/>
      <c r="I911" s="91"/>
      <c r="J911" s="91"/>
      <c r="K911" s="91"/>
      <c r="L911" s="3"/>
    </row>
    <row r="912" ht="14.25" customHeight="1">
      <c r="A912" s="91"/>
      <c r="B912" s="91"/>
      <c r="C912" s="91"/>
      <c r="D912" s="91"/>
      <c r="E912" s="91"/>
      <c r="F912" s="92"/>
      <c r="G912" s="91"/>
      <c r="H912" s="91"/>
      <c r="I912" s="91"/>
      <c r="J912" s="91"/>
      <c r="K912" s="91"/>
      <c r="L912" s="3"/>
    </row>
    <row r="913" ht="14.25" customHeight="1">
      <c r="A913" s="91"/>
      <c r="B913" s="91"/>
      <c r="C913" s="91"/>
      <c r="D913" s="91"/>
      <c r="E913" s="91"/>
      <c r="F913" s="92"/>
      <c r="G913" s="91"/>
      <c r="H913" s="91"/>
      <c r="I913" s="91"/>
      <c r="J913" s="91"/>
      <c r="K913" s="91"/>
      <c r="L913" s="3"/>
    </row>
    <row r="914" ht="14.25" customHeight="1">
      <c r="A914" s="91"/>
      <c r="B914" s="91"/>
      <c r="C914" s="91"/>
      <c r="D914" s="91"/>
      <c r="E914" s="91"/>
      <c r="F914" s="92"/>
      <c r="G914" s="91"/>
      <c r="H914" s="91"/>
      <c r="I914" s="91"/>
      <c r="J914" s="91"/>
      <c r="K914" s="91"/>
      <c r="L914" s="3"/>
    </row>
    <row r="915" ht="14.25" customHeight="1">
      <c r="A915" s="91"/>
      <c r="B915" s="91"/>
      <c r="C915" s="91"/>
      <c r="D915" s="91"/>
      <c r="E915" s="91"/>
      <c r="F915" s="92"/>
      <c r="G915" s="91"/>
      <c r="H915" s="91"/>
      <c r="I915" s="91"/>
      <c r="J915" s="91"/>
      <c r="K915" s="91"/>
      <c r="L915" s="3"/>
    </row>
    <row r="916" ht="14.25" customHeight="1">
      <c r="A916" s="91"/>
      <c r="B916" s="91"/>
      <c r="C916" s="91"/>
      <c r="D916" s="91"/>
      <c r="E916" s="91"/>
      <c r="F916" s="92"/>
      <c r="G916" s="91"/>
      <c r="H916" s="91"/>
      <c r="I916" s="91"/>
      <c r="J916" s="91"/>
      <c r="K916" s="91"/>
      <c r="L916" s="3"/>
    </row>
    <row r="917" ht="14.25" customHeight="1">
      <c r="A917" s="91"/>
      <c r="B917" s="91"/>
      <c r="C917" s="91"/>
      <c r="D917" s="91"/>
      <c r="E917" s="91"/>
      <c r="F917" s="92"/>
      <c r="G917" s="91"/>
      <c r="H917" s="91"/>
      <c r="I917" s="91"/>
      <c r="J917" s="91"/>
      <c r="K917" s="91"/>
      <c r="L917" s="3"/>
    </row>
    <row r="918" ht="14.25" customHeight="1">
      <c r="A918" s="91"/>
      <c r="B918" s="91"/>
      <c r="C918" s="91"/>
      <c r="D918" s="91"/>
      <c r="E918" s="91"/>
      <c r="F918" s="92"/>
      <c r="G918" s="91"/>
      <c r="H918" s="91"/>
      <c r="I918" s="91"/>
      <c r="J918" s="91"/>
      <c r="K918" s="91"/>
      <c r="L918" s="3"/>
    </row>
    <row r="919" ht="14.25" customHeight="1">
      <c r="A919" s="91"/>
      <c r="B919" s="91"/>
      <c r="C919" s="91"/>
      <c r="D919" s="91"/>
      <c r="E919" s="91"/>
      <c r="F919" s="92"/>
      <c r="G919" s="91"/>
      <c r="H919" s="91"/>
      <c r="I919" s="91"/>
      <c r="J919" s="91"/>
      <c r="K919" s="91"/>
      <c r="L919" s="3"/>
    </row>
    <row r="920" ht="14.25" customHeight="1">
      <c r="A920" s="91"/>
      <c r="B920" s="91"/>
      <c r="C920" s="91"/>
      <c r="D920" s="91"/>
      <c r="E920" s="91"/>
      <c r="F920" s="92"/>
      <c r="G920" s="91"/>
      <c r="H920" s="91"/>
      <c r="I920" s="91"/>
      <c r="J920" s="91"/>
      <c r="K920" s="91"/>
      <c r="L920" s="3"/>
    </row>
    <row r="921" ht="14.25" customHeight="1">
      <c r="A921" s="91"/>
      <c r="B921" s="91"/>
      <c r="C921" s="91"/>
      <c r="D921" s="91"/>
      <c r="E921" s="91"/>
      <c r="F921" s="92"/>
      <c r="G921" s="91"/>
      <c r="H921" s="91"/>
      <c r="I921" s="91"/>
      <c r="J921" s="91"/>
      <c r="K921" s="91"/>
      <c r="L921" s="3"/>
    </row>
    <row r="922" ht="14.25" customHeight="1">
      <c r="A922" s="91"/>
      <c r="B922" s="91"/>
      <c r="C922" s="91"/>
      <c r="D922" s="91"/>
      <c r="E922" s="91"/>
      <c r="F922" s="92"/>
      <c r="G922" s="91"/>
      <c r="H922" s="91"/>
      <c r="I922" s="91"/>
      <c r="J922" s="91"/>
      <c r="K922" s="91"/>
      <c r="L922" s="3"/>
    </row>
    <row r="923" ht="14.25" customHeight="1">
      <c r="A923" s="91"/>
      <c r="B923" s="91"/>
      <c r="C923" s="91"/>
      <c r="D923" s="91"/>
      <c r="E923" s="91"/>
      <c r="F923" s="92"/>
      <c r="G923" s="91"/>
      <c r="H923" s="91"/>
      <c r="I923" s="91"/>
      <c r="J923" s="91"/>
      <c r="K923" s="91"/>
      <c r="L923" s="3"/>
    </row>
    <row r="924" ht="14.25" customHeight="1">
      <c r="A924" s="91"/>
      <c r="B924" s="91"/>
      <c r="C924" s="91"/>
      <c r="D924" s="91"/>
      <c r="E924" s="91"/>
      <c r="F924" s="92"/>
      <c r="G924" s="91"/>
      <c r="H924" s="91"/>
      <c r="I924" s="91"/>
      <c r="J924" s="91"/>
      <c r="K924" s="91"/>
      <c r="L924" s="3"/>
    </row>
    <row r="925" ht="14.25" customHeight="1">
      <c r="A925" s="91"/>
      <c r="B925" s="91"/>
      <c r="C925" s="91"/>
      <c r="D925" s="91"/>
      <c r="E925" s="91"/>
      <c r="F925" s="92"/>
      <c r="G925" s="91"/>
      <c r="H925" s="91"/>
      <c r="I925" s="91"/>
      <c r="J925" s="91"/>
      <c r="K925" s="91"/>
      <c r="L925" s="3"/>
    </row>
    <row r="926" ht="14.25" customHeight="1">
      <c r="A926" s="91"/>
      <c r="B926" s="91"/>
      <c r="C926" s="91"/>
      <c r="D926" s="91"/>
      <c r="E926" s="91"/>
      <c r="F926" s="92"/>
      <c r="G926" s="91"/>
      <c r="H926" s="91"/>
      <c r="I926" s="91"/>
      <c r="J926" s="91"/>
      <c r="K926" s="91"/>
      <c r="L926" s="3"/>
    </row>
    <row r="927" ht="14.25" customHeight="1">
      <c r="A927" s="91"/>
      <c r="B927" s="91"/>
      <c r="C927" s="91"/>
      <c r="D927" s="91"/>
      <c r="E927" s="91"/>
      <c r="F927" s="92"/>
      <c r="G927" s="91"/>
      <c r="H927" s="91"/>
      <c r="I927" s="91"/>
      <c r="J927" s="91"/>
      <c r="K927" s="91"/>
      <c r="L927" s="3"/>
    </row>
    <row r="928" ht="14.25" customHeight="1">
      <c r="A928" s="91"/>
      <c r="B928" s="91"/>
      <c r="C928" s="91"/>
      <c r="D928" s="91"/>
      <c r="E928" s="91"/>
      <c r="F928" s="92"/>
      <c r="G928" s="91"/>
      <c r="H928" s="91"/>
      <c r="I928" s="91"/>
      <c r="J928" s="91"/>
      <c r="K928" s="91"/>
      <c r="L928" s="3"/>
    </row>
    <row r="929" ht="14.25" customHeight="1">
      <c r="A929" s="91"/>
      <c r="B929" s="91"/>
      <c r="C929" s="91"/>
      <c r="D929" s="91"/>
      <c r="E929" s="91"/>
      <c r="F929" s="92"/>
      <c r="G929" s="91"/>
      <c r="H929" s="91"/>
      <c r="I929" s="91"/>
      <c r="J929" s="91"/>
      <c r="K929" s="91"/>
      <c r="L929" s="3"/>
    </row>
    <row r="930" ht="14.25" customHeight="1">
      <c r="A930" s="91"/>
      <c r="B930" s="91"/>
      <c r="C930" s="91"/>
      <c r="D930" s="91"/>
      <c r="E930" s="91"/>
      <c r="F930" s="92"/>
      <c r="G930" s="91"/>
      <c r="H930" s="91"/>
      <c r="I930" s="91"/>
      <c r="J930" s="91"/>
      <c r="K930" s="91"/>
      <c r="L930" s="3"/>
    </row>
    <row r="931" ht="14.25" customHeight="1">
      <c r="A931" s="91"/>
      <c r="B931" s="91"/>
      <c r="C931" s="91"/>
      <c r="D931" s="91"/>
      <c r="E931" s="91"/>
      <c r="F931" s="92"/>
      <c r="G931" s="91"/>
      <c r="H931" s="91"/>
      <c r="I931" s="91"/>
      <c r="J931" s="91"/>
      <c r="K931" s="91"/>
      <c r="L931" s="3"/>
    </row>
    <row r="932" ht="14.25" customHeight="1">
      <c r="A932" s="91"/>
      <c r="B932" s="91"/>
      <c r="C932" s="91"/>
      <c r="D932" s="91"/>
      <c r="E932" s="91"/>
      <c r="F932" s="92"/>
      <c r="G932" s="91"/>
      <c r="H932" s="91"/>
      <c r="I932" s="91"/>
      <c r="J932" s="91"/>
      <c r="K932" s="91"/>
      <c r="L932" s="3"/>
    </row>
    <row r="933" ht="14.25" customHeight="1">
      <c r="A933" s="91"/>
      <c r="B933" s="91"/>
      <c r="C933" s="91"/>
      <c r="D933" s="91"/>
      <c r="E933" s="91"/>
      <c r="F933" s="92"/>
      <c r="G933" s="91"/>
      <c r="H933" s="91"/>
      <c r="I933" s="91"/>
      <c r="J933" s="91"/>
      <c r="K933" s="91"/>
      <c r="L933" s="3"/>
    </row>
    <row r="934" ht="14.25" customHeight="1">
      <c r="A934" s="91"/>
      <c r="B934" s="91"/>
      <c r="C934" s="91"/>
      <c r="D934" s="91"/>
      <c r="E934" s="91"/>
      <c r="F934" s="92"/>
      <c r="G934" s="91"/>
      <c r="H934" s="91"/>
      <c r="I934" s="91"/>
      <c r="J934" s="91"/>
      <c r="K934" s="91"/>
      <c r="L934" s="3"/>
    </row>
    <row r="935" ht="14.25" customHeight="1">
      <c r="A935" s="91"/>
      <c r="B935" s="91"/>
      <c r="C935" s="91"/>
      <c r="D935" s="91"/>
      <c r="E935" s="91"/>
      <c r="F935" s="92"/>
      <c r="G935" s="91"/>
      <c r="H935" s="91"/>
      <c r="I935" s="91"/>
      <c r="J935" s="91"/>
      <c r="K935" s="91"/>
      <c r="L935" s="3"/>
    </row>
    <row r="936" ht="14.25" customHeight="1">
      <c r="A936" s="91"/>
      <c r="B936" s="91"/>
      <c r="C936" s="91"/>
      <c r="D936" s="91"/>
      <c r="E936" s="91"/>
      <c r="F936" s="92"/>
      <c r="G936" s="91"/>
      <c r="H936" s="91"/>
      <c r="I936" s="91"/>
      <c r="J936" s="91"/>
      <c r="K936" s="91"/>
      <c r="L936" s="3"/>
    </row>
    <row r="937" ht="14.25" customHeight="1">
      <c r="A937" s="91"/>
      <c r="B937" s="91"/>
      <c r="C937" s="91"/>
      <c r="D937" s="91"/>
      <c r="E937" s="91"/>
      <c r="F937" s="92"/>
      <c r="G937" s="91"/>
      <c r="H937" s="91"/>
      <c r="I937" s="91"/>
      <c r="J937" s="91"/>
      <c r="K937" s="91"/>
      <c r="L937" s="3"/>
    </row>
    <row r="938" ht="14.25" customHeight="1">
      <c r="A938" s="91"/>
      <c r="B938" s="91"/>
      <c r="C938" s="91"/>
      <c r="D938" s="91"/>
      <c r="E938" s="91"/>
      <c r="F938" s="92"/>
      <c r="G938" s="91"/>
      <c r="H938" s="91"/>
      <c r="I938" s="91"/>
      <c r="J938" s="91"/>
      <c r="K938" s="91"/>
      <c r="L938" s="3"/>
    </row>
    <row r="939" ht="14.25" customHeight="1">
      <c r="A939" s="91"/>
      <c r="B939" s="91"/>
      <c r="C939" s="91"/>
      <c r="D939" s="91"/>
      <c r="E939" s="91"/>
      <c r="F939" s="92"/>
      <c r="G939" s="91"/>
      <c r="H939" s="91"/>
      <c r="I939" s="91"/>
      <c r="J939" s="91"/>
      <c r="K939" s="91"/>
      <c r="L939" s="3"/>
    </row>
    <row r="940" ht="14.25" customHeight="1">
      <c r="A940" s="91"/>
      <c r="B940" s="91"/>
      <c r="C940" s="91"/>
      <c r="D940" s="91"/>
      <c r="E940" s="91"/>
      <c r="F940" s="92"/>
      <c r="G940" s="91"/>
      <c r="H940" s="91"/>
      <c r="I940" s="91"/>
      <c r="J940" s="91"/>
      <c r="K940" s="91"/>
      <c r="L940" s="3"/>
    </row>
    <row r="941" ht="14.25" customHeight="1">
      <c r="A941" s="91"/>
      <c r="B941" s="91"/>
      <c r="C941" s="91"/>
      <c r="D941" s="91"/>
      <c r="E941" s="91"/>
      <c r="F941" s="92"/>
      <c r="G941" s="91"/>
      <c r="H941" s="91"/>
      <c r="I941" s="91"/>
      <c r="J941" s="91"/>
      <c r="K941" s="91"/>
      <c r="L941" s="3"/>
    </row>
    <row r="942" ht="14.25" customHeight="1">
      <c r="A942" s="91"/>
      <c r="B942" s="91"/>
      <c r="C942" s="91"/>
      <c r="D942" s="91"/>
      <c r="E942" s="91"/>
      <c r="F942" s="92"/>
      <c r="G942" s="91"/>
      <c r="H942" s="91"/>
      <c r="I942" s="91"/>
      <c r="J942" s="91"/>
      <c r="K942" s="91"/>
      <c r="L942" s="3"/>
    </row>
    <row r="943" ht="14.25" customHeight="1">
      <c r="A943" s="91"/>
      <c r="B943" s="91"/>
      <c r="C943" s="91"/>
      <c r="D943" s="91"/>
      <c r="E943" s="91"/>
      <c r="F943" s="92"/>
      <c r="G943" s="91"/>
      <c r="H943" s="91"/>
      <c r="I943" s="91"/>
      <c r="J943" s="91"/>
      <c r="K943" s="91"/>
      <c r="L943" s="3"/>
    </row>
    <row r="944" ht="14.25" customHeight="1">
      <c r="A944" s="91"/>
      <c r="B944" s="91"/>
      <c r="C944" s="91"/>
      <c r="D944" s="91"/>
      <c r="E944" s="91"/>
      <c r="F944" s="92"/>
      <c r="G944" s="91"/>
      <c r="H944" s="91"/>
      <c r="I944" s="91"/>
      <c r="J944" s="91"/>
      <c r="K944" s="91"/>
      <c r="L944" s="3"/>
    </row>
    <row r="945" ht="14.25" customHeight="1">
      <c r="A945" s="91"/>
      <c r="B945" s="91"/>
      <c r="C945" s="91"/>
      <c r="D945" s="91"/>
      <c r="E945" s="91"/>
      <c r="F945" s="92"/>
      <c r="G945" s="91"/>
      <c r="H945" s="91"/>
      <c r="I945" s="91"/>
      <c r="J945" s="91"/>
      <c r="K945" s="91"/>
      <c r="L945" s="3"/>
    </row>
    <row r="946" ht="14.25" customHeight="1">
      <c r="A946" s="91"/>
      <c r="B946" s="91"/>
      <c r="C946" s="91"/>
      <c r="D946" s="91"/>
      <c r="E946" s="91"/>
      <c r="F946" s="92"/>
      <c r="G946" s="91"/>
      <c r="H946" s="91"/>
      <c r="I946" s="91"/>
      <c r="J946" s="91"/>
      <c r="K946" s="91"/>
      <c r="L946" s="3"/>
    </row>
    <row r="947" ht="14.25" customHeight="1">
      <c r="A947" s="91"/>
      <c r="B947" s="91"/>
      <c r="C947" s="91"/>
      <c r="D947" s="91"/>
      <c r="E947" s="91"/>
      <c r="F947" s="92"/>
      <c r="G947" s="91"/>
      <c r="H947" s="91"/>
      <c r="I947" s="91"/>
      <c r="J947" s="91"/>
      <c r="K947" s="91"/>
      <c r="L947" s="3"/>
    </row>
    <row r="948" ht="14.25" customHeight="1">
      <c r="A948" s="91"/>
      <c r="B948" s="91"/>
      <c r="C948" s="91"/>
      <c r="D948" s="91"/>
      <c r="E948" s="91"/>
      <c r="F948" s="92"/>
      <c r="G948" s="91"/>
      <c r="H948" s="91"/>
      <c r="I948" s="91"/>
      <c r="J948" s="91"/>
      <c r="K948" s="91"/>
      <c r="L948" s="3"/>
    </row>
    <row r="949" ht="14.25" customHeight="1">
      <c r="A949" s="91"/>
      <c r="B949" s="91"/>
      <c r="C949" s="91"/>
      <c r="D949" s="91"/>
      <c r="E949" s="91"/>
      <c r="F949" s="92"/>
      <c r="G949" s="91"/>
      <c r="H949" s="91"/>
      <c r="I949" s="91"/>
      <c r="J949" s="91"/>
      <c r="K949" s="91"/>
      <c r="L949" s="3"/>
    </row>
    <row r="950" ht="14.25" customHeight="1">
      <c r="A950" s="91"/>
      <c r="B950" s="91"/>
      <c r="C950" s="91"/>
      <c r="D950" s="91"/>
      <c r="E950" s="91"/>
      <c r="F950" s="92"/>
      <c r="G950" s="91"/>
      <c r="H950" s="91"/>
      <c r="I950" s="91"/>
      <c r="J950" s="91"/>
      <c r="K950" s="91"/>
      <c r="L950" s="3"/>
    </row>
    <row r="951" ht="14.25" customHeight="1">
      <c r="A951" s="91"/>
      <c r="B951" s="91"/>
      <c r="C951" s="91"/>
      <c r="D951" s="91"/>
      <c r="E951" s="91"/>
      <c r="F951" s="92"/>
      <c r="G951" s="91"/>
      <c r="H951" s="91"/>
      <c r="I951" s="91"/>
      <c r="J951" s="91"/>
      <c r="K951" s="91"/>
      <c r="L951" s="3"/>
    </row>
    <row r="952" ht="14.25" customHeight="1">
      <c r="A952" s="91"/>
      <c r="B952" s="91"/>
      <c r="C952" s="91"/>
      <c r="D952" s="91"/>
      <c r="E952" s="91"/>
      <c r="F952" s="92"/>
      <c r="G952" s="91"/>
      <c r="H952" s="91"/>
      <c r="I952" s="91"/>
      <c r="J952" s="91"/>
      <c r="K952" s="91"/>
      <c r="L952" s="3"/>
    </row>
    <row r="953" ht="14.25" customHeight="1">
      <c r="A953" s="91"/>
      <c r="B953" s="91"/>
      <c r="C953" s="91"/>
      <c r="D953" s="91"/>
      <c r="E953" s="91"/>
      <c r="F953" s="92"/>
      <c r="G953" s="91"/>
      <c r="H953" s="91"/>
      <c r="I953" s="91"/>
      <c r="J953" s="91"/>
      <c r="K953" s="91"/>
      <c r="L953" s="3"/>
    </row>
    <row r="954" ht="14.25" customHeight="1">
      <c r="A954" s="91"/>
      <c r="B954" s="91"/>
      <c r="C954" s="91"/>
      <c r="D954" s="91"/>
      <c r="E954" s="91"/>
      <c r="F954" s="92"/>
      <c r="G954" s="91"/>
      <c r="H954" s="91"/>
      <c r="I954" s="91"/>
      <c r="J954" s="91"/>
      <c r="K954" s="91"/>
      <c r="L954" s="3"/>
    </row>
    <row r="955" ht="14.25" customHeight="1">
      <c r="A955" s="91"/>
      <c r="B955" s="91"/>
      <c r="C955" s="91"/>
      <c r="D955" s="91"/>
      <c r="E955" s="91"/>
      <c r="F955" s="92"/>
      <c r="G955" s="91"/>
      <c r="H955" s="91"/>
      <c r="I955" s="91"/>
      <c r="J955" s="91"/>
      <c r="K955" s="91"/>
      <c r="L955" s="3"/>
    </row>
    <row r="956" ht="14.25" customHeight="1">
      <c r="A956" s="91"/>
      <c r="B956" s="91"/>
      <c r="C956" s="91"/>
      <c r="D956" s="91"/>
      <c r="E956" s="91"/>
      <c r="F956" s="92"/>
      <c r="G956" s="91"/>
      <c r="H956" s="91"/>
      <c r="I956" s="91"/>
      <c r="J956" s="91"/>
      <c r="K956" s="91"/>
      <c r="L956" s="3"/>
    </row>
    <row r="957" ht="14.25" customHeight="1">
      <c r="A957" s="91"/>
      <c r="B957" s="91"/>
      <c r="C957" s="91"/>
      <c r="D957" s="91"/>
      <c r="E957" s="91"/>
      <c r="F957" s="92"/>
      <c r="G957" s="91"/>
      <c r="H957" s="91"/>
      <c r="I957" s="91"/>
      <c r="J957" s="91"/>
      <c r="K957" s="91"/>
      <c r="L957" s="3"/>
    </row>
    <row r="958" ht="14.25" customHeight="1">
      <c r="A958" s="91"/>
      <c r="B958" s="91"/>
      <c r="C958" s="91"/>
      <c r="D958" s="91"/>
      <c r="E958" s="91"/>
      <c r="F958" s="92"/>
      <c r="G958" s="91"/>
      <c r="H958" s="91"/>
      <c r="I958" s="91"/>
      <c r="J958" s="91"/>
      <c r="K958" s="91"/>
      <c r="L958" s="3"/>
    </row>
    <row r="959" ht="14.25" customHeight="1">
      <c r="A959" s="91"/>
      <c r="B959" s="91"/>
      <c r="C959" s="91"/>
      <c r="D959" s="91"/>
      <c r="E959" s="91"/>
      <c r="F959" s="92"/>
      <c r="G959" s="91"/>
      <c r="H959" s="91"/>
      <c r="I959" s="91"/>
      <c r="J959" s="91"/>
      <c r="K959" s="91"/>
      <c r="L959" s="3"/>
    </row>
    <row r="960" ht="14.25" customHeight="1">
      <c r="A960" s="91"/>
      <c r="B960" s="91"/>
      <c r="C960" s="91"/>
      <c r="D960" s="91"/>
      <c r="E960" s="91"/>
      <c r="F960" s="92"/>
      <c r="G960" s="91"/>
      <c r="H960" s="91"/>
      <c r="I960" s="91"/>
      <c r="J960" s="91"/>
      <c r="K960" s="91"/>
      <c r="L960" s="3"/>
    </row>
    <row r="961" ht="14.25" customHeight="1">
      <c r="A961" s="91"/>
      <c r="B961" s="91"/>
      <c r="C961" s="91"/>
      <c r="D961" s="91"/>
      <c r="E961" s="91"/>
      <c r="F961" s="92"/>
      <c r="G961" s="91"/>
      <c r="H961" s="91"/>
      <c r="I961" s="91"/>
      <c r="J961" s="91"/>
      <c r="K961" s="91"/>
      <c r="L961" s="3"/>
    </row>
    <row r="962" ht="14.25" customHeight="1">
      <c r="A962" s="91"/>
      <c r="B962" s="91"/>
      <c r="C962" s="91"/>
      <c r="D962" s="91"/>
      <c r="E962" s="91"/>
      <c r="F962" s="92"/>
      <c r="G962" s="91"/>
      <c r="H962" s="91"/>
      <c r="I962" s="91"/>
      <c r="J962" s="91"/>
      <c r="K962" s="91"/>
      <c r="L962" s="3"/>
    </row>
    <row r="963" ht="14.25" customHeight="1">
      <c r="A963" s="91"/>
      <c r="B963" s="91"/>
      <c r="C963" s="91"/>
      <c r="D963" s="91"/>
      <c r="E963" s="91"/>
      <c r="F963" s="92"/>
      <c r="G963" s="91"/>
      <c r="H963" s="91"/>
      <c r="I963" s="91"/>
      <c r="J963" s="91"/>
      <c r="K963" s="91"/>
      <c r="L963" s="3"/>
    </row>
    <row r="964" ht="14.25" customHeight="1">
      <c r="A964" s="91"/>
      <c r="B964" s="91"/>
      <c r="C964" s="91"/>
      <c r="D964" s="91"/>
      <c r="E964" s="91"/>
      <c r="F964" s="92"/>
      <c r="G964" s="91"/>
      <c r="H964" s="91"/>
      <c r="I964" s="91"/>
      <c r="J964" s="91"/>
      <c r="K964" s="91"/>
      <c r="L964" s="3"/>
    </row>
    <row r="965" ht="14.25" customHeight="1">
      <c r="A965" s="91"/>
      <c r="B965" s="91"/>
      <c r="C965" s="91"/>
      <c r="D965" s="91"/>
      <c r="E965" s="91"/>
      <c r="F965" s="92"/>
      <c r="G965" s="91"/>
      <c r="H965" s="91"/>
      <c r="I965" s="91"/>
      <c r="J965" s="91"/>
      <c r="K965" s="91"/>
      <c r="L965" s="3"/>
    </row>
    <row r="966" ht="14.25" customHeight="1">
      <c r="A966" s="91"/>
      <c r="B966" s="91"/>
      <c r="C966" s="91"/>
      <c r="D966" s="91"/>
      <c r="E966" s="91"/>
      <c r="F966" s="92"/>
      <c r="G966" s="91"/>
      <c r="H966" s="91"/>
      <c r="I966" s="91"/>
      <c r="J966" s="91"/>
      <c r="K966" s="91"/>
      <c r="L966" s="3"/>
    </row>
    <row r="967" ht="14.25" customHeight="1">
      <c r="A967" s="91"/>
      <c r="B967" s="91"/>
      <c r="C967" s="91"/>
      <c r="D967" s="91"/>
      <c r="E967" s="91"/>
      <c r="F967" s="92"/>
      <c r="G967" s="91"/>
      <c r="H967" s="91"/>
      <c r="I967" s="91"/>
      <c r="J967" s="91"/>
      <c r="K967" s="91"/>
      <c r="L967" s="3"/>
    </row>
    <row r="968" ht="14.25" customHeight="1">
      <c r="A968" s="91"/>
      <c r="B968" s="91"/>
      <c r="C968" s="91"/>
      <c r="D968" s="91"/>
      <c r="E968" s="91"/>
      <c r="F968" s="92"/>
      <c r="G968" s="91"/>
      <c r="H968" s="91"/>
      <c r="I968" s="91"/>
      <c r="J968" s="91"/>
      <c r="K968" s="91"/>
      <c r="L968" s="3"/>
    </row>
    <row r="969" ht="14.25" customHeight="1">
      <c r="A969" s="91"/>
      <c r="B969" s="91"/>
      <c r="C969" s="91"/>
      <c r="D969" s="91"/>
      <c r="E969" s="91"/>
      <c r="F969" s="92"/>
      <c r="G969" s="91"/>
      <c r="H969" s="91"/>
      <c r="I969" s="91"/>
      <c r="J969" s="91"/>
      <c r="K969" s="91"/>
      <c r="L969" s="3"/>
    </row>
    <row r="970" ht="14.25" customHeight="1">
      <c r="A970" s="91"/>
      <c r="B970" s="91"/>
      <c r="C970" s="91"/>
      <c r="D970" s="91"/>
      <c r="E970" s="91"/>
      <c r="F970" s="92"/>
      <c r="G970" s="91"/>
      <c r="H970" s="91"/>
      <c r="I970" s="91"/>
      <c r="J970" s="91"/>
      <c r="K970" s="91"/>
      <c r="L970" s="3"/>
    </row>
    <row r="971" ht="14.25" customHeight="1">
      <c r="A971" s="91"/>
      <c r="B971" s="91"/>
      <c r="C971" s="91"/>
      <c r="D971" s="91"/>
      <c r="E971" s="91"/>
      <c r="F971" s="92"/>
      <c r="G971" s="91"/>
      <c r="H971" s="91"/>
      <c r="I971" s="91"/>
      <c r="J971" s="91"/>
      <c r="K971" s="91"/>
      <c r="L971" s="3"/>
    </row>
    <row r="972" ht="14.25" customHeight="1">
      <c r="A972" s="91"/>
      <c r="B972" s="91"/>
      <c r="C972" s="91"/>
      <c r="D972" s="91"/>
      <c r="E972" s="91"/>
      <c r="F972" s="92"/>
      <c r="G972" s="91"/>
      <c r="H972" s="91"/>
      <c r="I972" s="91"/>
      <c r="J972" s="91"/>
      <c r="K972" s="91"/>
      <c r="L972" s="3"/>
    </row>
    <row r="973" ht="14.25" customHeight="1">
      <c r="A973" s="91"/>
      <c r="B973" s="91"/>
      <c r="C973" s="91"/>
      <c r="D973" s="91"/>
      <c r="E973" s="91"/>
      <c r="F973" s="92"/>
      <c r="G973" s="91"/>
      <c r="H973" s="91"/>
      <c r="I973" s="91"/>
      <c r="J973" s="91"/>
      <c r="K973" s="91"/>
      <c r="L973" s="3"/>
    </row>
    <row r="974" ht="14.25" customHeight="1">
      <c r="A974" s="91"/>
      <c r="B974" s="91"/>
      <c r="C974" s="91"/>
      <c r="D974" s="91"/>
      <c r="E974" s="91"/>
      <c r="F974" s="92"/>
      <c r="G974" s="91"/>
      <c r="H974" s="91"/>
      <c r="I974" s="91"/>
      <c r="J974" s="91"/>
      <c r="K974" s="91"/>
      <c r="L974" s="3"/>
    </row>
    <row r="975" ht="14.25" customHeight="1">
      <c r="A975" s="91"/>
      <c r="B975" s="91"/>
      <c r="C975" s="91"/>
      <c r="D975" s="91"/>
      <c r="E975" s="91"/>
      <c r="F975" s="92"/>
      <c r="G975" s="91"/>
      <c r="H975" s="91"/>
      <c r="I975" s="91"/>
      <c r="J975" s="91"/>
      <c r="K975" s="91"/>
      <c r="L975" s="3"/>
    </row>
    <row r="976" ht="14.25" customHeight="1">
      <c r="A976" s="91"/>
      <c r="B976" s="91"/>
      <c r="C976" s="91"/>
      <c r="D976" s="91"/>
      <c r="E976" s="91"/>
      <c r="F976" s="92"/>
      <c r="G976" s="91"/>
      <c r="H976" s="91"/>
      <c r="I976" s="91"/>
      <c r="J976" s="91"/>
      <c r="K976" s="91"/>
      <c r="L976" s="3"/>
    </row>
    <row r="977" ht="14.25" customHeight="1">
      <c r="A977" s="91"/>
      <c r="B977" s="91"/>
      <c r="C977" s="91"/>
      <c r="D977" s="91"/>
      <c r="E977" s="91"/>
      <c r="F977" s="92"/>
      <c r="G977" s="91"/>
      <c r="H977" s="91"/>
      <c r="I977" s="91"/>
      <c r="J977" s="91"/>
      <c r="K977" s="91"/>
      <c r="L977" s="3"/>
    </row>
    <row r="978" ht="14.25" customHeight="1">
      <c r="A978" s="91"/>
      <c r="B978" s="91"/>
      <c r="C978" s="91"/>
      <c r="D978" s="91"/>
      <c r="E978" s="91"/>
      <c r="F978" s="92"/>
      <c r="G978" s="91"/>
      <c r="H978" s="91"/>
      <c r="I978" s="91"/>
      <c r="J978" s="91"/>
      <c r="K978" s="91"/>
      <c r="L978" s="3"/>
    </row>
    <row r="979" ht="14.25" customHeight="1">
      <c r="A979" s="91"/>
      <c r="B979" s="91"/>
      <c r="C979" s="91"/>
      <c r="D979" s="91"/>
      <c r="E979" s="91"/>
      <c r="F979" s="92"/>
      <c r="G979" s="91"/>
      <c r="H979" s="91"/>
      <c r="I979" s="91"/>
      <c r="J979" s="91"/>
      <c r="K979" s="91"/>
      <c r="L979" s="3"/>
    </row>
    <row r="980" ht="14.25" customHeight="1">
      <c r="A980" s="91"/>
      <c r="B980" s="91"/>
      <c r="C980" s="91"/>
      <c r="D980" s="91"/>
      <c r="E980" s="91"/>
      <c r="F980" s="92"/>
      <c r="G980" s="91"/>
      <c r="H980" s="91"/>
      <c r="I980" s="91"/>
      <c r="J980" s="91"/>
      <c r="K980" s="91"/>
      <c r="L980" s="3"/>
    </row>
    <row r="981" ht="14.25" customHeight="1">
      <c r="A981" s="91"/>
      <c r="B981" s="91"/>
      <c r="C981" s="91"/>
      <c r="D981" s="91"/>
      <c r="E981" s="91"/>
      <c r="F981" s="92"/>
      <c r="G981" s="91"/>
      <c r="H981" s="91"/>
      <c r="I981" s="91"/>
      <c r="J981" s="91"/>
      <c r="K981" s="91"/>
      <c r="L981" s="3"/>
    </row>
    <row r="982" ht="14.25" customHeight="1">
      <c r="A982" s="91"/>
      <c r="B982" s="91"/>
      <c r="C982" s="91"/>
      <c r="D982" s="91"/>
      <c r="E982" s="91"/>
      <c r="F982" s="92"/>
      <c r="G982" s="91"/>
      <c r="H982" s="91"/>
      <c r="I982" s="91"/>
      <c r="J982" s="91"/>
      <c r="K982" s="91"/>
      <c r="L982" s="3"/>
    </row>
    <row r="983" ht="14.25" customHeight="1">
      <c r="A983" s="91"/>
      <c r="B983" s="91"/>
      <c r="C983" s="91"/>
      <c r="D983" s="91"/>
      <c r="E983" s="91"/>
      <c r="F983" s="92"/>
      <c r="G983" s="91"/>
      <c r="H983" s="91"/>
      <c r="I983" s="91"/>
      <c r="J983" s="91"/>
      <c r="K983" s="91"/>
      <c r="L983" s="3"/>
    </row>
    <row r="984" ht="14.25" customHeight="1">
      <c r="A984" s="91"/>
      <c r="B984" s="91"/>
      <c r="C984" s="91"/>
      <c r="D984" s="91"/>
      <c r="E984" s="91"/>
      <c r="F984" s="92"/>
      <c r="G984" s="91"/>
      <c r="H984" s="91"/>
      <c r="I984" s="91"/>
      <c r="J984" s="91"/>
      <c r="K984" s="91"/>
      <c r="L984" s="3"/>
    </row>
    <row r="985" ht="14.25" customHeight="1">
      <c r="A985" s="91"/>
      <c r="B985" s="91"/>
      <c r="C985" s="91"/>
      <c r="D985" s="91"/>
      <c r="E985" s="91"/>
      <c r="F985" s="92"/>
      <c r="G985" s="91"/>
      <c r="H985" s="91"/>
      <c r="I985" s="91"/>
      <c r="J985" s="91"/>
      <c r="K985" s="91"/>
      <c r="L985" s="3"/>
    </row>
    <row r="986" ht="14.25" customHeight="1">
      <c r="A986" s="91"/>
      <c r="B986" s="91"/>
      <c r="C986" s="91"/>
      <c r="D986" s="91"/>
      <c r="E986" s="91"/>
      <c r="F986" s="92"/>
      <c r="G986" s="91"/>
      <c r="H986" s="91"/>
      <c r="I986" s="91"/>
      <c r="J986" s="91"/>
      <c r="K986" s="91"/>
      <c r="L986" s="3"/>
    </row>
    <row r="987" ht="14.25" customHeight="1">
      <c r="A987" s="91"/>
      <c r="B987" s="91"/>
      <c r="C987" s="91"/>
      <c r="D987" s="91"/>
      <c r="E987" s="91"/>
      <c r="F987" s="92"/>
      <c r="G987" s="91"/>
      <c r="H987" s="91"/>
      <c r="I987" s="91"/>
      <c r="J987" s="91"/>
      <c r="K987" s="91"/>
      <c r="L987" s="3"/>
    </row>
    <row r="988" ht="14.25" customHeight="1">
      <c r="A988" s="91"/>
      <c r="B988" s="91"/>
      <c r="C988" s="91"/>
      <c r="D988" s="91"/>
      <c r="E988" s="91"/>
      <c r="F988" s="92"/>
      <c r="G988" s="91"/>
      <c r="H988" s="91"/>
      <c r="I988" s="91"/>
      <c r="J988" s="91"/>
      <c r="K988" s="91"/>
      <c r="L988" s="3"/>
    </row>
    <row r="989" ht="14.25" customHeight="1">
      <c r="A989" s="91"/>
      <c r="B989" s="91"/>
      <c r="C989" s="91"/>
      <c r="D989" s="91"/>
      <c r="E989" s="91"/>
      <c r="F989" s="92"/>
      <c r="G989" s="91"/>
      <c r="H989" s="91"/>
      <c r="I989" s="91"/>
      <c r="J989" s="91"/>
      <c r="K989" s="91"/>
      <c r="L989" s="3"/>
    </row>
    <row r="990" ht="14.25" customHeight="1">
      <c r="A990" s="91"/>
      <c r="B990" s="91"/>
      <c r="C990" s="91"/>
      <c r="D990" s="91"/>
      <c r="E990" s="91"/>
      <c r="F990" s="92"/>
      <c r="G990" s="91"/>
      <c r="H990" s="91"/>
      <c r="I990" s="91"/>
      <c r="J990" s="91"/>
      <c r="K990" s="91"/>
      <c r="L990" s="3"/>
    </row>
    <row r="991" ht="14.25" customHeight="1">
      <c r="A991" s="91"/>
      <c r="B991" s="91"/>
      <c r="C991" s="91"/>
      <c r="D991" s="91"/>
      <c r="E991" s="91"/>
      <c r="F991" s="92"/>
      <c r="G991" s="91"/>
      <c r="H991" s="91"/>
      <c r="I991" s="91"/>
      <c r="J991" s="91"/>
      <c r="K991" s="91"/>
      <c r="L991" s="3"/>
    </row>
    <row r="992" ht="14.25" customHeight="1">
      <c r="A992" s="91"/>
      <c r="B992" s="91"/>
      <c r="C992" s="91"/>
      <c r="D992" s="91"/>
      <c r="E992" s="91"/>
      <c r="F992" s="92"/>
      <c r="G992" s="91"/>
      <c r="H992" s="91"/>
      <c r="I992" s="91"/>
      <c r="J992" s="91"/>
      <c r="K992" s="91"/>
      <c r="L992" s="3"/>
    </row>
    <row r="993" ht="14.25" customHeight="1">
      <c r="A993" s="91"/>
      <c r="B993" s="91"/>
      <c r="C993" s="91"/>
      <c r="D993" s="91"/>
      <c r="E993" s="91"/>
      <c r="F993" s="92"/>
      <c r="G993" s="91"/>
      <c r="H993" s="91"/>
      <c r="I993" s="91"/>
      <c r="J993" s="91"/>
      <c r="K993" s="91"/>
      <c r="L993" s="3"/>
    </row>
    <row r="994" ht="14.25" customHeight="1">
      <c r="A994" s="91"/>
      <c r="B994" s="91"/>
      <c r="C994" s="91"/>
      <c r="D994" s="91"/>
      <c r="E994" s="91"/>
      <c r="F994" s="92"/>
      <c r="G994" s="91"/>
      <c r="H994" s="91"/>
      <c r="I994" s="91"/>
      <c r="J994" s="91"/>
      <c r="K994" s="91"/>
      <c r="L994" s="3"/>
    </row>
    <row r="995" ht="14.25" customHeight="1">
      <c r="A995" s="91"/>
      <c r="B995" s="91"/>
      <c r="C995" s="91"/>
      <c r="D995" s="91"/>
      <c r="E995" s="91"/>
      <c r="F995" s="92"/>
      <c r="G995" s="91"/>
      <c r="H995" s="91"/>
      <c r="I995" s="91"/>
      <c r="J995" s="91"/>
      <c r="K995" s="91"/>
      <c r="L995" s="3"/>
    </row>
    <row r="996" ht="14.25" customHeight="1">
      <c r="A996" s="91"/>
      <c r="B996" s="91"/>
      <c r="C996" s="91"/>
      <c r="D996" s="91"/>
      <c r="E996" s="91"/>
      <c r="F996" s="92"/>
      <c r="G996" s="91"/>
      <c r="H996" s="91"/>
      <c r="I996" s="91"/>
      <c r="J996" s="91"/>
      <c r="K996" s="91"/>
      <c r="L996" s="3"/>
    </row>
    <row r="997" ht="14.25" customHeight="1">
      <c r="A997" s="91"/>
      <c r="B997" s="91"/>
      <c r="C997" s="91"/>
      <c r="D997" s="91"/>
      <c r="E997" s="91"/>
      <c r="F997" s="92"/>
      <c r="G997" s="91"/>
      <c r="H997" s="91"/>
      <c r="I997" s="91"/>
      <c r="J997" s="91"/>
      <c r="K997" s="91"/>
      <c r="L997" s="3"/>
    </row>
    <row r="998" ht="14.25" customHeight="1">
      <c r="A998" s="91"/>
      <c r="B998" s="91"/>
      <c r="C998" s="91"/>
      <c r="D998" s="91"/>
      <c r="E998" s="91"/>
      <c r="F998" s="92"/>
      <c r="G998" s="91"/>
      <c r="H998" s="91"/>
      <c r="I998" s="91"/>
      <c r="J998" s="91"/>
      <c r="K998" s="91"/>
      <c r="L998" s="3"/>
    </row>
    <row r="999" ht="14.25" customHeight="1">
      <c r="A999" s="91"/>
      <c r="B999" s="91"/>
      <c r="C999" s="91"/>
      <c r="D999" s="91"/>
      <c r="E999" s="91"/>
      <c r="F999" s="92"/>
      <c r="G999" s="91"/>
      <c r="H999" s="91"/>
      <c r="I999" s="91"/>
      <c r="J999" s="91"/>
      <c r="K999" s="91"/>
      <c r="L999" s="3"/>
    </row>
    <row r="1000" ht="14.25" customHeight="1">
      <c r="A1000" s="91"/>
      <c r="B1000" s="91"/>
      <c r="C1000" s="91"/>
      <c r="D1000" s="91"/>
      <c r="E1000" s="91"/>
      <c r="F1000" s="92"/>
      <c r="G1000" s="91"/>
      <c r="H1000" s="91"/>
      <c r="I1000" s="91"/>
      <c r="J1000" s="91"/>
      <c r="K1000" s="91"/>
      <c r="L1000" s="3"/>
    </row>
  </sheetData>
  <autoFilter ref="$A$1:$M$70"/>
  <mergeCells count="1">
    <mergeCell ref="J3:K3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14"/>
    <col customWidth="1" min="4" max="5" width="8.71"/>
    <col customWidth="1" min="6" max="6" width="14.29"/>
    <col customWidth="1" min="7" max="7" width="30.57"/>
    <col customWidth="1" min="8" max="8" width="8.71"/>
    <col customWidth="1" min="9" max="9" width="8.43"/>
    <col customWidth="1" hidden="1" min="10" max="10" width="0.14"/>
    <col customWidth="1" hidden="1" min="11" max="11" width="8.71"/>
    <col customWidth="1" min="12" max="12" width="9.86"/>
    <col customWidth="1" min="13" max="13" width="10.71"/>
    <col customWidth="1" min="14" max="26" width="8.71"/>
  </cols>
  <sheetData>
    <row r="1" ht="14.25" customHeight="1">
      <c r="G1" s="71" t="s">
        <v>1841</v>
      </c>
      <c r="K1" s="110"/>
      <c r="L1" s="4"/>
    </row>
    <row r="2" ht="14.25" customHeight="1">
      <c r="K2" s="110"/>
      <c r="L2" s="4"/>
    </row>
    <row r="3" ht="14.25" customHeight="1">
      <c r="A3" s="130"/>
      <c r="B3" s="131"/>
      <c r="C3" s="131"/>
      <c r="D3" s="131"/>
      <c r="E3" s="131"/>
      <c r="F3" s="131"/>
      <c r="G3" s="131"/>
      <c r="H3" s="132"/>
      <c r="I3" s="133"/>
      <c r="K3" s="97" t="s">
        <v>3</v>
      </c>
      <c r="L3" s="97" t="s">
        <v>1891</v>
      </c>
      <c r="M3" s="97" t="s">
        <v>1842</v>
      </c>
    </row>
    <row r="4" ht="14.25" customHeight="1">
      <c r="A4" s="98" t="s">
        <v>1843</v>
      </c>
      <c r="B4" s="98" t="s">
        <v>1844</v>
      </c>
      <c r="C4" s="98" t="s">
        <v>4</v>
      </c>
      <c r="D4" s="98" t="s">
        <v>1845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K4" s="102" t="s">
        <v>11</v>
      </c>
      <c r="L4" s="102"/>
      <c r="M4" s="102"/>
    </row>
    <row r="5" ht="14.25" customHeight="1">
      <c r="A5" s="119" t="s">
        <v>2135</v>
      </c>
      <c r="B5" s="134" t="s">
        <v>2135</v>
      </c>
      <c r="C5" s="134" t="s">
        <v>2136</v>
      </c>
      <c r="D5" s="134" t="s">
        <v>2137</v>
      </c>
      <c r="E5" s="104" t="s">
        <v>2138</v>
      </c>
      <c r="F5" s="103" t="s">
        <v>2139</v>
      </c>
      <c r="G5" s="103" t="s">
        <v>2140</v>
      </c>
      <c r="H5" s="105">
        <v>96.0</v>
      </c>
      <c r="I5" s="135">
        <v>0.195</v>
      </c>
      <c r="K5" s="108">
        <v>7.034927761555948</v>
      </c>
      <c r="L5" s="108">
        <f t="shared" ref="L5:L112" si="1">IF(K5&lt;&gt;"",K5-(K5*0.1),"")</f>
        <v>6.331434985</v>
      </c>
      <c r="M5" s="108">
        <v>11.54</v>
      </c>
    </row>
    <row r="6" ht="14.25" customHeight="1">
      <c r="A6" s="119" t="s">
        <v>2135</v>
      </c>
      <c r="B6" s="134" t="s">
        <v>2135</v>
      </c>
      <c r="C6" s="134" t="s">
        <v>2136</v>
      </c>
      <c r="D6" s="134" t="s">
        <v>2137</v>
      </c>
      <c r="E6" s="104" t="s">
        <v>75</v>
      </c>
      <c r="F6" s="103" t="s">
        <v>2141</v>
      </c>
      <c r="G6" s="103" t="s">
        <v>2142</v>
      </c>
      <c r="H6" s="105">
        <v>96.0</v>
      </c>
      <c r="I6" s="135">
        <v>0.195</v>
      </c>
      <c r="K6" s="108">
        <v>7.034927761555948</v>
      </c>
      <c r="L6" s="108">
        <f t="shared" si="1"/>
        <v>6.331434985</v>
      </c>
      <c r="M6" s="108">
        <v>11.54</v>
      </c>
    </row>
    <row r="7" ht="14.25" customHeight="1">
      <c r="A7" s="119" t="s">
        <v>2135</v>
      </c>
      <c r="B7" s="134" t="s">
        <v>2135</v>
      </c>
      <c r="C7" s="134" t="s">
        <v>2136</v>
      </c>
      <c r="D7" s="134" t="s">
        <v>2137</v>
      </c>
      <c r="E7" s="104" t="s">
        <v>2143</v>
      </c>
      <c r="F7" s="103" t="s">
        <v>2144</v>
      </c>
      <c r="G7" s="103" t="s">
        <v>2145</v>
      </c>
      <c r="H7" s="105">
        <v>24.0</v>
      </c>
      <c r="I7" s="135">
        <v>0.195</v>
      </c>
      <c r="K7" s="108">
        <v>35.787437393281124</v>
      </c>
      <c r="L7" s="108">
        <f t="shared" si="1"/>
        <v>32.20869365</v>
      </c>
      <c r="M7" s="108">
        <v>57.59</v>
      </c>
    </row>
    <row r="8" ht="14.25" customHeight="1">
      <c r="A8" s="119" t="s">
        <v>2135</v>
      </c>
      <c r="B8" s="134" t="s">
        <v>2135</v>
      </c>
      <c r="C8" s="134" t="s">
        <v>2136</v>
      </c>
      <c r="D8" s="134" t="s">
        <v>2137</v>
      </c>
      <c r="E8" s="104" t="s">
        <v>2146</v>
      </c>
      <c r="F8" s="103" t="s">
        <v>2147</v>
      </c>
      <c r="G8" s="103" t="s">
        <v>2148</v>
      </c>
      <c r="H8" s="105">
        <v>12.0</v>
      </c>
      <c r="I8" s="135">
        <v>0.195</v>
      </c>
      <c r="K8" s="108">
        <v>67.81229147158372</v>
      </c>
      <c r="L8" s="108">
        <f t="shared" si="1"/>
        <v>61.03106232</v>
      </c>
      <c r="M8" s="108">
        <v>105.19</v>
      </c>
    </row>
    <row r="9" ht="14.25" customHeight="1">
      <c r="A9" s="119" t="s">
        <v>2135</v>
      </c>
      <c r="B9" s="134" t="s">
        <v>2135</v>
      </c>
      <c r="C9" s="134" t="s">
        <v>2136</v>
      </c>
      <c r="D9" s="134" t="s">
        <v>2137</v>
      </c>
      <c r="E9" s="104" t="s">
        <v>2149</v>
      </c>
      <c r="F9" s="103" t="s">
        <v>2150</v>
      </c>
      <c r="G9" s="103" t="s">
        <v>2151</v>
      </c>
      <c r="H9" s="105">
        <v>12.0</v>
      </c>
      <c r="I9" s="135">
        <v>0.195</v>
      </c>
      <c r="K9" s="108">
        <v>67.81229147158372</v>
      </c>
      <c r="L9" s="108">
        <f t="shared" si="1"/>
        <v>61.03106232</v>
      </c>
      <c r="M9" s="108">
        <v>105.19</v>
      </c>
    </row>
    <row r="10" ht="14.25" customHeight="1">
      <c r="A10" s="119" t="s">
        <v>2135</v>
      </c>
      <c r="B10" s="134" t="s">
        <v>2135</v>
      </c>
      <c r="C10" s="134" t="s">
        <v>2136</v>
      </c>
      <c r="D10" s="134" t="s">
        <v>2137</v>
      </c>
      <c r="E10" s="104" t="s">
        <v>2152</v>
      </c>
      <c r="F10" s="103" t="s">
        <v>2153</v>
      </c>
      <c r="G10" s="103" t="s">
        <v>2154</v>
      </c>
      <c r="H10" s="105">
        <v>12.0</v>
      </c>
      <c r="I10" s="135">
        <v>0.195</v>
      </c>
      <c r="K10" s="108">
        <v>67.81229147158372</v>
      </c>
      <c r="L10" s="108">
        <f t="shared" si="1"/>
        <v>61.03106232</v>
      </c>
      <c r="M10" s="108">
        <v>105.19</v>
      </c>
    </row>
    <row r="11" ht="14.25" customHeight="1">
      <c r="A11" s="119" t="s">
        <v>2135</v>
      </c>
      <c r="B11" s="134" t="s">
        <v>2135</v>
      </c>
      <c r="C11" s="134" t="s">
        <v>2136</v>
      </c>
      <c r="D11" s="134" t="s">
        <v>2137</v>
      </c>
      <c r="E11" s="104" t="s">
        <v>75</v>
      </c>
      <c r="F11" s="103" t="s">
        <v>2155</v>
      </c>
      <c r="G11" s="103" t="s">
        <v>2156</v>
      </c>
      <c r="H11" s="105">
        <v>12.0</v>
      </c>
      <c r="I11" s="135">
        <v>0.195</v>
      </c>
      <c r="K11" s="108">
        <v>67.81229147158372</v>
      </c>
      <c r="L11" s="108">
        <f t="shared" si="1"/>
        <v>61.03106232</v>
      </c>
      <c r="M11" s="108">
        <v>105.19</v>
      </c>
    </row>
    <row r="12" ht="14.25" customHeight="1">
      <c r="A12" s="119" t="s">
        <v>2135</v>
      </c>
      <c r="B12" s="134" t="s">
        <v>2135</v>
      </c>
      <c r="C12" s="134" t="s">
        <v>2136</v>
      </c>
      <c r="D12" s="134" t="s">
        <v>2137</v>
      </c>
      <c r="E12" s="104" t="s">
        <v>75</v>
      </c>
      <c r="F12" s="103" t="s">
        <v>2157</v>
      </c>
      <c r="G12" s="103" t="s">
        <v>2158</v>
      </c>
      <c r="H12" s="105">
        <v>12.0</v>
      </c>
      <c r="I12" s="135">
        <v>0.195</v>
      </c>
      <c r="K12" s="108">
        <v>76.94299039555442</v>
      </c>
      <c r="L12" s="108">
        <f t="shared" si="1"/>
        <v>69.24869136</v>
      </c>
      <c r="M12" s="108">
        <v>114.68</v>
      </c>
    </row>
    <row r="13" ht="14.25" customHeight="1">
      <c r="L13" s="129" t="str">
        <f t="shared" si="1"/>
        <v/>
      </c>
    </row>
    <row r="14" ht="14.25" customHeight="1">
      <c r="A14" s="119" t="s">
        <v>2159</v>
      </c>
      <c r="B14" s="134" t="s">
        <v>2159</v>
      </c>
      <c r="C14" s="134" t="s">
        <v>2160</v>
      </c>
      <c r="D14" s="134" t="s">
        <v>2161</v>
      </c>
      <c r="E14" s="104" t="s">
        <v>2162</v>
      </c>
      <c r="F14" s="103" t="s">
        <v>2163</v>
      </c>
      <c r="G14" s="103" t="s">
        <v>2164</v>
      </c>
      <c r="H14" s="105">
        <v>12.0</v>
      </c>
      <c r="I14" s="135">
        <v>0.195</v>
      </c>
      <c r="K14" s="108">
        <v>59.43256831744654</v>
      </c>
      <c r="L14" s="108">
        <f t="shared" si="1"/>
        <v>53.48931149</v>
      </c>
      <c r="M14" s="108">
        <v>99.3</v>
      </c>
    </row>
    <row r="15" ht="14.25" customHeight="1">
      <c r="A15" s="119" t="s">
        <v>2159</v>
      </c>
      <c r="B15" s="134" t="s">
        <v>2159</v>
      </c>
      <c r="C15" s="134" t="s">
        <v>2160</v>
      </c>
      <c r="D15" s="134" t="s">
        <v>2165</v>
      </c>
      <c r="E15" s="104" t="s">
        <v>2166</v>
      </c>
      <c r="F15" s="103" t="s">
        <v>2167</v>
      </c>
      <c r="G15" s="103" t="s">
        <v>2168</v>
      </c>
      <c r="H15" s="105">
        <v>12.0</v>
      </c>
      <c r="I15" s="136">
        <v>0.1625</v>
      </c>
      <c r="K15" s="108">
        <v>58.09357579242996</v>
      </c>
      <c r="L15" s="108">
        <f t="shared" si="1"/>
        <v>52.28421821</v>
      </c>
      <c r="M15" s="108">
        <v>92.67</v>
      </c>
    </row>
    <row r="16" ht="14.25" customHeight="1">
      <c r="A16" s="119" t="s">
        <v>2159</v>
      </c>
      <c r="B16" s="134" t="s">
        <v>2159</v>
      </c>
      <c r="C16" s="134" t="s">
        <v>2160</v>
      </c>
      <c r="D16" s="134" t="s">
        <v>2161</v>
      </c>
      <c r="E16" s="104" t="s">
        <v>2169</v>
      </c>
      <c r="F16" s="103" t="s">
        <v>2170</v>
      </c>
      <c r="G16" s="103" t="s">
        <v>2171</v>
      </c>
      <c r="H16" s="105">
        <v>12.0</v>
      </c>
      <c r="I16" s="135">
        <v>0.195</v>
      </c>
      <c r="K16" s="108">
        <v>62.52936963943854</v>
      </c>
      <c r="L16" s="108">
        <f t="shared" si="1"/>
        <v>56.27643268</v>
      </c>
      <c r="M16" s="108">
        <v>102.59</v>
      </c>
    </row>
    <row r="17" ht="14.25" customHeight="1">
      <c r="A17" s="119" t="s">
        <v>2159</v>
      </c>
      <c r="B17" s="134" t="s">
        <v>2159</v>
      </c>
      <c r="C17" s="134" t="s">
        <v>2160</v>
      </c>
      <c r="D17" s="134" t="s">
        <v>2161</v>
      </c>
      <c r="E17" s="104" t="s">
        <v>2172</v>
      </c>
      <c r="F17" s="103" t="s">
        <v>2173</v>
      </c>
      <c r="G17" s="103" t="s">
        <v>2174</v>
      </c>
      <c r="H17" s="105">
        <v>12.0</v>
      </c>
      <c r="I17" s="135">
        <v>0.195</v>
      </c>
      <c r="K17" s="108">
        <v>62.52937582310809</v>
      </c>
      <c r="L17" s="108">
        <f t="shared" si="1"/>
        <v>56.27643824</v>
      </c>
      <c r="M17" s="108">
        <v>102.59</v>
      </c>
    </row>
    <row r="18" ht="14.25" customHeight="1">
      <c r="A18" s="119" t="s">
        <v>2159</v>
      </c>
      <c r="B18" s="134" t="s">
        <v>2159</v>
      </c>
      <c r="C18" s="134" t="s">
        <v>2160</v>
      </c>
      <c r="D18" s="134" t="s">
        <v>2165</v>
      </c>
      <c r="E18" s="104" t="s">
        <v>2175</v>
      </c>
      <c r="F18" s="103" t="s">
        <v>2176</v>
      </c>
      <c r="G18" s="103" t="s">
        <v>2177</v>
      </c>
      <c r="H18" s="105">
        <v>6.0</v>
      </c>
      <c r="I18" s="136">
        <v>0.1625</v>
      </c>
      <c r="K18" s="108">
        <v>102.61762283596757</v>
      </c>
      <c r="L18" s="108">
        <f t="shared" si="1"/>
        <v>92.35586055</v>
      </c>
      <c r="M18" s="108" t="s">
        <v>2178</v>
      </c>
    </row>
    <row r="19" ht="14.25" customHeight="1">
      <c r="A19" s="119" t="s">
        <v>2159</v>
      </c>
      <c r="B19" s="134" t="s">
        <v>2159</v>
      </c>
      <c r="C19" s="134" t="s">
        <v>2160</v>
      </c>
      <c r="D19" s="134" t="s">
        <v>2161</v>
      </c>
      <c r="E19" s="104" t="s">
        <v>2179</v>
      </c>
      <c r="F19" s="103" t="s">
        <v>2180</v>
      </c>
      <c r="G19" s="103" t="s">
        <v>2181</v>
      </c>
      <c r="H19" s="105">
        <v>12.0</v>
      </c>
      <c r="I19" s="135">
        <v>0.195</v>
      </c>
      <c r="K19" s="108">
        <v>99.40748353537664</v>
      </c>
      <c r="L19" s="108">
        <f t="shared" si="1"/>
        <v>89.46673518</v>
      </c>
      <c r="M19" s="108">
        <v>169.08</v>
      </c>
    </row>
    <row r="20" ht="14.25" customHeight="1">
      <c r="A20" s="119" t="s">
        <v>2159</v>
      </c>
      <c r="B20" s="134" t="s">
        <v>2159</v>
      </c>
      <c r="C20" s="134" t="s">
        <v>2160</v>
      </c>
      <c r="D20" s="134" t="s">
        <v>2137</v>
      </c>
      <c r="E20" s="104" t="s">
        <v>2182</v>
      </c>
      <c r="F20" s="103" t="s">
        <v>2183</v>
      </c>
      <c r="G20" s="103" t="s">
        <v>2184</v>
      </c>
      <c r="H20" s="105">
        <v>6.0</v>
      </c>
      <c r="I20" s="135">
        <v>0.195</v>
      </c>
      <c r="K20" s="108">
        <v>117.9156580943614</v>
      </c>
      <c r="L20" s="108">
        <f t="shared" si="1"/>
        <v>106.1240923</v>
      </c>
      <c r="M20" s="108">
        <v>193.46</v>
      </c>
    </row>
    <row r="21" ht="14.25" customHeight="1">
      <c r="A21" s="119" t="s">
        <v>2159</v>
      </c>
      <c r="B21" s="134" t="s">
        <v>2159</v>
      </c>
      <c r="C21" s="134" t="s">
        <v>2160</v>
      </c>
      <c r="D21" s="134" t="s">
        <v>2165</v>
      </c>
      <c r="E21" s="104" t="s">
        <v>2185</v>
      </c>
      <c r="F21" s="103" t="s">
        <v>2186</v>
      </c>
      <c r="G21" s="103" t="s">
        <v>2187</v>
      </c>
      <c r="H21" s="105">
        <v>6.0</v>
      </c>
      <c r="I21" s="136">
        <v>0.1625</v>
      </c>
      <c r="K21" s="108">
        <v>208.76147667517054</v>
      </c>
      <c r="L21" s="108">
        <f t="shared" si="1"/>
        <v>187.885329</v>
      </c>
      <c r="M21" s="108">
        <v>333.0</v>
      </c>
    </row>
    <row r="22" ht="14.25" customHeight="1">
      <c r="A22" s="91"/>
      <c r="B22" s="92"/>
      <c r="C22" s="92"/>
      <c r="J22" s="110"/>
      <c r="K22" s="110"/>
      <c r="L22" s="110" t="str">
        <f t="shared" si="1"/>
        <v/>
      </c>
      <c r="M22" s="110"/>
    </row>
    <row r="23" ht="14.25" customHeight="1">
      <c r="A23" s="137" t="s">
        <v>2188</v>
      </c>
      <c r="B23" s="138" t="s">
        <v>2188</v>
      </c>
      <c r="C23" s="138" t="s">
        <v>2189</v>
      </c>
      <c r="D23" s="138" t="s">
        <v>2190</v>
      </c>
      <c r="E23" s="138" t="s">
        <v>2191</v>
      </c>
      <c r="F23" s="137" t="s">
        <v>2192</v>
      </c>
      <c r="G23" s="137" t="s">
        <v>2193</v>
      </c>
      <c r="H23" s="139">
        <v>6.0</v>
      </c>
      <c r="I23" s="135">
        <v>0.195</v>
      </c>
      <c r="K23" s="140">
        <v>203.30018100054488</v>
      </c>
      <c r="L23" s="140">
        <f t="shared" si="1"/>
        <v>182.9701629</v>
      </c>
      <c r="M23" s="140">
        <v>333.56</v>
      </c>
    </row>
    <row r="24" ht="14.25" customHeight="1">
      <c r="A24" s="137" t="s">
        <v>2188</v>
      </c>
      <c r="B24" s="138" t="s">
        <v>2188</v>
      </c>
      <c r="C24" s="138" t="s">
        <v>2189</v>
      </c>
      <c r="D24" s="138" t="s">
        <v>2190</v>
      </c>
      <c r="E24" s="138" t="s">
        <v>2194</v>
      </c>
      <c r="F24" s="137" t="s">
        <v>2195</v>
      </c>
      <c r="G24" s="137" t="s">
        <v>2196</v>
      </c>
      <c r="H24" s="139">
        <v>6.0</v>
      </c>
      <c r="I24" s="135">
        <v>0.195</v>
      </c>
      <c r="K24" s="140">
        <v>277.54703958012453</v>
      </c>
      <c r="L24" s="140">
        <f t="shared" si="1"/>
        <v>249.7923356</v>
      </c>
      <c r="M24" s="140">
        <v>455.37</v>
      </c>
    </row>
    <row r="25" ht="14.25" customHeight="1">
      <c r="L25" s="129" t="str">
        <f t="shared" si="1"/>
        <v/>
      </c>
    </row>
    <row r="26" ht="14.25" customHeight="1">
      <c r="A26" s="119" t="s">
        <v>2197</v>
      </c>
      <c r="B26" s="134" t="s">
        <v>2197</v>
      </c>
      <c r="C26" s="134" t="s">
        <v>1847</v>
      </c>
      <c r="D26" s="134" t="s">
        <v>2198</v>
      </c>
      <c r="E26" s="104" t="s">
        <v>2199</v>
      </c>
      <c r="F26" s="103" t="s">
        <v>2200</v>
      </c>
      <c r="G26" s="103" t="s">
        <v>2201</v>
      </c>
      <c r="H26" s="105">
        <v>12.0</v>
      </c>
      <c r="I26" s="136">
        <v>0.0975</v>
      </c>
      <c r="K26" s="108">
        <v>85.84672325448884</v>
      </c>
      <c r="L26" s="108">
        <f t="shared" si="1"/>
        <v>77.26205093</v>
      </c>
      <c r="M26" s="108">
        <v>129.1</v>
      </c>
    </row>
    <row r="27" ht="14.25" customHeight="1">
      <c r="A27" s="119" t="s">
        <v>2197</v>
      </c>
      <c r="B27" s="134" t="s">
        <v>2197</v>
      </c>
      <c r="C27" s="134" t="s">
        <v>1847</v>
      </c>
      <c r="D27" s="134" t="s">
        <v>2198</v>
      </c>
      <c r="E27" s="104" t="s">
        <v>2202</v>
      </c>
      <c r="F27" s="103" t="s">
        <v>2203</v>
      </c>
      <c r="G27" s="103" t="s">
        <v>2204</v>
      </c>
      <c r="H27" s="105">
        <v>12.0</v>
      </c>
      <c r="I27" s="136">
        <v>0.0975</v>
      </c>
      <c r="K27" s="108">
        <v>85.84672325448884</v>
      </c>
      <c r="L27" s="108">
        <f t="shared" si="1"/>
        <v>77.26205093</v>
      </c>
      <c r="M27" s="108">
        <v>129.1</v>
      </c>
    </row>
    <row r="28" ht="14.25" customHeight="1">
      <c r="A28" s="119" t="s">
        <v>2197</v>
      </c>
      <c r="B28" s="134" t="s">
        <v>2197</v>
      </c>
      <c r="C28" s="134" t="s">
        <v>1847</v>
      </c>
      <c r="D28" s="134" t="s">
        <v>2198</v>
      </c>
      <c r="E28" s="104" t="s">
        <v>2205</v>
      </c>
      <c r="F28" s="103" t="s">
        <v>2206</v>
      </c>
      <c r="G28" s="103" t="s">
        <v>2207</v>
      </c>
      <c r="H28" s="105">
        <v>12.0</v>
      </c>
      <c r="I28" s="136">
        <v>0.0975</v>
      </c>
      <c r="K28" s="108">
        <v>85.84672325448884</v>
      </c>
      <c r="L28" s="108">
        <f t="shared" si="1"/>
        <v>77.26205093</v>
      </c>
      <c r="M28" s="108">
        <v>129.1</v>
      </c>
    </row>
    <row r="29" ht="14.25" customHeight="1">
      <c r="L29" s="129" t="str">
        <f t="shared" si="1"/>
        <v/>
      </c>
    </row>
    <row r="30" ht="14.25" customHeight="1">
      <c r="A30" s="119" t="s">
        <v>2208</v>
      </c>
      <c r="B30" s="134" t="s">
        <v>2208</v>
      </c>
      <c r="C30" s="134" t="s">
        <v>2209</v>
      </c>
      <c r="D30" s="134" t="s">
        <v>2137</v>
      </c>
      <c r="E30" s="104" t="s">
        <v>2210</v>
      </c>
      <c r="F30" s="103" t="s">
        <v>2211</v>
      </c>
      <c r="G30" s="103" t="s">
        <v>2212</v>
      </c>
      <c r="H30" s="105">
        <v>12.0</v>
      </c>
      <c r="I30" s="135">
        <v>0.195</v>
      </c>
      <c r="K30" s="108">
        <v>91.56297177360442</v>
      </c>
      <c r="L30" s="108">
        <f t="shared" si="1"/>
        <v>82.4066746</v>
      </c>
      <c r="M30" s="108">
        <v>144.32</v>
      </c>
    </row>
    <row r="31" ht="14.25" customHeight="1">
      <c r="A31" s="119" t="s">
        <v>2208</v>
      </c>
      <c r="B31" s="134" t="s">
        <v>2208</v>
      </c>
      <c r="C31" s="134" t="s">
        <v>2209</v>
      </c>
      <c r="D31" s="134" t="s">
        <v>2137</v>
      </c>
      <c r="E31" s="104" t="s">
        <v>2213</v>
      </c>
      <c r="F31" s="103" t="s">
        <v>2214</v>
      </c>
      <c r="G31" s="103" t="s">
        <v>2215</v>
      </c>
      <c r="H31" s="105">
        <v>12.0</v>
      </c>
      <c r="I31" s="135">
        <v>0.195</v>
      </c>
      <c r="K31" s="108">
        <v>94.64226877037217</v>
      </c>
      <c r="L31" s="108">
        <f t="shared" si="1"/>
        <v>85.17804189</v>
      </c>
      <c r="M31" s="108">
        <v>155.28</v>
      </c>
    </row>
    <row r="32" ht="14.25" customHeight="1">
      <c r="L32" s="129" t="str">
        <f t="shared" si="1"/>
        <v/>
      </c>
    </row>
    <row r="33" ht="14.25" customHeight="1">
      <c r="A33" s="103" t="s">
        <v>2216</v>
      </c>
      <c r="B33" s="104" t="s">
        <v>2216</v>
      </c>
      <c r="C33" s="104" t="s">
        <v>2087</v>
      </c>
      <c r="D33" s="104" t="s">
        <v>2137</v>
      </c>
      <c r="E33" s="104" t="s">
        <v>75</v>
      </c>
      <c r="F33" s="103" t="s">
        <v>2217</v>
      </c>
      <c r="G33" s="103" t="s">
        <v>2218</v>
      </c>
      <c r="H33" s="105">
        <v>10.0</v>
      </c>
      <c r="I33" s="135">
        <v>0.195</v>
      </c>
      <c r="K33" s="108">
        <v>4.531800627711469</v>
      </c>
      <c r="L33" s="108">
        <f t="shared" si="1"/>
        <v>4.078620565</v>
      </c>
      <c r="M33" s="108">
        <v>7.45</v>
      </c>
    </row>
    <row r="34" ht="14.25" customHeight="1">
      <c r="A34" s="103" t="s">
        <v>2216</v>
      </c>
      <c r="B34" s="104" t="s">
        <v>2216</v>
      </c>
      <c r="C34" s="104" t="s">
        <v>2087</v>
      </c>
      <c r="D34" s="104" t="s">
        <v>2137</v>
      </c>
      <c r="E34" s="104" t="s">
        <v>75</v>
      </c>
      <c r="F34" s="103" t="s">
        <v>2219</v>
      </c>
      <c r="G34" s="103" t="s">
        <v>2220</v>
      </c>
      <c r="H34" s="105">
        <v>6.0</v>
      </c>
      <c r="I34" s="135">
        <v>0.195</v>
      </c>
      <c r="K34" s="108">
        <v>45.52399721473793</v>
      </c>
      <c r="L34" s="108">
        <f t="shared" si="1"/>
        <v>40.97159749</v>
      </c>
      <c r="M34" s="108">
        <v>74.69</v>
      </c>
    </row>
    <row r="35" ht="14.25" customHeight="1">
      <c r="A35" s="103" t="s">
        <v>2216</v>
      </c>
      <c r="B35" s="104" t="s">
        <v>2216</v>
      </c>
      <c r="C35" s="104" t="s">
        <v>2087</v>
      </c>
      <c r="D35" s="104" t="s">
        <v>2137</v>
      </c>
      <c r="E35" s="104" t="s">
        <v>2221</v>
      </c>
      <c r="F35" s="103" t="s">
        <v>2222</v>
      </c>
      <c r="G35" s="103" t="s">
        <v>2223</v>
      </c>
      <c r="H35" s="105">
        <v>6.0</v>
      </c>
      <c r="I35" s="135">
        <v>0.195</v>
      </c>
      <c r="K35" s="108">
        <v>71.86508836331085</v>
      </c>
      <c r="L35" s="108">
        <f t="shared" si="1"/>
        <v>64.67857953</v>
      </c>
      <c r="M35" s="108">
        <v>110.58</v>
      </c>
    </row>
    <row r="36" ht="14.25" customHeight="1">
      <c r="A36" s="103" t="s">
        <v>2216</v>
      </c>
      <c r="B36" s="104" t="s">
        <v>2216</v>
      </c>
      <c r="C36" s="104" t="s">
        <v>2087</v>
      </c>
      <c r="D36" s="104" t="s">
        <v>2137</v>
      </c>
      <c r="E36" s="104" t="s">
        <v>2224</v>
      </c>
      <c r="F36" s="103" t="s">
        <v>2225</v>
      </c>
      <c r="G36" s="103" t="s">
        <v>2226</v>
      </c>
      <c r="H36" s="105">
        <v>6.0</v>
      </c>
      <c r="I36" s="135">
        <v>0.195</v>
      </c>
      <c r="K36" s="108">
        <v>71.86508836331085</v>
      </c>
      <c r="L36" s="108">
        <f t="shared" si="1"/>
        <v>64.67857953</v>
      </c>
      <c r="M36" s="108">
        <v>110.58</v>
      </c>
    </row>
    <row r="37" ht="14.25" customHeight="1">
      <c r="A37" s="103" t="s">
        <v>2216</v>
      </c>
      <c r="B37" s="104" t="s">
        <v>2216</v>
      </c>
      <c r="C37" s="104" t="s">
        <v>2087</v>
      </c>
      <c r="D37" s="104" t="s">
        <v>2137</v>
      </c>
      <c r="E37" s="104" t="s">
        <v>2227</v>
      </c>
      <c r="F37" s="103" t="s">
        <v>2228</v>
      </c>
      <c r="G37" s="103" t="s">
        <v>2229</v>
      </c>
      <c r="H37" s="105">
        <v>6.0</v>
      </c>
      <c r="I37" s="135">
        <v>0.195</v>
      </c>
      <c r="K37" s="108">
        <v>71.86508836331085</v>
      </c>
      <c r="L37" s="108">
        <f t="shared" si="1"/>
        <v>64.67857953</v>
      </c>
      <c r="M37" s="108">
        <v>110.58</v>
      </c>
    </row>
    <row r="38" ht="14.25" customHeight="1">
      <c r="A38" s="119" t="s">
        <v>2216</v>
      </c>
      <c r="B38" s="134" t="s">
        <v>2216</v>
      </c>
      <c r="C38" s="134" t="s">
        <v>2087</v>
      </c>
      <c r="D38" s="134" t="s">
        <v>2137</v>
      </c>
      <c r="E38" s="104" t="s">
        <v>75</v>
      </c>
      <c r="F38" s="103" t="s">
        <v>2230</v>
      </c>
      <c r="G38" s="103" t="s">
        <v>2231</v>
      </c>
      <c r="H38" s="105">
        <v>6.0</v>
      </c>
      <c r="I38" s="135">
        <v>0.195</v>
      </c>
      <c r="K38" s="108">
        <v>71.86508836331085</v>
      </c>
      <c r="L38" s="108">
        <f t="shared" si="1"/>
        <v>64.67857953</v>
      </c>
      <c r="M38" s="108">
        <v>110.58</v>
      </c>
    </row>
    <row r="39" ht="14.25" customHeight="1">
      <c r="L39" s="129" t="str">
        <f t="shared" si="1"/>
        <v/>
      </c>
    </row>
    <row r="40" ht="14.25" customHeight="1">
      <c r="A40" s="119" t="s">
        <v>2232</v>
      </c>
      <c r="B40" s="134" t="s">
        <v>2232</v>
      </c>
      <c r="C40" s="134" t="s">
        <v>2233</v>
      </c>
      <c r="D40" s="134" t="s">
        <v>2137</v>
      </c>
      <c r="E40" s="104" t="s">
        <v>2234</v>
      </c>
      <c r="F40" s="103" t="s">
        <v>2235</v>
      </c>
      <c r="G40" s="103" t="s">
        <v>2236</v>
      </c>
      <c r="H40" s="105">
        <v>6.0</v>
      </c>
      <c r="I40" s="135">
        <v>0.195</v>
      </c>
      <c r="K40" s="108">
        <v>46.556404175921124</v>
      </c>
      <c r="L40" s="108">
        <f t="shared" si="1"/>
        <v>41.90076376</v>
      </c>
      <c r="M40" s="108">
        <v>76.38</v>
      </c>
    </row>
    <row r="41" ht="14.25" customHeight="1">
      <c r="A41" s="119" t="s">
        <v>2232</v>
      </c>
      <c r="B41" s="134" t="s">
        <v>2232</v>
      </c>
      <c r="C41" s="134" t="s">
        <v>2233</v>
      </c>
      <c r="D41" s="134" t="s">
        <v>2237</v>
      </c>
      <c r="E41" s="104" t="s">
        <v>2238</v>
      </c>
      <c r="F41" s="103" t="s">
        <v>2239</v>
      </c>
      <c r="G41" s="103" t="s">
        <v>2240</v>
      </c>
      <c r="H41" s="105">
        <v>6.0</v>
      </c>
      <c r="I41" s="135">
        <v>0.195</v>
      </c>
      <c r="K41" s="108">
        <v>46.87519967462376</v>
      </c>
      <c r="L41" s="108">
        <f t="shared" si="1"/>
        <v>42.18767971</v>
      </c>
      <c r="M41" s="108">
        <v>76.92</v>
      </c>
    </row>
    <row r="42" ht="14.25" customHeight="1">
      <c r="A42" s="119" t="s">
        <v>2232</v>
      </c>
      <c r="B42" s="134" t="s">
        <v>2232</v>
      </c>
      <c r="C42" s="134" t="s">
        <v>2233</v>
      </c>
      <c r="D42" s="134" t="s">
        <v>2137</v>
      </c>
      <c r="E42" s="104" t="s">
        <v>2241</v>
      </c>
      <c r="F42" s="103" t="s">
        <v>2242</v>
      </c>
      <c r="G42" s="103" t="s">
        <v>2243</v>
      </c>
      <c r="H42" s="105">
        <v>6.0</v>
      </c>
      <c r="I42" s="135">
        <v>0.195</v>
      </c>
      <c r="K42" s="108">
        <v>46.93650650129735</v>
      </c>
      <c r="L42" s="108">
        <f t="shared" si="1"/>
        <v>42.24285585</v>
      </c>
      <c r="M42" s="108">
        <v>77.01</v>
      </c>
    </row>
    <row r="43" ht="14.25" customHeight="1">
      <c r="A43" s="119" t="s">
        <v>2232</v>
      </c>
      <c r="B43" s="134" t="s">
        <v>2232</v>
      </c>
      <c r="C43" s="134" t="s">
        <v>2233</v>
      </c>
      <c r="D43" s="134" t="s">
        <v>2137</v>
      </c>
      <c r="E43" s="104" t="s">
        <v>2244</v>
      </c>
      <c r="F43" s="103" t="s">
        <v>2245</v>
      </c>
      <c r="G43" s="103" t="s">
        <v>2246</v>
      </c>
      <c r="H43" s="105">
        <v>6.0</v>
      </c>
      <c r="I43" s="135">
        <v>0.195</v>
      </c>
      <c r="K43" s="108">
        <v>47.243040634665284</v>
      </c>
      <c r="L43" s="108">
        <f t="shared" si="1"/>
        <v>42.51873657</v>
      </c>
      <c r="M43" s="108">
        <v>77.51</v>
      </c>
    </row>
    <row r="44" ht="14.25" customHeight="1">
      <c r="A44" s="119" t="s">
        <v>2232</v>
      </c>
      <c r="B44" s="134" t="s">
        <v>2232</v>
      </c>
      <c r="C44" s="134" t="s">
        <v>2233</v>
      </c>
      <c r="D44" s="134" t="s">
        <v>2137</v>
      </c>
      <c r="E44" s="104" t="s">
        <v>2247</v>
      </c>
      <c r="F44" s="103" t="s">
        <v>2248</v>
      </c>
      <c r="G44" s="103" t="s">
        <v>2249</v>
      </c>
      <c r="H44" s="105">
        <v>6.0</v>
      </c>
      <c r="I44" s="135">
        <v>0.195</v>
      </c>
      <c r="K44" s="108">
        <v>63.170554204462896</v>
      </c>
      <c r="L44" s="108">
        <f t="shared" si="1"/>
        <v>56.85349878</v>
      </c>
      <c r="M44" s="108" t="s">
        <v>2178</v>
      </c>
    </row>
    <row r="45" ht="14.25" customHeight="1">
      <c r="L45" s="129" t="str">
        <f t="shared" si="1"/>
        <v/>
      </c>
    </row>
    <row r="46" ht="14.25" customHeight="1">
      <c r="A46" s="119" t="s">
        <v>2250</v>
      </c>
      <c r="B46" s="134" t="s">
        <v>2250</v>
      </c>
      <c r="C46" s="134" t="s">
        <v>2209</v>
      </c>
      <c r="D46" s="134" t="s">
        <v>2137</v>
      </c>
      <c r="E46" s="104" t="s">
        <v>2251</v>
      </c>
      <c r="F46" s="103" t="s">
        <v>2252</v>
      </c>
      <c r="G46" s="103" t="s">
        <v>2253</v>
      </c>
      <c r="H46" s="105">
        <v>6.0</v>
      </c>
      <c r="I46" s="135">
        <v>0.195</v>
      </c>
      <c r="K46" s="108">
        <v>148.4973955687597</v>
      </c>
      <c r="L46" s="108">
        <f t="shared" si="1"/>
        <v>133.647656</v>
      </c>
      <c r="M46" s="108">
        <v>218.47</v>
      </c>
    </row>
    <row r="47" ht="14.25" customHeight="1">
      <c r="J47" s="110"/>
      <c r="K47" s="110"/>
      <c r="L47" s="110" t="str">
        <f t="shared" si="1"/>
        <v/>
      </c>
      <c r="M47" s="110"/>
    </row>
    <row r="48" ht="14.25" customHeight="1">
      <c r="A48" s="119" t="s">
        <v>2254</v>
      </c>
      <c r="B48" s="134" t="s">
        <v>2254</v>
      </c>
      <c r="C48" s="134" t="s">
        <v>2189</v>
      </c>
      <c r="D48" s="134" t="s">
        <v>2255</v>
      </c>
      <c r="E48" s="134" t="s">
        <v>2256</v>
      </c>
      <c r="F48" s="103" t="s">
        <v>2257</v>
      </c>
      <c r="G48" s="103" t="s">
        <v>2258</v>
      </c>
      <c r="H48" s="105">
        <v>6.0</v>
      </c>
      <c r="I48" s="135">
        <v>0.195</v>
      </c>
      <c r="K48" s="108">
        <v>61.22464943783192</v>
      </c>
      <c r="L48" s="108">
        <f t="shared" si="1"/>
        <v>55.10218449</v>
      </c>
      <c r="M48" s="108">
        <v>90.89</v>
      </c>
    </row>
    <row r="49" ht="14.25" customHeight="1">
      <c r="L49" s="129" t="str">
        <f t="shared" si="1"/>
        <v/>
      </c>
    </row>
    <row r="50" ht="14.25" customHeight="1">
      <c r="A50" s="119" t="s">
        <v>2259</v>
      </c>
      <c r="B50" s="134" t="s">
        <v>2260</v>
      </c>
      <c r="C50" s="134" t="s">
        <v>2261</v>
      </c>
      <c r="D50" s="134" t="s">
        <v>2165</v>
      </c>
      <c r="E50" s="104" t="s">
        <v>2262</v>
      </c>
      <c r="F50" s="103" t="s">
        <v>2263</v>
      </c>
      <c r="G50" s="103" t="s">
        <v>2264</v>
      </c>
      <c r="H50" s="105">
        <v>12.0</v>
      </c>
      <c r="I50" s="136">
        <v>0.1625</v>
      </c>
      <c r="K50" s="108">
        <v>118.08920953866114</v>
      </c>
      <c r="L50" s="108">
        <f t="shared" si="1"/>
        <v>106.2802886</v>
      </c>
      <c r="M50" s="108" t="s">
        <v>2178</v>
      </c>
    </row>
    <row r="51" ht="14.25" customHeight="1">
      <c r="I51" s="110"/>
      <c r="J51" s="110"/>
      <c r="K51" s="110"/>
      <c r="L51" s="110" t="str">
        <f t="shared" si="1"/>
        <v/>
      </c>
      <c r="M51" s="110"/>
    </row>
    <row r="52" ht="14.25" customHeight="1">
      <c r="A52" s="119" t="s">
        <v>2259</v>
      </c>
      <c r="B52" s="134" t="s">
        <v>2265</v>
      </c>
      <c r="C52" s="134" t="s">
        <v>2045</v>
      </c>
      <c r="D52" s="134" t="s">
        <v>2266</v>
      </c>
      <c r="E52" s="104" t="s">
        <v>2267</v>
      </c>
      <c r="F52" s="103" t="s">
        <v>2268</v>
      </c>
      <c r="G52" s="103" t="s">
        <v>2269</v>
      </c>
      <c r="H52" s="105">
        <v>6.0</v>
      </c>
      <c r="I52" s="135">
        <v>0.195</v>
      </c>
      <c r="K52" s="108">
        <v>62.3499831465385</v>
      </c>
      <c r="L52" s="108">
        <f t="shared" si="1"/>
        <v>56.11498483</v>
      </c>
      <c r="M52" s="108">
        <v>102.29</v>
      </c>
    </row>
    <row r="53" ht="14.25" customHeight="1">
      <c r="A53" s="119" t="s">
        <v>2259</v>
      </c>
      <c r="B53" s="134" t="s">
        <v>2270</v>
      </c>
      <c r="C53" s="134" t="s">
        <v>2045</v>
      </c>
      <c r="D53" s="134" t="s">
        <v>2266</v>
      </c>
      <c r="E53" s="104" t="s">
        <v>2271</v>
      </c>
      <c r="F53" s="103" t="s">
        <v>2272</v>
      </c>
      <c r="G53" s="103" t="s">
        <v>2273</v>
      </c>
      <c r="H53" s="105">
        <v>6.0</v>
      </c>
      <c r="I53" s="135">
        <v>0.195</v>
      </c>
      <c r="K53" s="108">
        <v>68.93038367387975</v>
      </c>
      <c r="L53" s="108">
        <f t="shared" si="1"/>
        <v>62.03734531</v>
      </c>
      <c r="M53" s="108">
        <v>113.11</v>
      </c>
    </row>
    <row r="54" ht="14.25" customHeight="1">
      <c r="A54" s="91"/>
      <c r="B54" s="91"/>
      <c r="C54" s="91"/>
      <c r="D54" s="91"/>
      <c r="J54" s="110"/>
      <c r="K54" s="110"/>
      <c r="L54" s="110" t="str">
        <f t="shared" si="1"/>
        <v/>
      </c>
      <c r="M54" s="110"/>
    </row>
    <row r="55" ht="14.25" customHeight="1">
      <c r="A55" s="137" t="s">
        <v>2259</v>
      </c>
      <c r="B55" s="138" t="s">
        <v>2274</v>
      </c>
      <c r="C55" s="138" t="s">
        <v>2209</v>
      </c>
      <c r="D55" s="138" t="s">
        <v>2137</v>
      </c>
      <c r="E55" s="138" t="s">
        <v>2275</v>
      </c>
      <c r="F55" s="137" t="s">
        <v>2276</v>
      </c>
      <c r="G55" s="137" t="s">
        <v>2277</v>
      </c>
      <c r="H55" s="139">
        <v>12.0</v>
      </c>
      <c r="I55" s="135">
        <v>0.195</v>
      </c>
      <c r="K55" s="140">
        <v>104.37856100984827</v>
      </c>
      <c r="L55" s="140">
        <f t="shared" si="1"/>
        <v>93.94070491</v>
      </c>
      <c r="M55" s="140">
        <v>171.25</v>
      </c>
    </row>
    <row r="56" ht="14.25" customHeight="1">
      <c r="A56" s="137" t="s">
        <v>2259</v>
      </c>
      <c r="B56" s="138" t="s">
        <v>2274</v>
      </c>
      <c r="C56" s="138" t="s">
        <v>2209</v>
      </c>
      <c r="D56" s="138" t="s">
        <v>2137</v>
      </c>
      <c r="E56" s="138" t="s">
        <v>2278</v>
      </c>
      <c r="F56" s="137" t="s">
        <v>2279</v>
      </c>
      <c r="G56" s="137" t="s">
        <v>2280</v>
      </c>
      <c r="H56" s="139">
        <v>6.0</v>
      </c>
      <c r="I56" s="135">
        <v>0.195</v>
      </c>
      <c r="K56" s="140">
        <v>130.33825433186078</v>
      </c>
      <c r="L56" s="140">
        <f t="shared" si="1"/>
        <v>117.3044289</v>
      </c>
      <c r="M56" s="140">
        <v>213.84</v>
      </c>
    </row>
    <row r="57" ht="14.25" customHeight="1">
      <c r="J57" s="110"/>
      <c r="K57" s="110"/>
      <c r="L57" s="110" t="str">
        <f t="shared" si="1"/>
        <v/>
      </c>
      <c r="M57" s="110"/>
    </row>
    <row r="58" ht="14.25" customHeight="1">
      <c r="A58" s="119" t="s">
        <v>2259</v>
      </c>
      <c r="B58" s="134" t="s">
        <v>2281</v>
      </c>
      <c r="C58" s="134" t="s">
        <v>2209</v>
      </c>
      <c r="D58" s="134" t="s">
        <v>2137</v>
      </c>
      <c r="E58" s="104" t="s">
        <v>2282</v>
      </c>
      <c r="F58" s="103" t="s">
        <v>2283</v>
      </c>
      <c r="G58" s="103" t="s">
        <v>2284</v>
      </c>
      <c r="H58" s="105">
        <v>12.0</v>
      </c>
      <c r="I58" s="135">
        <v>0.195</v>
      </c>
      <c r="K58" s="108">
        <v>118.49107506506962</v>
      </c>
      <c r="L58" s="108">
        <f t="shared" si="1"/>
        <v>106.6419676</v>
      </c>
      <c r="M58" s="108">
        <v>183.75</v>
      </c>
    </row>
    <row r="59" ht="14.25" customHeight="1">
      <c r="A59" s="119" t="s">
        <v>2259</v>
      </c>
      <c r="B59" s="134" t="s">
        <v>2281</v>
      </c>
      <c r="C59" s="134" t="s">
        <v>2209</v>
      </c>
      <c r="D59" s="134" t="s">
        <v>2137</v>
      </c>
      <c r="E59" s="104" t="s">
        <v>2285</v>
      </c>
      <c r="F59" s="103" t="s">
        <v>2286</v>
      </c>
      <c r="G59" s="103" t="s">
        <v>2287</v>
      </c>
      <c r="H59" s="105">
        <v>6.0</v>
      </c>
      <c r="I59" s="135">
        <v>0.195</v>
      </c>
      <c r="K59" s="108">
        <v>120.45956956423063</v>
      </c>
      <c r="L59" s="108">
        <f t="shared" si="1"/>
        <v>108.4136126</v>
      </c>
      <c r="M59" s="108">
        <v>197.63</v>
      </c>
    </row>
    <row r="60" ht="14.25" customHeight="1">
      <c r="A60" s="119" t="s">
        <v>2259</v>
      </c>
      <c r="B60" s="134" t="s">
        <v>2281</v>
      </c>
      <c r="C60" s="134" t="s">
        <v>2209</v>
      </c>
      <c r="D60" s="134" t="s">
        <v>2137</v>
      </c>
      <c r="E60" s="104" t="s">
        <v>2288</v>
      </c>
      <c r="F60" s="103" t="s">
        <v>2289</v>
      </c>
      <c r="G60" s="103" t="s">
        <v>2290</v>
      </c>
      <c r="H60" s="105">
        <v>6.0</v>
      </c>
      <c r="I60" s="135">
        <v>0.195</v>
      </c>
      <c r="K60" s="108">
        <v>136.57146755395712</v>
      </c>
      <c r="L60" s="108">
        <f t="shared" si="1"/>
        <v>122.9143208</v>
      </c>
      <c r="M60" s="108">
        <v>202.55</v>
      </c>
    </row>
    <row r="61" ht="14.25" customHeight="1">
      <c r="J61" s="110"/>
      <c r="K61" s="110"/>
      <c r="L61" s="110" t="str">
        <f t="shared" si="1"/>
        <v/>
      </c>
      <c r="M61" s="110"/>
    </row>
    <row r="62" ht="14.25" customHeight="1">
      <c r="A62" s="119" t="s">
        <v>2259</v>
      </c>
      <c r="B62" s="134" t="s">
        <v>2291</v>
      </c>
      <c r="C62" s="134" t="s">
        <v>2209</v>
      </c>
      <c r="D62" s="134" t="s">
        <v>2137</v>
      </c>
      <c r="E62" s="134" t="s">
        <v>2292</v>
      </c>
      <c r="F62" s="119" t="s">
        <v>2293</v>
      </c>
      <c r="G62" s="119" t="s">
        <v>2294</v>
      </c>
      <c r="H62" s="120">
        <v>8.0</v>
      </c>
      <c r="I62" s="135">
        <v>0.195</v>
      </c>
      <c r="K62" s="108">
        <v>119.24300401665802</v>
      </c>
      <c r="L62" s="108">
        <f t="shared" si="1"/>
        <v>107.3187036</v>
      </c>
      <c r="M62" s="108">
        <v>195.65</v>
      </c>
    </row>
    <row r="63" ht="14.25" customHeight="1">
      <c r="A63" s="119" t="s">
        <v>2259</v>
      </c>
      <c r="B63" s="134" t="s">
        <v>2295</v>
      </c>
      <c r="C63" s="134" t="s">
        <v>2209</v>
      </c>
      <c r="D63" s="134" t="s">
        <v>2255</v>
      </c>
      <c r="E63" s="134" t="s">
        <v>2296</v>
      </c>
      <c r="F63" s="119" t="s">
        <v>2297</v>
      </c>
      <c r="G63" s="119" t="s">
        <v>2298</v>
      </c>
      <c r="H63" s="120">
        <v>6.0</v>
      </c>
      <c r="I63" s="135">
        <v>0.195</v>
      </c>
      <c r="K63" s="108">
        <v>139.13400393090294</v>
      </c>
      <c r="L63" s="108">
        <f t="shared" si="1"/>
        <v>125.2206035</v>
      </c>
      <c r="M63" s="108">
        <v>228.28</v>
      </c>
    </row>
    <row r="64" ht="14.25" customHeight="1">
      <c r="A64" s="119" t="s">
        <v>2259</v>
      </c>
      <c r="B64" s="134" t="s">
        <v>2295</v>
      </c>
      <c r="C64" s="134" t="s">
        <v>2209</v>
      </c>
      <c r="D64" s="134" t="s">
        <v>2198</v>
      </c>
      <c r="E64" s="134" t="s">
        <v>2299</v>
      </c>
      <c r="F64" s="119" t="s">
        <v>2300</v>
      </c>
      <c r="G64" s="119" t="s">
        <v>2301</v>
      </c>
      <c r="H64" s="120">
        <v>6.0</v>
      </c>
      <c r="I64" s="136">
        <v>0.0975</v>
      </c>
      <c r="K64" s="108">
        <v>139.0438828956928</v>
      </c>
      <c r="L64" s="108">
        <f t="shared" si="1"/>
        <v>125.1394946</v>
      </c>
      <c r="M64" s="108">
        <v>209.1</v>
      </c>
    </row>
    <row r="65" ht="14.25" customHeight="1">
      <c r="A65" s="119" t="s">
        <v>2259</v>
      </c>
      <c r="B65" s="134" t="s">
        <v>2295</v>
      </c>
      <c r="C65" s="134" t="s">
        <v>2209</v>
      </c>
      <c r="D65" s="134" t="s">
        <v>2198</v>
      </c>
      <c r="E65" s="134" t="s">
        <v>2302</v>
      </c>
      <c r="F65" s="119" t="s">
        <v>2303</v>
      </c>
      <c r="G65" s="119" t="s">
        <v>2304</v>
      </c>
      <c r="H65" s="120">
        <v>6.0</v>
      </c>
      <c r="I65" s="136">
        <v>0.0975</v>
      </c>
      <c r="K65" s="108">
        <v>158.38005602854173</v>
      </c>
      <c r="L65" s="108">
        <f t="shared" si="1"/>
        <v>142.5420504</v>
      </c>
      <c r="M65" s="108">
        <v>238.19</v>
      </c>
    </row>
    <row r="66" ht="14.25" customHeight="1">
      <c r="A66" s="137" t="s">
        <v>2259</v>
      </c>
      <c r="B66" s="138" t="s">
        <v>2295</v>
      </c>
      <c r="C66" s="138" t="s">
        <v>2209</v>
      </c>
      <c r="D66" s="138" t="s">
        <v>2137</v>
      </c>
      <c r="E66" s="138" t="s">
        <v>2305</v>
      </c>
      <c r="F66" s="137" t="s">
        <v>2306</v>
      </c>
      <c r="G66" s="137" t="s">
        <v>2307</v>
      </c>
      <c r="H66" s="139">
        <v>6.0</v>
      </c>
      <c r="I66" s="136">
        <v>0.0975</v>
      </c>
      <c r="K66" s="140">
        <v>158.38005602854173</v>
      </c>
      <c r="L66" s="140">
        <f t="shared" si="1"/>
        <v>142.5420504</v>
      </c>
      <c r="M66" s="140">
        <v>238.19</v>
      </c>
    </row>
    <row r="67" ht="14.25" customHeight="1">
      <c r="A67" s="137" t="s">
        <v>2259</v>
      </c>
      <c r="B67" s="138" t="s">
        <v>2295</v>
      </c>
      <c r="C67" s="138" t="s">
        <v>2209</v>
      </c>
      <c r="D67" s="138" t="s">
        <v>2137</v>
      </c>
      <c r="E67" s="138" t="s">
        <v>2308</v>
      </c>
      <c r="F67" s="137" t="s">
        <v>2309</v>
      </c>
      <c r="G67" s="137" t="s">
        <v>2310</v>
      </c>
      <c r="H67" s="139">
        <v>6.0</v>
      </c>
      <c r="I67" s="136">
        <v>0.0975</v>
      </c>
      <c r="K67" s="140">
        <v>158.38005602854173</v>
      </c>
      <c r="L67" s="140">
        <f t="shared" si="1"/>
        <v>142.5420504</v>
      </c>
      <c r="M67" s="140">
        <v>238.19</v>
      </c>
    </row>
    <row r="68" ht="14.25" customHeight="1">
      <c r="L68" s="129" t="str">
        <f t="shared" si="1"/>
        <v/>
      </c>
    </row>
    <row r="69" ht="14.25" customHeight="1">
      <c r="A69" s="137" t="s">
        <v>2311</v>
      </c>
      <c r="B69" s="138" t="s">
        <v>2312</v>
      </c>
      <c r="C69" s="138" t="s">
        <v>2313</v>
      </c>
      <c r="D69" s="138" t="s">
        <v>2314</v>
      </c>
      <c r="E69" s="138" t="s">
        <v>2315</v>
      </c>
      <c r="F69" s="137" t="s">
        <v>2316</v>
      </c>
      <c r="G69" s="137" t="s">
        <v>2317</v>
      </c>
      <c r="H69" s="139">
        <v>6.0</v>
      </c>
      <c r="I69" s="135">
        <v>0.195</v>
      </c>
      <c r="K69" s="140">
        <v>334.84562592579135</v>
      </c>
      <c r="L69" s="140">
        <f t="shared" si="1"/>
        <v>301.3610633</v>
      </c>
      <c r="M69" s="140">
        <v>549.39</v>
      </c>
    </row>
    <row r="70" ht="14.25" customHeight="1">
      <c r="A70" s="137" t="s">
        <v>2311</v>
      </c>
      <c r="B70" s="138" t="s">
        <v>2312</v>
      </c>
      <c r="C70" s="138" t="s">
        <v>2313</v>
      </c>
      <c r="D70" s="138" t="s">
        <v>2314</v>
      </c>
      <c r="E70" s="138" t="s">
        <v>75</v>
      </c>
      <c r="F70" s="137" t="s">
        <v>2318</v>
      </c>
      <c r="G70" s="137" t="s">
        <v>2319</v>
      </c>
      <c r="H70" s="139">
        <v>6.0</v>
      </c>
      <c r="I70" s="135">
        <v>0.195</v>
      </c>
      <c r="K70" s="140">
        <v>395.0734524499222</v>
      </c>
      <c r="L70" s="140">
        <f t="shared" si="1"/>
        <v>355.5661072</v>
      </c>
      <c r="M70" s="140">
        <v>648.22</v>
      </c>
    </row>
    <row r="71" ht="14.25" customHeight="1">
      <c r="J71" s="110"/>
      <c r="K71" s="110"/>
      <c r="L71" s="110" t="str">
        <f t="shared" si="1"/>
        <v/>
      </c>
      <c r="M71" s="110"/>
    </row>
    <row r="72" ht="14.25" customHeight="1">
      <c r="A72" s="119" t="s">
        <v>2311</v>
      </c>
      <c r="B72" s="134" t="s">
        <v>2320</v>
      </c>
      <c r="C72" s="134" t="s">
        <v>1847</v>
      </c>
      <c r="D72" s="134" t="s">
        <v>2137</v>
      </c>
      <c r="E72" s="104" t="s">
        <v>2321</v>
      </c>
      <c r="F72" s="103" t="s">
        <v>2322</v>
      </c>
      <c r="G72" s="103" t="s">
        <v>2323</v>
      </c>
      <c r="H72" s="105">
        <v>12.0</v>
      </c>
      <c r="I72" s="135">
        <v>0.195</v>
      </c>
      <c r="K72" s="108">
        <v>73.27861416611393</v>
      </c>
      <c r="L72" s="108">
        <f t="shared" si="1"/>
        <v>65.95075275</v>
      </c>
      <c r="M72" s="108">
        <v>114.82</v>
      </c>
    </row>
    <row r="73" ht="14.25" customHeight="1">
      <c r="A73" s="119" t="s">
        <v>2311</v>
      </c>
      <c r="B73" s="134" t="s">
        <v>2320</v>
      </c>
      <c r="C73" s="134" t="s">
        <v>1847</v>
      </c>
      <c r="D73" s="134" t="s">
        <v>2137</v>
      </c>
      <c r="E73" s="134" t="s">
        <v>2324</v>
      </c>
      <c r="F73" s="119" t="s">
        <v>2325</v>
      </c>
      <c r="G73" s="141" t="s">
        <v>2326</v>
      </c>
      <c r="H73" s="120">
        <v>6.0</v>
      </c>
      <c r="I73" s="135">
        <v>0.195</v>
      </c>
      <c r="K73" s="108">
        <v>73.27861416611393</v>
      </c>
      <c r="L73" s="108">
        <f t="shared" si="1"/>
        <v>65.95075275</v>
      </c>
      <c r="M73" s="108">
        <v>114.82</v>
      </c>
    </row>
    <row r="74" ht="14.25" customHeight="1">
      <c r="A74" s="119" t="s">
        <v>2311</v>
      </c>
      <c r="B74" s="134" t="s">
        <v>2320</v>
      </c>
      <c r="C74" s="134" t="s">
        <v>1847</v>
      </c>
      <c r="D74" s="134" t="s">
        <v>2137</v>
      </c>
      <c r="E74" s="134" t="s">
        <v>2327</v>
      </c>
      <c r="F74" s="119" t="s">
        <v>2328</v>
      </c>
      <c r="G74" s="141" t="s">
        <v>2329</v>
      </c>
      <c r="H74" s="120">
        <v>6.0</v>
      </c>
      <c r="I74" s="135">
        <v>0.195</v>
      </c>
      <c r="K74" s="108">
        <v>206.40782404462894</v>
      </c>
      <c r="L74" s="108">
        <f t="shared" si="1"/>
        <v>185.7670416</v>
      </c>
      <c r="M74" s="108">
        <v>303.09</v>
      </c>
    </row>
    <row r="75" ht="14.25" customHeight="1">
      <c r="A75" s="119" t="s">
        <v>2311</v>
      </c>
      <c r="B75" s="134" t="s">
        <v>2320</v>
      </c>
      <c r="C75" s="134" t="s">
        <v>1847</v>
      </c>
      <c r="D75" s="134" t="s">
        <v>2137</v>
      </c>
      <c r="E75" s="134" t="s">
        <v>2330</v>
      </c>
      <c r="F75" s="119" t="s">
        <v>2331</v>
      </c>
      <c r="G75" s="141" t="s">
        <v>2332</v>
      </c>
      <c r="H75" s="120">
        <v>6.0</v>
      </c>
      <c r="I75" s="135">
        <v>0.195</v>
      </c>
      <c r="K75" s="108">
        <v>1138.3083735791386</v>
      </c>
      <c r="L75" s="108">
        <f t="shared" si="1"/>
        <v>1024.477536</v>
      </c>
      <c r="M75" s="108">
        <v>1867.64</v>
      </c>
    </row>
    <row r="76" ht="14.25" customHeight="1">
      <c r="I76" s="110"/>
      <c r="J76" s="110"/>
      <c r="K76" s="110"/>
      <c r="L76" s="110" t="str">
        <f t="shared" si="1"/>
        <v/>
      </c>
      <c r="M76" s="110"/>
    </row>
    <row r="77" ht="14.25" customHeight="1">
      <c r="A77" s="103" t="s">
        <v>2311</v>
      </c>
      <c r="B77" s="104" t="s">
        <v>2320</v>
      </c>
      <c r="C77" s="104" t="s">
        <v>2333</v>
      </c>
      <c r="D77" s="104" t="s">
        <v>2255</v>
      </c>
      <c r="E77" s="104" t="s">
        <v>2334</v>
      </c>
      <c r="F77" s="119" t="s">
        <v>2335</v>
      </c>
      <c r="G77" s="119" t="s">
        <v>2336</v>
      </c>
      <c r="H77" s="120">
        <v>6.0</v>
      </c>
      <c r="I77" s="135">
        <v>0.195</v>
      </c>
      <c r="K77" s="108">
        <v>127.67759723040996</v>
      </c>
      <c r="L77" s="108">
        <f t="shared" si="1"/>
        <v>114.9098375</v>
      </c>
      <c r="M77" s="108">
        <v>209.48</v>
      </c>
    </row>
    <row r="78" ht="14.25" customHeight="1">
      <c r="A78" s="103" t="s">
        <v>2311</v>
      </c>
      <c r="B78" s="104" t="s">
        <v>2320</v>
      </c>
      <c r="C78" s="104" t="s">
        <v>2333</v>
      </c>
      <c r="D78" s="104" t="s">
        <v>2255</v>
      </c>
      <c r="E78" s="104" t="s">
        <v>2337</v>
      </c>
      <c r="F78" s="103" t="s">
        <v>2338</v>
      </c>
      <c r="G78" s="103" t="s">
        <v>2339</v>
      </c>
      <c r="H78" s="105">
        <v>6.0</v>
      </c>
      <c r="I78" s="135">
        <v>0.195</v>
      </c>
      <c r="K78" s="108">
        <v>66.61599786351842</v>
      </c>
      <c r="L78" s="108">
        <f t="shared" si="1"/>
        <v>59.95439808</v>
      </c>
      <c r="M78" s="108">
        <v>109.29</v>
      </c>
    </row>
    <row r="79" ht="14.25" customHeight="1">
      <c r="J79" s="110"/>
      <c r="K79" s="110"/>
      <c r="L79" s="110" t="str">
        <f t="shared" si="1"/>
        <v/>
      </c>
      <c r="M79" s="110"/>
    </row>
    <row r="80" ht="14.25" customHeight="1">
      <c r="A80" s="137" t="s">
        <v>2311</v>
      </c>
      <c r="B80" s="138" t="s">
        <v>2340</v>
      </c>
      <c r="C80" s="138" t="s">
        <v>1847</v>
      </c>
      <c r="D80" s="138" t="s">
        <v>2341</v>
      </c>
      <c r="E80" s="138" t="s">
        <v>2342</v>
      </c>
      <c r="F80" s="137" t="s">
        <v>2343</v>
      </c>
      <c r="G80" s="137" t="s">
        <v>2344</v>
      </c>
      <c r="H80" s="139">
        <v>3.0</v>
      </c>
      <c r="I80" s="135">
        <v>0.195</v>
      </c>
      <c r="K80" s="140">
        <v>23214.58717672061</v>
      </c>
      <c r="L80" s="140">
        <f t="shared" si="1"/>
        <v>20893.12846</v>
      </c>
      <c r="M80" s="140">
        <v>32157.31</v>
      </c>
    </row>
    <row r="81" ht="14.25" customHeight="1">
      <c r="A81" s="137" t="s">
        <v>2311</v>
      </c>
      <c r="B81" s="138" t="s">
        <v>2340</v>
      </c>
      <c r="C81" s="138" t="s">
        <v>1847</v>
      </c>
      <c r="D81" s="138" t="s">
        <v>2341</v>
      </c>
      <c r="E81" s="138" t="s">
        <v>2345</v>
      </c>
      <c r="F81" s="137" t="s">
        <v>2346</v>
      </c>
      <c r="G81" s="137" t="s">
        <v>2347</v>
      </c>
      <c r="H81" s="139">
        <v>12.0</v>
      </c>
      <c r="I81" s="135">
        <v>0.195</v>
      </c>
      <c r="K81" s="140">
        <v>265.47082086196156</v>
      </c>
      <c r="L81" s="140">
        <f t="shared" si="1"/>
        <v>238.9237388</v>
      </c>
      <c r="M81" s="140">
        <v>422.74</v>
      </c>
    </row>
    <row r="82" ht="14.25" customHeight="1">
      <c r="A82" s="137" t="s">
        <v>2311</v>
      </c>
      <c r="B82" s="138" t="s">
        <v>2340</v>
      </c>
      <c r="C82" s="138" t="s">
        <v>1847</v>
      </c>
      <c r="D82" s="138" t="s">
        <v>2341</v>
      </c>
      <c r="E82" s="138" t="s">
        <v>2348</v>
      </c>
      <c r="F82" s="137" t="s">
        <v>2349</v>
      </c>
      <c r="G82" s="137" t="s">
        <v>2350</v>
      </c>
      <c r="H82" s="139">
        <v>12.0</v>
      </c>
      <c r="I82" s="135">
        <v>0.195</v>
      </c>
      <c r="K82" s="140">
        <v>812.4258057130255</v>
      </c>
      <c r="L82" s="140">
        <f t="shared" si="1"/>
        <v>731.1832251</v>
      </c>
      <c r="M82" s="140">
        <v>1334.61</v>
      </c>
    </row>
    <row r="83" ht="14.25" customHeight="1">
      <c r="K83" s="110"/>
      <c r="L83" s="110" t="str">
        <f t="shared" si="1"/>
        <v/>
      </c>
      <c r="M83" s="110"/>
    </row>
    <row r="84" ht="14.25" customHeight="1">
      <c r="A84" s="119" t="s">
        <v>2311</v>
      </c>
      <c r="B84" s="134" t="s">
        <v>2351</v>
      </c>
      <c r="C84" s="134" t="s">
        <v>2352</v>
      </c>
      <c r="D84" s="134" t="s">
        <v>2165</v>
      </c>
      <c r="E84" s="134" t="s">
        <v>2353</v>
      </c>
      <c r="F84" s="119" t="s">
        <v>2354</v>
      </c>
      <c r="G84" s="119" t="s">
        <v>2355</v>
      </c>
      <c r="H84" s="120">
        <v>6.0</v>
      </c>
      <c r="I84" s="136">
        <v>0.1625</v>
      </c>
      <c r="K84" s="108">
        <v>209.9390972610275</v>
      </c>
      <c r="L84" s="108">
        <f t="shared" si="1"/>
        <v>188.9451875</v>
      </c>
      <c r="M84" s="108">
        <v>334.88</v>
      </c>
    </row>
    <row r="85" ht="14.25" customHeight="1">
      <c r="A85" s="137" t="s">
        <v>2311</v>
      </c>
      <c r="B85" s="138" t="s">
        <v>2351</v>
      </c>
      <c r="C85" s="138" t="s">
        <v>2352</v>
      </c>
      <c r="D85" s="138" t="s">
        <v>2165</v>
      </c>
      <c r="E85" s="138" t="s">
        <v>2356</v>
      </c>
      <c r="F85" s="137" t="s">
        <v>2357</v>
      </c>
      <c r="G85" s="137" t="s">
        <v>2358</v>
      </c>
      <c r="H85" s="139">
        <v>6.0</v>
      </c>
      <c r="I85" s="136">
        <v>0.1625</v>
      </c>
      <c r="K85" s="140">
        <v>312.6157705739492</v>
      </c>
      <c r="L85" s="140">
        <f t="shared" si="1"/>
        <v>281.3541935</v>
      </c>
      <c r="M85" s="140">
        <v>498.66</v>
      </c>
    </row>
    <row r="86" ht="14.25" customHeight="1">
      <c r="A86" s="91"/>
      <c r="B86" s="92"/>
      <c r="C86" s="92"/>
      <c r="D86" s="92"/>
      <c r="E86" s="92"/>
      <c r="F86" s="91"/>
      <c r="G86" s="91"/>
      <c r="H86" s="114"/>
      <c r="I86" s="142"/>
      <c r="L86" s="129" t="str">
        <f t="shared" si="1"/>
        <v/>
      </c>
    </row>
    <row r="87" ht="14.25" customHeight="1">
      <c r="A87" s="119" t="s">
        <v>2311</v>
      </c>
      <c r="B87" s="134" t="s">
        <v>2359</v>
      </c>
      <c r="C87" s="134" t="s">
        <v>2313</v>
      </c>
      <c r="D87" s="134" t="s">
        <v>2266</v>
      </c>
      <c r="E87" s="134" t="s">
        <v>2360</v>
      </c>
      <c r="F87" s="103" t="s">
        <v>2361</v>
      </c>
      <c r="G87" s="103" t="s">
        <v>2362</v>
      </c>
      <c r="H87" s="105">
        <v>6.0</v>
      </c>
      <c r="I87" s="135">
        <v>0.195</v>
      </c>
      <c r="K87" s="108">
        <v>123.90109670731707</v>
      </c>
      <c r="L87" s="108">
        <f t="shared" si="1"/>
        <v>111.510987</v>
      </c>
      <c r="M87" s="108">
        <v>203.28</v>
      </c>
    </row>
    <row r="88" ht="14.25" customHeight="1">
      <c r="A88" s="119" t="s">
        <v>2311</v>
      </c>
      <c r="B88" s="134" t="s">
        <v>2359</v>
      </c>
      <c r="C88" s="134" t="s">
        <v>2313</v>
      </c>
      <c r="D88" s="134" t="s">
        <v>2266</v>
      </c>
      <c r="E88" s="134" t="s">
        <v>2363</v>
      </c>
      <c r="F88" s="103" t="s">
        <v>2364</v>
      </c>
      <c r="G88" s="103" t="s">
        <v>2365</v>
      </c>
      <c r="H88" s="105">
        <v>4.0</v>
      </c>
      <c r="I88" s="135">
        <v>0.195</v>
      </c>
      <c r="K88" s="108">
        <v>366.88457354540736</v>
      </c>
      <c r="L88" s="108">
        <f t="shared" si="1"/>
        <v>330.1961162</v>
      </c>
      <c r="M88" s="108">
        <v>601.96</v>
      </c>
    </row>
    <row r="89" ht="14.25" customHeight="1">
      <c r="L89" s="129" t="str">
        <f t="shared" si="1"/>
        <v/>
      </c>
    </row>
    <row r="90" ht="14.25" customHeight="1">
      <c r="A90" s="119" t="s">
        <v>2366</v>
      </c>
      <c r="B90" s="134" t="s">
        <v>2366</v>
      </c>
      <c r="C90" s="134" t="s">
        <v>2064</v>
      </c>
      <c r="D90" s="134" t="s">
        <v>2367</v>
      </c>
      <c r="E90" s="134" t="s">
        <v>2368</v>
      </c>
      <c r="F90" s="119" t="s">
        <v>2369</v>
      </c>
      <c r="G90" s="119" t="s">
        <v>2370</v>
      </c>
      <c r="H90" s="120">
        <v>12.0</v>
      </c>
      <c r="I90" s="143">
        <v>0.13</v>
      </c>
      <c r="K90" s="108">
        <v>38.65673500688636</v>
      </c>
      <c r="L90" s="108">
        <f t="shared" si="1"/>
        <v>34.79106151</v>
      </c>
      <c r="M90" s="108">
        <v>56.37</v>
      </c>
    </row>
    <row r="91" ht="14.25" customHeight="1">
      <c r="A91" s="119" t="s">
        <v>2366</v>
      </c>
      <c r="B91" s="134" t="s">
        <v>2366</v>
      </c>
      <c r="C91" s="134" t="s">
        <v>2064</v>
      </c>
      <c r="D91" s="134" t="s">
        <v>2367</v>
      </c>
      <c r="E91" s="134" t="s">
        <v>2371</v>
      </c>
      <c r="F91" s="119" t="s">
        <v>2372</v>
      </c>
      <c r="G91" s="119" t="s">
        <v>2373</v>
      </c>
      <c r="H91" s="120">
        <v>12.0</v>
      </c>
      <c r="I91" s="135">
        <v>0.065</v>
      </c>
      <c r="K91" s="108">
        <v>44.00971859590037</v>
      </c>
      <c r="L91" s="108">
        <f t="shared" si="1"/>
        <v>39.60874674</v>
      </c>
      <c r="M91" s="108">
        <v>55.95</v>
      </c>
    </row>
    <row r="92" ht="14.25" customHeight="1">
      <c r="A92" s="119" t="s">
        <v>2366</v>
      </c>
      <c r="B92" s="134" t="s">
        <v>2366</v>
      </c>
      <c r="C92" s="134" t="s">
        <v>2064</v>
      </c>
      <c r="D92" s="134" t="s">
        <v>2367</v>
      </c>
      <c r="E92" s="134" t="s">
        <v>2374</v>
      </c>
      <c r="F92" s="119" t="s">
        <v>2375</v>
      </c>
      <c r="G92" s="119" t="s">
        <v>2376</v>
      </c>
      <c r="H92" s="120">
        <v>12.0</v>
      </c>
      <c r="I92" s="135">
        <v>0.065</v>
      </c>
      <c r="K92" s="108">
        <v>56.52055267613679</v>
      </c>
      <c r="L92" s="108">
        <f t="shared" si="1"/>
        <v>50.86849741</v>
      </c>
      <c r="M92" s="108">
        <v>82.44</v>
      </c>
    </row>
    <row r="93" ht="14.25" customHeight="1">
      <c r="A93" s="91"/>
      <c r="B93" s="92"/>
      <c r="C93" s="92"/>
      <c r="D93" s="92"/>
      <c r="E93" s="92"/>
      <c r="F93" s="91"/>
      <c r="G93" s="91"/>
      <c r="H93" s="114"/>
      <c r="I93" s="144"/>
      <c r="J93" s="144"/>
      <c r="K93" s="144"/>
      <c r="L93" s="144" t="str">
        <f t="shared" si="1"/>
        <v/>
      </c>
      <c r="M93" s="144"/>
    </row>
    <row r="94" ht="14.25" customHeight="1">
      <c r="A94" s="119" t="s">
        <v>2377</v>
      </c>
      <c r="B94" s="134" t="s">
        <v>2377</v>
      </c>
      <c r="C94" s="134" t="s">
        <v>2378</v>
      </c>
      <c r="D94" s="134" t="s">
        <v>2379</v>
      </c>
      <c r="E94" s="134" t="s">
        <v>2380</v>
      </c>
      <c r="F94" s="103" t="s">
        <v>2381</v>
      </c>
      <c r="G94" s="103" t="s">
        <v>2382</v>
      </c>
      <c r="H94" s="105">
        <v>6.0</v>
      </c>
      <c r="I94" s="135">
        <v>0.195</v>
      </c>
      <c r="K94" s="108">
        <v>209.59577903165544</v>
      </c>
      <c r="L94" s="108">
        <f t="shared" si="1"/>
        <v>188.6362011</v>
      </c>
      <c r="M94" s="108">
        <v>281.97</v>
      </c>
    </row>
    <row r="95" ht="14.25" customHeight="1">
      <c r="A95" s="119" t="s">
        <v>2383</v>
      </c>
      <c r="B95" s="134" t="s">
        <v>2383</v>
      </c>
      <c r="C95" s="134" t="s">
        <v>2378</v>
      </c>
      <c r="D95" s="134" t="s">
        <v>2379</v>
      </c>
      <c r="E95" s="134" t="s">
        <v>2384</v>
      </c>
      <c r="F95" s="103" t="s">
        <v>2385</v>
      </c>
      <c r="G95" s="103" t="s">
        <v>2386</v>
      </c>
      <c r="H95" s="105">
        <v>6.0</v>
      </c>
      <c r="I95" s="135">
        <v>0.195</v>
      </c>
      <c r="K95" s="108">
        <v>51.988189019200824</v>
      </c>
      <c r="L95" s="108">
        <f t="shared" si="1"/>
        <v>46.78937012</v>
      </c>
      <c r="M95" s="108" t="s">
        <v>2178</v>
      </c>
    </row>
    <row r="96" ht="14.25" customHeight="1">
      <c r="J96" s="110"/>
      <c r="K96" s="110"/>
      <c r="L96" s="110" t="str">
        <f t="shared" si="1"/>
        <v/>
      </c>
      <c r="M96" s="110"/>
    </row>
    <row r="97" ht="14.25" customHeight="1">
      <c r="A97" s="119" t="s">
        <v>2387</v>
      </c>
      <c r="B97" s="134" t="s">
        <v>2387</v>
      </c>
      <c r="C97" s="134" t="s">
        <v>2378</v>
      </c>
      <c r="D97" s="119" t="s">
        <v>2379</v>
      </c>
      <c r="E97" s="119" t="s">
        <v>1873</v>
      </c>
      <c r="F97" s="119" t="s">
        <v>2388</v>
      </c>
      <c r="G97" s="119" t="s">
        <v>2389</v>
      </c>
      <c r="H97" s="120">
        <v>6.0</v>
      </c>
      <c r="I97" s="135">
        <v>0.195</v>
      </c>
      <c r="K97" s="108">
        <v>154.5833242526466</v>
      </c>
      <c r="L97" s="108">
        <f t="shared" si="1"/>
        <v>139.1249918</v>
      </c>
      <c r="M97" s="108">
        <v>253.62</v>
      </c>
    </row>
    <row r="98" ht="14.25" customHeight="1">
      <c r="A98" s="137" t="s">
        <v>2387</v>
      </c>
      <c r="B98" s="138" t="s">
        <v>2387</v>
      </c>
      <c r="C98" s="138" t="s">
        <v>2378</v>
      </c>
      <c r="D98" s="137" t="s">
        <v>2379</v>
      </c>
      <c r="E98" s="137" t="s">
        <v>1873</v>
      </c>
      <c r="F98" s="137" t="s">
        <v>2390</v>
      </c>
      <c r="G98" s="137" t="s">
        <v>2391</v>
      </c>
      <c r="H98" s="139">
        <v>6.0</v>
      </c>
      <c r="I98" s="135">
        <v>0.195</v>
      </c>
      <c r="K98" s="140">
        <v>630.2678969591334</v>
      </c>
      <c r="L98" s="140">
        <f t="shared" si="1"/>
        <v>567.2411073</v>
      </c>
      <c r="M98" s="140">
        <v>1034.08</v>
      </c>
    </row>
    <row r="99" ht="14.25" customHeight="1">
      <c r="J99" s="110" t="s">
        <v>24</v>
      </c>
      <c r="K99" s="110"/>
      <c r="L99" s="110" t="str">
        <f t="shared" si="1"/>
        <v/>
      </c>
      <c r="M99" s="110"/>
    </row>
    <row r="100" ht="14.25" customHeight="1">
      <c r="A100" s="104" t="s">
        <v>1925</v>
      </c>
      <c r="B100" s="104" t="s">
        <v>1925</v>
      </c>
      <c r="C100" s="103" t="s">
        <v>2313</v>
      </c>
      <c r="D100" s="103" t="s">
        <v>2379</v>
      </c>
      <c r="E100" s="103" t="s">
        <v>1873</v>
      </c>
      <c r="F100" s="103" t="s">
        <v>2392</v>
      </c>
      <c r="G100" s="103" t="s">
        <v>2393</v>
      </c>
      <c r="H100" s="105">
        <v>6.0</v>
      </c>
      <c r="I100" s="135">
        <v>0.195</v>
      </c>
      <c r="K100" s="108">
        <v>102.49336590116762</v>
      </c>
      <c r="L100" s="108">
        <f t="shared" si="1"/>
        <v>92.24402931</v>
      </c>
      <c r="M100" s="108">
        <v>109.07</v>
      </c>
    </row>
    <row r="101" ht="14.25" customHeight="1">
      <c r="A101" s="138" t="s">
        <v>1925</v>
      </c>
      <c r="B101" s="138" t="s">
        <v>1925</v>
      </c>
      <c r="C101" s="137" t="s">
        <v>2313</v>
      </c>
      <c r="D101" s="138" t="s">
        <v>2266</v>
      </c>
      <c r="E101" s="137" t="s">
        <v>1873</v>
      </c>
      <c r="F101" s="137" t="s">
        <v>2394</v>
      </c>
      <c r="G101" s="137" t="s">
        <v>2395</v>
      </c>
      <c r="H101" s="139">
        <v>6.0</v>
      </c>
      <c r="I101" s="135">
        <v>0.195</v>
      </c>
      <c r="K101" s="140">
        <v>139.79060004457708</v>
      </c>
      <c r="L101" s="140">
        <f t="shared" si="1"/>
        <v>125.81154</v>
      </c>
      <c r="M101" s="140">
        <v>229.35</v>
      </c>
    </row>
    <row r="102" ht="14.25" customHeight="1">
      <c r="J102" s="110" t="s">
        <v>24</v>
      </c>
      <c r="K102" s="110"/>
      <c r="L102" s="110" t="str">
        <f t="shared" si="1"/>
        <v/>
      </c>
      <c r="M102" s="110"/>
    </row>
    <row r="103" ht="14.25" customHeight="1">
      <c r="A103" s="145" t="s">
        <v>2396</v>
      </c>
      <c r="B103" s="103"/>
      <c r="C103" s="103" t="s">
        <v>2064</v>
      </c>
      <c r="D103" s="103" t="s">
        <v>2397</v>
      </c>
      <c r="E103" s="103"/>
      <c r="F103" s="127" t="s">
        <v>2398</v>
      </c>
      <c r="G103" s="127" t="s">
        <v>2399</v>
      </c>
      <c r="H103" s="146">
        <v>12.0</v>
      </c>
      <c r="I103" s="147">
        <v>0.195</v>
      </c>
      <c r="K103" s="108">
        <v>49.02584315433317</v>
      </c>
      <c r="L103" s="108">
        <f t="shared" si="1"/>
        <v>44.12325884</v>
      </c>
      <c r="M103" s="108">
        <v>80.43</v>
      </c>
    </row>
    <row r="104" ht="14.25" customHeight="1">
      <c r="J104" s="110" t="s">
        <v>24</v>
      </c>
      <c r="K104" s="110"/>
      <c r="L104" s="110" t="str">
        <f t="shared" si="1"/>
        <v/>
      </c>
      <c r="M104" s="110"/>
    </row>
    <row r="105" ht="14.25" customHeight="1">
      <c r="A105" s="119" t="s">
        <v>2400</v>
      </c>
      <c r="B105" s="134" t="s">
        <v>2400</v>
      </c>
      <c r="C105" s="134" t="s">
        <v>2064</v>
      </c>
      <c r="D105" s="134" t="s">
        <v>2379</v>
      </c>
      <c r="E105" s="134" t="s">
        <v>2401</v>
      </c>
      <c r="F105" s="103" t="s">
        <v>2402</v>
      </c>
      <c r="G105" s="103" t="s">
        <v>2403</v>
      </c>
      <c r="H105" s="105">
        <v>12.0</v>
      </c>
      <c r="I105" s="135">
        <v>0.195</v>
      </c>
      <c r="K105" s="108">
        <v>64.10241796990141</v>
      </c>
      <c r="L105" s="108">
        <f t="shared" si="1"/>
        <v>57.69217617</v>
      </c>
      <c r="M105" s="108">
        <v>105.17</v>
      </c>
    </row>
    <row r="106" ht="14.25" customHeight="1">
      <c r="K106" s="110"/>
      <c r="L106" s="110" t="str">
        <f t="shared" si="1"/>
        <v/>
      </c>
      <c r="M106" s="110"/>
    </row>
    <row r="107" ht="14.25" customHeight="1">
      <c r="A107" s="138" t="s">
        <v>2404</v>
      </c>
      <c r="B107" s="138" t="s">
        <v>2404</v>
      </c>
      <c r="C107" s="148" t="s">
        <v>1926</v>
      </c>
      <c r="D107" s="149" t="s">
        <v>2404</v>
      </c>
      <c r="E107" s="149" t="s">
        <v>75</v>
      </c>
      <c r="F107" s="150" t="s">
        <v>2405</v>
      </c>
      <c r="G107" s="150" t="s">
        <v>2406</v>
      </c>
      <c r="H107" s="151">
        <v>6.0</v>
      </c>
      <c r="I107" s="152">
        <v>0.195</v>
      </c>
      <c r="K107" s="153">
        <v>130.05752824187857</v>
      </c>
      <c r="L107" s="153">
        <f t="shared" si="1"/>
        <v>117.0517754</v>
      </c>
      <c r="M107" s="153">
        <v>213.38</v>
      </c>
    </row>
    <row r="108" ht="14.25" customHeight="1">
      <c r="K108" s="110"/>
      <c r="L108" s="110" t="str">
        <f t="shared" si="1"/>
        <v/>
      </c>
      <c r="M108" s="110"/>
    </row>
    <row r="109" ht="14.25" customHeight="1">
      <c r="A109" s="134" t="s">
        <v>2407</v>
      </c>
      <c r="B109" s="134" t="s">
        <v>2407</v>
      </c>
      <c r="C109" s="154" t="s">
        <v>2408</v>
      </c>
      <c r="D109" s="155"/>
      <c r="E109" s="155"/>
      <c r="F109" s="119" t="s">
        <v>2409</v>
      </c>
      <c r="G109" s="119" t="s">
        <v>2410</v>
      </c>
      <c r="H109" s="120">
        <v>24.0</v>
      </c>
      <c r="I109" s="156">
        <v>0.195</v>
      </c>
      <c r="K109" s="123">
        <v>9.678491496537026</v>
      </c>
      <c r="L109" s="123">
        <f t="shared" si="1"/>
        <v>8.710642347</v>
      </c>
      <c r="M109" s="123">
        <v>15.88</v>
      </c>
    </row>
    <row r="110" ht="14.25" customHeight="1">
      <c r="A110" s="134" t="s">
        <v>2407</v>
      </c>
      <c r="B110" s="134" t="s">
        <v>2407</v>
      </c>
      <c r="C110" s="154" t="s">
        <v>2408</v>
      </c>
      <c r="D110" s="155"/>
      <c r="E110" s="155"/>
      <c r="F110" s="119" t="s">
        <v>2411</v>
      </c>
      <c r="G110" s="119" t="s">
        <v>2412</v>
      </c>
      <c r="H110" s="120">
        <v>24.0</v>
      </c>
      <c r="I110" s="156">
        <v>0.195</v>
      </c>
      <c r="K110" s="123">
        <v>9.678491496537026</v>
      </c>
      <c r="L110" s="123">
        <f t="shared" si="1"/>
        <v>8.710642347</v>
      </c>
      <c r="M110" s="123">
        <v>15.88</v>
      </c>
    </row>
    <row r="111" ht="14.25" customHeight="1">
      <c r="A111" s="134" t="s">
        <v>2407</v>
      </c>
      <c r="B111" s="134" t="s">
        <v>2407</v>
      </c>
      <c r="C111" s="154" t="s">
        <v>2408</v>
      </c>
      <c r="D111" s="155"/>
      <c r="E111" s="155"/>
      <c r="F111" s="119" t="s">
        <v>2413</v>
      </c>
      <c r="G111" s="119" t="s">
        <v>2414</v>
      </c>
      <c r="H111" s="120">
        <v>24.0</v>
      </c>
      <c r="I111" s="156">
        <v>0.195</v>
      </c>
      <c r="K111" s="123">
        <v>9.678491496537026</v>
      </c>
      <c r="L111" s="123">
        <f t="shared" si="1"/>
        <v>8.710642347</v>
      </c>
      <c r="M111" s="123">
        <v>15.88</v>
      </c>
    </row>
    <row r="112" ht="14.25" customHeight="1">
      <c r="A112" s="134" t="s">
        <v>2407</v>
      </c>
      <c r="B112" s="134" t="s">
        <v>2407</v>
      </c>
      <c r="C112" s="154" t="s">
        <v>2408</v>
      </c>
      <c r="D112" s="155"/>
      <c r="E112" s="155"/>
      <c r="F112" s="119" t="s">
        <v>2415</v>
      </c>
      <c r="G112" s="119" t="s">
        <v>2416</v>
      </c>
      <c r="H112" s="120">
        <v>24.0</v>
      </c>
      <c r="I112" s="156">
        <v>0.195</v>
      </c>
      <c r="K112" s="123">
        <v>9.678491496537026</v>
      </c>
      <c r="L112" s="123">
        <f t="shared" si="1"/>
        <v>8.710642347</v>
      </c>
      <c r="M112" s="123">
        <v>15.88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2023-02-14T14:05:12Z</dcterms:created>
  <dc:creator>Jaqueline Marques</dc:creator>
</cp:coreProperties>
</file>