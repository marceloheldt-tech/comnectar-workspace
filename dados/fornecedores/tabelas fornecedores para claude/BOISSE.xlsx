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ce\Desktop\"/>
    </mc:Choice>
  </mc:AlternateContent>
  <bookViews>
    <workbookView xWindow="-120" yWindow="-120" windowWidth="29040" windowHeight="1584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6" i="1" l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22" i="1"/>
  <c r="E21" i="1"/>
  <c r="E20" i="1"/>
  <c r="E19" i="1"/>
  <c r="E15" i="1"/>
  <c r="E14" i="1"/>
  <c r="E13" i="1"/>
  <c r="E12" i="1"/>
  <c r="E197" i="1"/>
  <c r="E196" i="1"/>
  <c r="E155" i="1"/>
  <c r="E154" i="1"/>
  <c r="E153" i="1"/>
  <c r="E127" i="1"/>
  <c r="E126" i="1"/>
  <c r="E30" i="1"/>
  <c r="E8" i="1"/>
  <c r="E7" i="1"/>
  <c r="E6" i="1"/>
  <c r="E71" i="1"/>
  <c r="E72" i="1"/>
  <c r="E73" i="1"/>
  <c r="E74" i="1"/>
  <c r="E54" i="1"/>
  <c r="E75" i="1"/>
  <c r="E152" i="1"/>
  <c r="E149" i="1"/>
  <c r="E147" i="1"/>
  <c r="E146" i="1"/>
  <c r="E145" i="1"/>
  <c r="E144" i="1"/>
  <c r="E143" i="1"/>
  <c r="E82" i="1"/>
  <c r="E81" i="1"/>
  <c r="E85" i="1"/>
  <c r="E76" i="1"/>
  <c r="E84" i="1"/>
  <c r="E65" i="1"/>
  <c r="E64" i="1"/>
  <c r="E63" i="1"/>
  <c r="E62" i="1"/>
  <c r="E61" i="1"/>
  <c r="E60" i="1"/>
  <c r="E59" i="1"/>
  <c r="E58" i="1"/>
  <c r="E57" i="1"/>
  <c r="E56" i="1"/>
  <c r="E55" i="1"/>
  <c r="E53" i="1"/>
  <c r="E52" i="1"/>
  <c r="E51" i="1"/>
  <c r="E50" i="1"/>
</calcChain>
</file>

<file path=xl/sharedStrings.xml><?xml version="1.0" encoding="utf-8"?>
<sst xmlns="http://schemas.openxmlformats.org/spreadsheetml/2006/main" count="182" uniqueCount="180">
  <si>
    <t>SAINT EMILLION GRAND CRU</t>
  </si>
  <si>
    <r>
      <t xml:space="preserve">CHATEAU DE LISSE </t>
    </r>
    <r>
      <rPr>
        <b/>
        <sz val="11"/>
        <color theme="1"/>
        <rFont val="Aptos Narrow"/>
        <family val="2"/>
        <scheme val="minor"/>
      </rPr>
      <t>2016</t>
    </r>
    <r>
      <rPr>
        <sz val="11"/>
        <color theme="1"/>
        <rFont val="Aptos Narrow"/>
        <family val="2"/>
        <scheme val="minor"/>
      </rPr>
      <t xml:space="preserve"> CX MADEIRA C/6</t>
    </r>
  </si>
  <si>
    <r>
      <t xml:space="preserve">CHATEAU ROC DE BOISSEAUX </t>
    </r>
    <r>
      <rPr>
        <b/>
        <sz val="11"/>
        <color theme="1"/>
        <rFont val="Aptos Narrow"/>
        <family val="2"/>
        <scheme val="minor"/>
      </rPr>
      <t>2015</t>
    </r>
    <r>
      <rPr>
        <sz val="11"/>
        <color theme="1"/>
        <rFont val="Aptos Narrow"/>
        <family val="2"/>
        <scheme val="minor"/>
      </rPr>
      <t xml:space="preserve"> CX MADEIRA C/12</t>
    </r>
  </si>
  <si>
    <r>
      <t xml:space="preserve">INTUITION DE FLEUR CARDINALE </t>
    </r>
    <r>
      <rPr>
        <b/>
        <sz val="11"/>
        <color theme="1"/>
        <rFont val="Aptos Narrow"/>
        <family val="2"/>
        <scheme val="minor"/>
      </rPr>
      <t>2019</t>
    </r>
    <r>
      <rPr>
        <sz val="11"/>
        <color theme="1"/>
        <rFont val="Aptos Narrow"/>
        <family val="2"/>
        <scheme val="minor"/>
      </rPr>
      <t xml:space="preserve"> CX MADEIRA C/6</t>
    </r>
  </si>
  <si>
    <r>
      <t xml:space="preserve">MARGAUX DE BRANE CANTENAC CX C/6 </t>
    </r>
    <r>
      <rPr>
        <b/>
        <sz val="11"/>
        <color theme="1"/>
        <rFont val="Aptos Narrow"/>
        <family val="2"/>
        <scheme val="minor"/>
      </rPr>
      <t>2016</t>
    </r>
  </si>
  <si>
    <r>
      <t>MARGAUX DE BRANE CANTENAC CX C/6</t>
    </r>
    <r>
      <rPr>
        <b/>
        <sz val="11"/>
        <color theme="1"/>
        <rFont val="Aptos Narrow"/>
        <family val="2"/>
        <scheme val="minor"/>
      </rPr>
      <t xml:space="preserve"> 2017</t>
    </r>
  </si>
  <si>
    <r>
      <t xml:space="preserve">G D'ESTOURNEL </t>
    </r>
    <r>
      <rPr>
        <b/>
        <sz val="11"/>
        <color theme="1"/>
        <rFont val="Aptos Narrow"/>
        <family val="2"/>
        <scheme val="minor"/>
      </rPr>
      <t>2020</t>
    </r>
    <r>
      <rPr>
        <sz val="11"/>
        <color theme="1"/>
        <rFont val="Aptos Narrow"/>
        <family val="2"/>
        <scheme val="minor"/>
      </rPr>
      <t xml:space="preserve"> CX MADEIRA C/6</t>
    </r>
  </si>
  <si>
    <t>MADAME DE BEAUCAILLOU 2018 CX C/6</t>
  </si>
  <si>
    <r>
      <t xml:space="preserve">CHATEAU GAUDIN </t>
    </r>
    <r>
      <rPr>
        <b/>
        <sz val="11"/>
        <color theme="1"/>
        <rFont val="Aptos Narrow"/>
        <family val="2"/>
        <scheme val="minor"/>
      </rPr>
      <t>2020</t>
    </r>
    <r>
      <rPr>
        <sz val="11"/>
        <color theme="1"/>
        <rFont val="Aptos Narrow"/>
        <family val="2"/>
        <scheme val="minor"/>
      </rPr>
      <t xml:space="preserve"> (PAUILLAC) CX C/6 </t>
    </r>
    <r>
      <rPr>
        <b/>
        <sz val="11"/>
        <color theme="1"/>
        <rFont val="Aptos Narrow"/>
        <family val="2"/>
        <scheme val="minor"/>
      </rPr>
      <t>92 PONTOS DECANTER</t>
    </r>
  </si>
  <si>
    <r>
      <t xml:space="preserve">DAME DE MONTROSE </t>
    </r>
    <r>
      <rPr>
        <b/>
        <sz val="11"/>
        <color theme="1"/>
        <rFont val="Aptos Narrow"/>
        <family val="2"/>
        <scheme val="minor"/>
      </rPr>
      <t>2013</t>
    </r>
    <r>
      <rPr>
        <sz val="11"/>
        <color theme="1"/>
        <rFont val="Aptos Narrow"/>
        <family val="2"/>
        <scheme val="minor"/>
      </rPr>
      <t xml:space="preserve"> CX MADEIRA C /6</t>
    </r>
  </si>
  <si>
    <r>
      <t xml:space="preserve">CHATEAU ANGELUS </t>
    </r>
    <r>
      <rPr>
        <b/>
        <sz val="11"/>
        <color theme="1"/>
        <rFont val="Aptos Narrow"/>
        <family val="2"/>
        <scheme val="minor"/>
      </rPr>
      <t>2013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</si>
  <si>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MEURSAULT CLOS DU CROMIN </t>
    </r>
    <r>
      <rPr>
        <b/>
        <sz val="11"/>
        <color theme="1"/>
        <rFont val="Aptos Narrow"/>
        <family val="2"/>
        <scheme val="minor"/>
      </rPr>
      <t>2022</t>
    </r>
    <r>
      <rPr>
        <sz val="11"/>
        <color theme="1"/>
        <rFont val="Aptos Narrow"/>
        <family val="2"/>
        <scheme val="minor"/>
      </rPr>
      <t xml:space="preserve"> DOMAINE JEAN MONNIER CX MADEIRA C/6</t>
    </r>
  </si>
  <si>
    <r>
      <t xml:space="preserve">BOURGOGNE CHARDONNAY CUVEE VINCENT </t>
    </r>
    <r>
      <rPr>
        <b/>
        <sz val="11"/>
        <color theme="1"/>
        <rFont val="Aptos Narrow"/>
        <family val="2"/>
        <scheme val="minor"/>
      </rPr>
      <t>2022</t>
    </r>
    <r>
      <rPr>
        <sz val="11"/>
        <color theme="1"/>
        <rFont val="Aptos Narrow"/>
        <family val="2"/>
        <scheme val="minor"/>
      </rPr>
      <t xml:space="preserve"> VINCENT GIRARDIN CXC/6</t>
    </r>
  </si>
  <si>
    <r>
      <t xml:space="preserve">BOURGOGNE PINOT NOIR CUVEE ST VINCENT </t>
    </r>
    <r>
      <rPr>
        <b/>
        <sz val="11"/>
        <color theme="1"/>
        <rFont val="Aptos Narrow"/>
        <family val="2"/>
        <scheme val="minor"/>
      </rPr>
      <t>2022</t>
    </r>
    <r>
      <rPr>
        <sz val="11"/>
        <color theme="1"/>
        <rFont val="Aptos Narrow"/>
        <family val="2"/>
        <scheme val="minor"/>
      </rPr>
      <t xml:space="preserve"> VINCENTGIRARDIN CX C/6</t>
    </r>
  </si>
  <si>
    <r>
      <t xml:space="preserve">MERSAULT VIEILLES VIGNES </t>
    </r>
    <r>
      <rPr>
        <b/>
        <sz val="11"/>
        <color theme="1"/>
        <rFont val="Aptos Narrow"/>
        <family val="2"/>
        <scheme val="minor"/>
      </rPr>
      <t>2022</t>
    </r>
    <r>
      <rPr>
        <sz val="11"/>
        <color theme="1"/>
        <rFont val="Aptos Narrow"/>
        <family val="2"/>
        <scheme val="minor"/>
      </rPr>
      <t xml:space="preserve"> VINCENTIN GIRARDIN</t>
    </r>
  </si>
  <si>
    <r>
      <t xml:space="preserve">PULLIGNY MONTRACHET </t>
    </r>
    <r>
      <rPr>
        <b/>
        <sz val="11"/>
        <color theme="1"/>
        <rFont val="Aptos Narrow"/>
        <family val="2"/>
        <scheme val="minor"/>
      </rPr>
      <t>2022</t>
    </r>
    <r>
      <rPr>
        <sz val="11"/>
        <color theme="1"/>
        <rFont val="Aptos Narrow"/>
        <family val="2"/>
        <scheme val="minor"/>
      </rPr>
      <t xml:space="preserve"> VINCENT GIRARDIN CX C/6</t>
    </r>
  </si>
  <si>
    <r>
      <t xml:space="preserve">BOURGOGNE PINOT NOIR </t>
    </r>
    <r>
      <rPr>
        <b/>
        <sz val="11"/>
        <color theme="1"/>
        <rFont val="Aptos Narrow"/>
        <family val="2"/>
        <scheme val="minor"/>
      </rPr>
      <t>2023</t>
    </r>
    <r>
      <rPr>
        <sz val="11"/>
        <color theme="1"/>
        <rFont val="Aptos Narrow"/>
        <family val="2"/>
        <scheme val="minor"/>
      </rPr>
      <t xml:space="preserve"> DUFOULEUR CX C/6</t>
    </r>
  </si>
  <si>
    <r>
      <t xml:space="preserve">BOURGOGNE CHARDONNAY </t>
    </r>
    <r>
      <rPr>
        <b/>
        <sz val="11"/>
        <color theme="1"/>
        <rFont val="Aptos Narrow"/>
        <family val="2"/>
        <scheme val="minor"/>
      </rPr>
      <t>2023</t>
    </r>
    <r>
      <rPr>
        <sz val="11"/>
        <color theme="1"/>
        <rFont val="Aptos Narrow"/>
        <family val="2"/>
        <scheme val="minor"/>
      </rPr>
      <t xml:space="preserve"> DUFOULEUR</t>
    </r>
  </si>
  <si>
    <r>
      <t xml:space="preserve">BELLEVUE FAVEREAU </t>
    </r>
    <r>
      <rPr>
        <b/>
        <sz val="11"/>
        <color theme="1"/>
        <rFont val="Aptos Narrow"/>
        <family val="2"/>
        <scheme val="minor"/>
      </rPr>
      <t>2019</t>
    </r>
    <r>
      <rPr>
        <sz val="11"/>
        <color theme="1"/>
        <rFont val="Aptos Narrow"/>
        <family val="2"/>
        <scheme val="minor"/>
      </rPr>
      <t xml:space="preserve"> CX MADIERA C/6</t>
    </r>
  </si>
  <si>
    <r>
      <t xml:space="preserve">BELLEVUE CLARIBES </t>
    </r>
    <r>
      <rPr>
        <b/>
        <sz val="11"/>
        <color theme="1"/>
        <rFont val="Aptos Narrow"/>
        <family val="2"/>
        <scheme val="minor"/>
      </rPr>
      <t>2020</t>
    </r>
    <r>
      <rPr>
        <sz val="11"/>
        <color theme="1"/>
        <rFont val="Aptos Narrow"/>
        <family val="2"/>
        <scheme val="minor"/>
      </rPr>
      <t xml:space="preserve"> CX MADEIRA  C/6</t>
    </r>
  </si>
  <si>
    <r>
      <t xml:space="preserve">ROC DE BIGORRE </t>
    </r>
    <r>
      <rPr>
        <b/>
        <sz val="11"/>
        <color theme="1"/>
        <rFont val="Aptos Narrow"/>
        <family val="2"/>
        <scheme val="minor"/>
      </rPr>
      <t>2020</t>
    </r>
    <r>
      <rPr>
        <sz val="11"/>
        <color theme="1"/>
        <rFont val="Aptos Narrow"/>
        <family val="2"/>
        <scheme val="minor"/>
      </rPr>
      <t xml:space="preserve"> CX MADEIRA C/6</t>
    </r>
  </si>
  <si>
    <r>
      <t>LORANFERIE DE CH RAHOUL</t>
    </r>
    <r>
      <rPr>
        <b/>
        <sz val="11"/>
        <color theme="1"/>
        <rFont val="Aptos Narrow"/>
        <family val="2"/>
        <scheme val="minor"/>
      </rPr>
      <t xml:space="preserve"> 2015</t>
    </r>
    <r>
      <rPr>
        <sz val="11"/>
        <color theme="1"/>
        <rFont val="Aptos Narrow"/>
        <family val="2"/>
        <scheme val="minor"/>
      </rPr>
      <t xml:space="preserve"> CX MADEIRA C/6</t>
    </r>
  </si>
  <si>
    <r>
      <t xml:space="preserve">CHATEAU FOURNEY </t>
    </r>
    <r>
      <rPr>
        <b/>
        <sz val="11"/>
        <color theme="1"/>
        <rFont val="Aptos Narrow"/>
        <family val="2"/>
        <scheme val="minor"/>
      </rPr>
      <t>2014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2015</t>
    </r>
    <r>
      <rPr>
        <sz val="11"/>
        <color theme="1"/>
        <rFont val="Aptos Narrow"/>
        <family val="2"/>
        <scheme val="minor"/>
      </rPr>
      <t xml:space="preserve"> MAGNUM</t>
    </r>
  </si>
  <si>
    <t>PETITE MARQUISE 750ML 2016</t>
  </si>
  <si>
    <r>
      <t xml:space="preserve">PETITE MARQUISE 1,5L </t>
    </r>
    <r>
      <rPr>
        <b/>
        <sz val="11"/>
        <color theme="1"/>
        <rFont val="Aptos Narrow"/>
        <family val="2"/>
        <scheme val="minor"/>
      </rPr>
      <t>2020</t>
    </r>
  </si>
  <si>
    <r>
      <t xml:space="preserve">PETITE MARQUISE 3L </t>
    </r>
    <r>
      <rPr>
        <b/>
        <sz val="11"/>
        <color theme="1"/>
        <rFont val="Aptos Narrow"/>
        <family val="2"/>
        <scheme val="minor"/>
      </rPr>
      <t>2020</t>
    </r>
  </si>
  <si>
    <r>
      <t xml:space="preserve">PETITE MARQUISE 5L </t>
    </r>
    <r>
      <rPr>
        <b/>
        <sz val="11"/>
        <color theme="1"/>
        <rFont val="Aptos Narrow"/>
        <family val="2"/>
        <scheme val="minor"/>
      </rPr>
      <t>2020</t>
    </r>
  </si>
  <si>
    <t xml:space="preserve">GIACOMO FENOCCHIO </t>
  </si>
  <si>
    <r>
      <t xml:space="preserve">G D'ESTOURNEL </t>
    </r>
    <r>
      <rPr>
        <b/>
        <sz val="11"/>
        <color theme="1"/>
        <rFont val="Aptos Narrow"/>
        <family val="2"/>
        <scheme val="minor"/>
      </rPr>
      <t>2020</t>
    </r>
    <r>
      <rPr>
        <sz val="11"/>
        <color theme="1"/>
        <rFont val="Aptos Narrow"/>
        <family val="2"/>
        <scheme val="minor"/>
      </rPr>
      <t xml:space="preserve"> 1,5L</t>
    </r>
  </si>
  <si>
    <r>
      <t>BAROLO</t>
    </r>
    <r>
      <rPr>
        <b/>
        <sz val="11"/>
        <color theme="1"/>
        <rFont val="Aptos Narrow"/>
        <family val="2"/>
        <scheme val="minor"/>
      </rPr>
      <t xml:space="preserve"> 2020</t>
    </r>
    <r>
      <rPr>
        <sz val="11"/>
        <color theme="1"/>
        <rFont val="Aptos Narrow"/>
        <family val="2"/>
        <scheme val="minor"/>
      </rPr>
      <t xml:space="preserve"> 750ML</t>
    </r>
  </si>
  <si>
    <r>
      <t xml:space="preserve">BAROLO BUSSIA </t>
    </r>
    <r>
      <rPr>
        <b/>
        <sz val="11"/>
        <color theme="1"/>
        <rFont val="Aptos Narrow"/>
        <family val="2"/>
        <scheme val="minor"/>
      </rPr>
      <t>2020</t>
    </r>
    <r>
      <rPr>
        <sz val="11"/>
        <color theme="1"/>
        <rFont val="Aptos Narrow"/>
        <family val="2"/>
        <scheme val="minor"/>
      </rPr>
      <t xml:space="preserve"> 750 ML </t>
    </r>
  </si>
  <si>
    <r>
      <t xml:space="preserve">BAROLO BUSSIA </t>
    </r>
    <r>
      <rPr>
        <b/>
        <sz val="11"/>
        <color theme="1"/>
        <rFont val="Aptos Narrow"/>
        <family val="2"/>
        <scheme val="minor"/>
      </rPr>
      <t>2020</t>
    </r>
    <r>
      <rPr>
        <sz val="11"/>
        <color theme="1"/>
        <rFont val="Aptos Narrow"/>
        <family val="2"/>
        <scheme val="minor"/>
      </rPr>
      <t xml:space="preserve"> 1,5 LT</t>
    </r>
  </si>
  <si>
    <r>
      <t>LANGUE NEBIOLLO</t>
    </r>
    <r>
      <rPr>
        <b/>
        <sz val="11"/>
        <color theme="1"/>
        <rFont val="Aptos Narrow"/>
        <family val="2"/>
        <scheme val="minor"/>
      </rPr>
      <t xml:space="preserve"> 2022</t>
    </r>
    <r>
      <rPr>
        <sz val="11"/>
        <color theme="1"/>
        <rFont val="Aptos Narrow"/>
        <family val="2"/>
        <scheme val="minor"/>
      </rPr>
      <t xml:space="preserve"> </t>
    </r>
  </si>
  <si>
    <r>
      <t xml:space="preserve">BARBERA D'ALBA </t>
    </r>
    <r>
      <rPr>
        <b/>
        <sz val="11"/>
        <color theme="1"/>
        <rFont val="Aptos Narrow"/>
        <family val="2"/>
        <scheme val="minor"/>
      </rPr>
      <t>2022</t>
    </r>
  </si>
  <si>
    <r>
      <t xml:space="preserve">ROERO ARNEIS </t>
    </r>
    <r>
      <rPr>
        <b/>
        <sz val="11"/>
        <color theme="1"/>
        <rFont val="Aptos Narrow"/>
        <family val="2"/>
        <scheme val="minor"/>
      </rPr>
      <t>2023</t>
    </r>
    <r>
      <rPr>
        <sz val="11"/>
        <color theme="1"/>
        <rFont val="Aptos Narrow"/>
        <family val="2"/>
        <scheme val="minor"/>
      </rPr>
      <t xml:space="preserve"> BRANCO </t>
    </r>
  </si>
  <si>
    <r>
      <t>BIBI GRAETZ TESTAMATTA</t>
    </r>
    <r>
      <rPr>
        <b/>
        <sz val="11"/>
        <color theme="1"/>
        <rFont val="Aptos Narrow"/>
        <family val="2"/>
        <scheme val="minor"/>
      </rPr>
      <t xml:space="preserve"> 2019 </t>
    </r>
    <r>
      <rPr>
        <sz val="11"/>
        <color theme="1"/>
        <rFont val="Aptos Narrow"/>
        <family val="2"/>
        <scheme val="minor"/>
      </rPr>
      <t>750 ML</t>
    </r>
  </si>
  <si>
    <r>
      <t xml:space="preserve">BIBI GRAETZ TESTAMATTA </t>
    </r>
    <r>
      <rPr>
        <b/>
        <sz val="11"/>
        <color theme="1"/>
        <rFont val="Aptos Narrow"/>
        <family val="2"/>
        <scheme val="minor"/>
      </rPr>
      <t>2019</t>
    </r>
    <r>
      <rPr>
        <sz val="11"/>
        <color theme="1"/>
        <rFont val="Aptos Narrow"/>
        <family val="2"/>
        <scheme val="minor"/>
      </rPr>
      <t xml:space="preserve"> 1,5ML</t>
    </r>
  </si>
  <si>
    <r>
      <t xml:space="preserve">BIBI GRAETZ TESTAMATTA </t>
    </r>
    <r>
      <rPr>
        <b/>
        <sz val="11"/>
        <color theme="1"/>
        <rFont val="Aptos Narrow"/>
        <family val="2"/>
        <scheme val="minor"/>
      </rPr>
      <t>2019</t>
    </r>
    <r>
      <rPr>
        <sz val="11"/>
        <color theme="1"/>
        <rFont val="Aptos Narrow"/>
        <family val="2"/>
        <scheme val="minor"/>
      </rPr>
      <t xml:space="preserve"> 3LT</t>
    </r>
  </si>
  <si>
    <r>
      <t xml:space="preserve">COLORE </t>
    </r>
    <r>
      <rPr>
        <b/>
        <sz val="11"/>
        <color theme="1"/>
        <rFont val="Aptos Narrow"/>
        <family val="2"/>
        <scheme val="minor"/>
      </rPr>
      <t>2019</t>
    </r>
    <r>
      <rPr>
        <sz val="11"/>
        <color theme="1"/>
        <rFont val="Aptos Narrow"/>
        <family val="2"/>
        <scheme val="minor"/>
      </rPr>
      <t xml:space="preserve"> 750ML</t>
    </r>
  </si>
  <si>
    <r>
      <t xml:space="preserve">COLORE </t>
    </r>
    <r>
      <rPr>
        <b/>
        <sz val="11"/>
        <color theme="1"/>
        <rFont val="Aptos Narrow"/>
        <family val="2"/>
        <scheme val="minor"/>
      </rPr>
      <t>2019</t>
    </r>
    <r>
      <rPr>
        <sz val="11"/>
        <color theme="1"/>
        <rFont val="Aptos Narrow"/>
        <family val="2"/>
        <scheme val="minor"/>
      </rPr>
      <t xml:space="preserve"> 1,5LT</t>
    </r>
  </si>
  <si>
    <r>
      <t xml:space="preserve">COLORE </t>
    </r>
    <r>
      <rPr>
        <b/>
        <sz val="11"/>
        <color theme="1"/>
        <rFont val="Aptos Narrow"/>
        <family val="2"/>
        <scheme val="minor"/>
      </rPr>
      <t>2019</t>
    </r>
    <r>
      <rPr>
        <sz val="11"/>
        <color theme="1"/>
        <rFont val="Aptos Narrow"/>
        <family val="2"/>
        <scheme val="minor"/>
      </rPr>
      <t xml:space="preserve"> 3LT</t>
    </r>
  </si>
  <si>
    <r>
      <t xml:space="preserve">DOLCETTO D'ALBA </t>
    </r>
    <r>
      <rPr>
        <b/>
        <sz val="11"/>
        <color theme="1"/>
        <rFont val="Aptos Narrow"/>
        <family val="2"/>
        <scheme val="minor"/>
      </rPr>
      <t>2023</t>
    </r>
  </si>
  <si>
    <t>TABELA BOISSE - FATURAMENTO RJ ICMS 4%</t>
  </si>
  <si>
    <t>C.UNIT</t>
  </si>
  <si>
    <t>IPI</t>
  </si>
  <si>
    <t>F.COM IPI</t>
  </si>
  <si>
    <r>
      <t xml:space="preserve">CORTON GRAND CRU </t>
    </r>
    <r>
      <rPr>
        <b/>
        <sz val="11"/>
        <color theme="1"/>
        <rFont val="Aptos Narrow"/>
        <family val="2"/>
        <scheme val="minor"/>
      </rPr>
      <t>2018</t>
    </r>
    <r>
      <rPr>
        <sz val="11"/>
        <color theme="1"/>
        <rFont val="Aptos Narrow"/>
        <family val="2"/>
        <scheme val="minor"/>
      </rPr>
      <t xml:space="preserve"> VINCENT GIRARDIN TINTO 750ML</t>
    </r>
  </si>
  <si>
    <r>
      <t xml:space="preserve">BEAUNE 1ER CRU </t>
    </r>
    <r>
      <rPr>
        <b/>
        <sz val="11"/>
        <color theme="1"/>
        <rFont val="Aptos Narrow"/>
        <family val="2"/>
        <scheme val="minor"/>
      </rPr>
      <t>2017</t>
    </r>
    <r>
      <rPr>
        <sz val="11"/>
        <color theme="1"/>
        <rFont val="Aptos Narrow"/>
        <family val="2"/>
        <scheme val="minor"/>
      </rPr>
      <t xml:space="preserve"> BOUCHARD PERE ET FILS 750ML</t>
    </r>
  </si>
  <si>
    <r>
      <t xml:space="preserve">BEAUNE 1ER CRU </t>
    </r>
    <r>
      <rPr>
        <b/>
        <sz val="11"/>
        <color theme="1"/>
        <rFont val="Aptos Narrow"/>
        <family val="2"/>
        <scheme val="minor"/>
      </rPr>
      <t>2018</t>
    </r>
    <r>
      <rPr>
        <sz val="11"/>
        <color theme="1"/>
        <rFont val="Aptos Narrow"/>
        <family val="2"/>
        <scheme val="minor"/>
      </rPr>
      <t xml:space="preserve"> BOUCHARD PERE ET FILS 750ML</t>
    </r>
  </si>
  <si>
    <r>
      <t xml:space="preserve">MONTHELIE </t>
    </r>
    <r>
      <rPr>
        <b/>
        <sz val="11"/>
        <color theme="1"/>
        <rFont val="Aptos Narrow"/>
        <family val="2"/>
        <scheme val="minor"/>
      </rPr>
      <t>2018</t>
    </r>
    <r>
      <rPr>
        <sz val="11"/>
        <color theme="1"/>
        <rFont val="Aptos Narrow"/>
        <family val="2"/>
        <scheme val="minor"/>
      </rPr>
      <t xml:space="preserve"> BOUCHARD PERE ET FILS 750ML</t>
    </r>
  </si>
  <si>
    <t>PIERROUSSELLE BRANCO CX C/6</t>
  </si>
  <si>
    <r>
      <t xml:space="preserve">LA DAME DE MONTROSE </t>
    </r>
    <r>
      <rPr>
        <b/>
        <sz val="11"/>
        <color theme="1"/>
        <rFont val="Aptos Narrow"/>
        <family val="2"/>
        <scheme val="minor"/>
      </rPr>
      <t>2014</t>
    </r>
    <r>
      <rPr>
        <sz val="11"/>
        <color theme="1"/>
        <rFont val="Aptos Narrow"/>
        <family val="2"/>
        <scheme val="minor"/>
      </rPr>
      <t xml:space="preserve"> 1500ML CX DE MADEIRA 3 UNID</t>
    </r>
  </si>
  <si>
    <r>
      <t xml:space="preserve">MASSETO </t>
    </r>
    <r>
      <rPr>
        <b/>
        <sz val="11"/>
        <color theme="1"/>
        <rFont val="Aptos Narrow"/>
        <family val="2"/>
        <scheme val="minor"/>
      </rPr>
      <t>2021</t>
    </r>
    <r>
      <rPr>
        <sz val="11"/>
        <color theme="1"/>
        <rFont val="Aptos Narrow"/>
        <family val="2"/>
        <scheme val="minor"/>
      </rPr>
      <t xml:space="preserve"> 1500ML CX DE MADEIRA 1 UNID</t>
    </r>
  </si>
  <si>
    <r>
      <t xml:space="preserve">MASSETO </t>
    </r>
    <r>
      <rPr>
        <b/>
        <sz val="11"/>
        <color theme="1"/>
        <rFont val="Aptos Narrow"/>
        <family val="2"/>
        <scheme val="minor"/>
      </rPr>
      <t>2021</t>
    </r>
    <r>
      <rPr>
        <sz val="11"/>
        <color theme="1"/>
        <rFont val="Aptos Narrow"/>
        <family val="2"/>
        <scheme val="minor"/>
      </rPr>
      <t xml:space="preserve"> 3000ML CX DE MADEIRA 1 UNID</t>
    </r>
  </si>
  <si>
    <r>
      <t xml:space="preserve">PETIT SMITH HAUT LAFITTE </t>
    </r>
    <r>
      <rPr>
        <b/>
        <sz val="11"/>
        <color theme="1"/>
        <rFont val="Aptos Narrow"/>
        <family val="2"/>
        <scheme val="minor"/>
      </rPr>
      <t>2019</t>
    </r>
    <r>
      <rPr>
        <sz val="11"/>
        <color theme="1"/>
        <rFont val="Aptos Narrow"/>
        <family val="2"/>
        <scheme val="minor"/>
      </rPr>
      <t xml:space="preserve"> 750ML CX DE MADEIRA 6 UNID</t>
    </r>
  </si>
  <si>
    <r>
      <t xml:space="preserve">CHATEAU SMITH HAUT LAFITTE </t>
    </r>
    <r>
      <rPr>
        <b/>
        <sz val="11"/>
        <color theme="1"/>
        <rFont val="Aptos Narrow"/>
        <family val="2"/>
        <scheme val="minor"/>
      </rPr>
      <t>2014</t>
    </r>
    <r>
      <rPr>
        <sz val="11"/>
        <color theme="1"/>
        <rFont val="Aptos Narrow"/>
        <family val="2"/>
        <scheme val="minor"/>
      </rPr>
      <t xml:space="preserve"> 1500ML CX MADEIRA 6 UNID</t>
    </r>
  </si>
  <si>
    <r>
      <t>CHATEAU SMITH HAUT LAFITTE</t>
    </r>
    <r>
      <rPr>
        <b/>
        <sz val="11"/>
        <color theme="1"/>
        <rFont val="Aptos Narrow"/>
        <family val="2"/>
        <scheme val="minor"/>
      </rPr>
      <t xml:space="preserve"> 2014 </t>
    </r>
    <r>
      <rPr>
        <sz val="11"/>
        <color theme="1"/>
        <rFont val="Aptos Narrow"/>
        <family val="2"/>
        <scheme val="minor"/>
      </rPr>
      <t>750ML CX DE MADEIRA 6 UNID</t>
    </r>
  </si>
  <si>
    <r>
      <t xml:space="preserve">BORDEAUX BRANCO LUNE D'ARGENT </t>
    </r>
    <r>
      <rPr>
        <b/>
        <sz val="11"/>
        <color theme="1"/>
        <rFont val="Aptos Narrow"/>
        <family val="2"/>
        <scheme val="minor"/>
      </rPr>
      <t>2023</t>
    </r>
    <r>
      <rPr>
        <sz val="11"/>
        <color theme="1"/>
        <rFont val="Aptos Narrow"/>
        <family val="2"/>
        <scheme val="minor"/>
      </rPr>
      <t xml:space="preserve"> 750ML </t>
    </r>
  </si>
  <si>
    <r>
      <t xml:space="preserve">ALMAVIVA </t>
    </r>
    <r>
      <rPr>
        <b/>
        <sz val="11"/>
        <color theme="1"/>
        <rFont val="Aptos Narrow"/>
        <family val="2"/>
        <scheme val="minor"/>
      </rPr>
      <t>2022</t>
    </r>
    <r>
      <rPr>
        <sz val="11"/>
        <color theme="1"/>
        <rFont val="Aptos Narrow"/>
        <family val="2"/>
        <scheme val="minor"/>
      </rPr>
      <t xml:space="preserve"> 750ML CX DE MADEIRA 6 UNID</t>
    </r>
  </si>
  <si>
    <r>
      <t xml:space="preserve">ECHO LYNCH BAGES </t>
    </r>
    <r>
      <rPr>
        <b/>
        <sz val="11"/>
        <color theme="1"/>
        <rFont val="Aptos Narrow"/>
        <family val="2"/>
        <scheme val="minor"/>
      </rPr>
      <t>2022</t>
    </r>
    <r>
      <rPr>
        <sz val="11"/>
        <color theme="1"/>
        <rFont val="Aptos Narrow"/>
        <family val="2"/>
        <scheme val="minor"/>
      </rPr>
      <t xml:space="preserve"> 750ML CX DE MADEIRA 6 UNID</t>
    </r>
  </si>
  <si>
    <r>
      <t xml:space="preserve">CHATEAU TALBOT </t>
    </r>
    <r>
      <rPr>
        <b/>
        <sz val="11"/>
        <color theme="1"/>
        <rFont val="Aptos Narrow"/>
        <family val="2"/>
        <scheme val="minor"/>
      </rPr>
      <t>2021</t>
    </r>
    <r>
      <rPr>
        <sz val="11"/>
        <color theme="1"/>
        <rFont val="Aptos Narrow"/>
        <family val="2"/>
        <scheme val="minor"/>
      </rPr>
      <t xml:space="preserve"> 750ML CX DE MADEIRA 6 UNID</t>
    </r>
  </si>
  <si>
    <r>
      <t xml:space="preserve">ORNELLAIA </t>
    </r>
    <r>
      <rPr>
        <b/>
        <sz val="11"/>
        <color theme="1"/>
        <rFont val="Aptos Narrow"/>
        <family val="2"/>
        <scheme val="minor"/>
      </rPr>
      <t>2021</t>
    </r>
    <r>
      <rPr>
        <sz val="11"/>
        <color theme="1"/>
        <rFont val="Aptos Narrow"/>
        <family val="2"/>
        <scheme val="minor"/>
      </rPr>
      <t xml:space="preserve"> 750ML CX DE MADEIRA 6 UNID</t>
    </r>
  </si>
  <si>
    <r>
      <t xml:space="preserve">ORNELLAIA </t>
    </r>
    <r>
      <rPr>
        <b/>
        <sz val="11"/>
        <color theme="1"/>
        <rFont val="Aptos Narrow"/>
        <family val="2"/>
        <scheme val="minor"/>
      </rPr>
      <t>2021</t>
    </r>
    <r>
      <rPr>
        <sz val="11"/>
        <color theme="1"/>
        <rFont val="Aptos Narrow"/>
        <family val="2"/>
        <scheme val="minor"/>
      </rPr>
      <t xml:space="preserve"> 1500ML CX MADEIRA 1 UNID</t>
    </r>
  </si>
  <si>
    <r>
      <t xml:space="preserve">VOLTE DELL ORNELLAIA </t>
    </r>
    <r>
      <rPr>
        <b/>
        <sz val="11"/>
        <color theme="1"/>
        <rFont val="Aptos Narrow"/>
        <family val="2"/>
        <scheme val="minor"/>
      </rPr>
      <t>2022</t>
    </r>
    <r>
      <rPr>
        <sz val="11"/>
        <color theme="1"/>
        <rFont val="Aptos Narrow"/>
        <family val="2"/>
        <scheme val="minor"/>
      </rPr>
      <t xml:space="preserve"> 750ML CX 6 UNID</t>
    </r>
  </si>
  <si>
    <r>
      <t xml:space="preserve">CHATEAU PAVIE </t>
    </r>
    <r>
      <rPr>
        <b/>
        <sz val="11"/>
        <color theme="1"/>
        <rFont val="Aptos Narrow"/>
        <family val="2"/>
        <scheme val="minor"/>
      </rPr>
      <t>2019</t>
    </r>
    <r>
      <rPr>
        <sz val="11"/>
        <color theme="1"/>
        <rFont val="Aptos Narrow"/>
        <family val="2"/>
        <scheme val="minor"/>
      </rPr>
      <t xml:space="preserve"> 750ML CX DE MADEIRA 6 UNID</t>
    </r>
  </si>
  <si>
    <r>
      <t xml:space="preserve">CHATEAU D'YQUEM </t>
    </r>
    <r>
      <rPr>
        <b/>
        <sz val="11"/>
        <color theme="1"/>
        <rFont val="Aptos Narrow"/>
        <family val="2"/>
        <scheme val="minor"/>
      </rPr>
      <t xml:space="preserve">2020 </t>
    </r>
    <r>
      <rPr>
        <sz val="11"/>
        <color theme="1"/>
        <rFont val="Aptos Narrow"/>
        <family val="2"/>
        <scheme val="minor"/>
      </rPr>
      <t>750ML CX DE MADEIRA</t>
    </r>
    <r>
      <rPr>
        <sz val="11"/>
        <color theme="1"/>
        <rFont val="Aptos Narrow"/>
        <family val="2"/>
        <scheme val="minor"/>
      </rPr>
      <t xml:space="preserve"> 6 UNID</t>
    </r>
  </si>
  <si>
    <r>
      <t xml:space="preserve">CHATEAU D'YQUEM </t>
    </r>
    <r>
      <rPr>
        <b/>
        <sz val="11"/>
        <color theme="1"/>
        <rFont val="Aptos Narrow"/>
        <family val="2"/>
        <scheme val="minor"/>
      </rPr>
      <t xml:space="preserve">2020 </t>
    </r>
    <r>
      <rPr>
        <sz val="11"/>
        <color theme="1"/>
        <rFont val="Aptos Narrow"/>
        <family val="2"/>
        <scheme val="minor"/>
      </rPr>
      <t>375ML CX DE MADEIRA</t>
    </r>
    <r>
      <rPr>
        <sz val="11"/>
        <color theme="1"/>
        <rFont val="Aptos Narrow"/>
        <family val="2"/>
        <scheme val="minor"/>
      </rPr>
      <t xml:space="preserve"> 6 UNID</t>
    </r>
  </si>
  <si>
    <r>
      <t xml:space="preserve">CHATEAU GISCOURS </t>
    </r>
    <r>
      <rPr>
        <b/>
        <sz val="11"/>
        <color theme="1"/>
        <rFont val="Aptos Narrow"/>
        <family val="2"/>
        <scheme val="minor"/>
      </rPr>
      <t>2021</t>
    </r>
    <r>
      <rPr>
        <sz val="11"/>
        <color theme="1"/>
        <rFont val="Aptos Narrow"/>
        <family val="2"/>
        <scheme val="minor"/>
      </rPr>
      <t xml:space="preserve"> 750ML CX DE MADEIRA 6 UNID</t>
    </r>
  </si>
  <si>
    <r>
      <t xml:space="preserve">CHATEAU GISCOURS </t>
    </r>
    <r>
      <rPr>
        <b/>
        <sz val="11"/>
        <color theme="1"/>
        <rFont val="Aptos Narrow"/>
        <family val="2"/>
        <scheme val="minor"/>
      </rPr>
      <t>2021</t>
    </r>
    <r>
      <rPr>
        <sz val="11"/>
        <color theme="1"/>
        <rFont val="Aptos Narrow"/>
        <family val="2"/>
        <scheme val="minor"/>
      </rPr>
      <t xml:space="preserve"> 1500ML CX DE MADEIRA 1 UNID</t>
    </r>
  </si>
  <si>
    <r>
      <t>TEMPO DE ANGELUS</t>
    </r>
    <r>
      <rPr>
        <b/>
        <sz val="11"/>
        <color theme="1"/>
        <rFont val="Aptos Narrow"/>
        <family val="2"/>
        <scheme val="minor"/>
      </rPr>
      <t xml:space="preserve"> 2021</t>
    </r>
    <r>
      <rPr>
        <sz val="11"/>
        <color theme="1"/>
        <rFont val="Aptos Narrow"/>
        <family val="2"/>
        <scheme val="minor"/>
      </rPr>
      <t xml:space="preserve"> 1,5LT </t>
    </r>
  </si>
  <si>
    <t>APENAS 2 UNIDADES</t>
  </si>
  <si>
    <t>APENAS 1 UNIDADE</t>
  </si>
  <si>
    <t>MENOS DE 30 UNIDADES</t>
  </si>
  <si>
    <t>MENOS DE 7 UNIDADES</t>
  </si>
  <si>
    <t>MENOS DE 5 UNIDADES</t>
  </si>
  <si>
    <t>MENOS DE 20 UNIDADES</t>
  </si>
  <si>
    <t>MENOS DE 60 UNIDADES</t>
  </si>
  <si>
    <t>APENAS 6 UNIDADES</t>
  </si>
  <si>
    <r>
      <t xml:space="preserve">CHATEAU ANGELUS </t>
    </r>
    <r>
      <rPr>
        <b/>
        <sz val="11"/>
        <color theme="1"/>
        <rFont val="Aptos Narrow"/>
        <family val="2"/>
        <scheme val="minor"/>
      </rPr>
      <t>2015</t>
    </r>
    <r>
      <rPr>
        <sz val="11"/>
        <color theme="1"/>
        <rFont val="Aptos Narrow"/>
        <family val="2"/>
        <scheme val="minor"/>
      </rPr>
      <t xml:space="preserve"> 3000ML </t>
    </r>
  </si>
  <si>
    <r>
      <t xml:space="preserve">GLORIA </t>
    </r>
    <r>
      <rPr>
        <b/>
        <sz val="11"/>
        <color theme="1"/>
        <rFont val="Aptos Narrow"/>
        <family val="2"/>
        <scheme val="minor"/>
      </rPr>
      <t>2021</t>
    </r>
    <r>
      <rPr>
        <sz val="11"/>
        <color theme="1"/>
        <rFont val="Aptos Narrow"/>
        <family val="2"/>
        <scheme val="minor"/>
      </rPr>
      <t xml:space="preserve"> 1500ML</t>
    </r>
  </si>
  <si>
    <r>
      <t xml:space="preserve">GLORIA </t>
    </r>
    <r>
      <rPr>
        <b/>
        <sz val="11"/>
        <color theme="1"/>
        <rFont val="Aptos Narrow"/>
        <family val="2"/>
        <scheme val="minor"/>
      </rPr>
      <t>2017</t>
    </r>
    <r>
      <rPr>
        <sz val="11"/>
        <color theme="1"/>
        <rFont val="Aptos Narrow"/>
        <family val="2"/>
        <scheme val="minor"/>
      </rPr>
      <t xml:space="preserve"> 750ML</t>
    </r>
  </si>
  <si>
    <r>
      <t xml:space="preserve">GLORIA </t>
    </r>
    <r>
      <rPr>
        <b/>
        <sz val="11"/>
        <color theme="1"/>
        <rFont val="Aptos Narrow"/>
        <family val="2"/>
        <scheme val="minor"/>
      </rPr>
      <t>2020</t>
    </r>
    <r>
      <rPr>
        <sz val="11"/>
        <color theme="1"/>
        <rFont val="Aptos Narrow"/>
        <family val="2"/>
        <scheme val="minor"/>
      </rPr>
      <t xml:space="preserve"> 750ML</t>
    </r>
  </si>
  <si>
    <r>
      <t xml:space="preserve">GLORIA </t>
    </r>
    <r>
      <rPr>
        <b/>
        <sz val="11"/>
        <color theme="1"/>
        <rFont val="Aptos Narrow"/>
        <family val="2"/>
        <scheme val="minor"/>
      </rPr>
      <t>2021</t>
    </r>
    <r>
      <rPr>
        <sz val="11"/>
        <color theme="1"/>
        <rFont val="Aptos Narrow"/>
        <family val="2"/>
        <scheme val="minor"/>
      </rPr>
      <t xml:space="preserve"> 750ML</t>
    </r>
  </si>
  <si>
    <r>
      <t xml:space="preserve">TEMPO DE ANGELUS </t>
    </r>
    <r>
      <rPr>
        <b/>
        <sz val="11"/>
        <color theme="1"/>
        <rFont val="Aptos Narrow"/>
        <family val="2"/>
        <scheme val="minor"/>
      </rPr>
      <t xml:space="preserve">2022 </t>
    </r>
  </si>
  <si>
    <t>POMMARD VIEILLES VIGNES VINCENT GIRARDIN 2017 CX 06 MADEIRA</t>
  </si>
  <si>
    <t>POMMARD VIEILLES VIGNES VINCENT GIRARDIN 2018 CX 06 MADEIRA</t>
  </si>
  <si>
    <t>POMMARD 1ER CRU LES EPENOT VINCENT GIRARDIN 2017 MADEIRA</t>
  </si>
  <si>
    <t>POMMARD 1ER CRU LES EPENOT VINCENT GIRARDIN 2018 MADEIRA</t>
  </si>
  <si>
    <t>BEAUNE 1ER CRU 2018 BOUCHARD AINE 750 ML CLOS DU ROI</t>
  </si>
  <si>
    <t>COTES DU BEAUNE VILLAGES 2018 BOUCHARD AINE 750 ML GRANDE RESERVE PAVILLON</t>
  </si>
  <si>
    <t>NUITS ST GEORGES 2018 BOUCHARD AINE 750 ML</t>
  </si>
  <si>
    <t>GEVREY CHAMBERTIN 2019 BOUCHARD AINE 750 ML</t>
  </si>
  <si>
    <t>POMMARD 2017 BOUCHARD AINE 750 ML</t>
  </si>
  <si>
    <t>BOURGOGNE PINOT NOIR RESERVE 2019  BOUCHARD AINE 750 ML</t>
  </si>
  <si>
    <t>BOURGOGNE PINOT NOIR RESERVE 2020  BOUCHARD AINE 1500 ML</t>
  </si>
  <si>
    <t xml:space="preserve">POUILLY FUISSE 2020 BOUCHARD AINE 750 ML </t>
  </si>
  <si>
    <t>GRAND CONSEILLER ROSE DE PINOT NOIR 2020 BOUCHARD AINE 750 ML</t>
  </si>
  <si>
    <t>GRAND CONSEILLER PINOT NOIR 2020 BOUCHARD AINE 1500 ML</t>
  </si>
  <si>
    <t>HERITAGE DU CONSEILLER ROSE DE PINOT NOIR 2020 BOUCHARD AINE 750 ML</t>
  </si>
  <si>
    <t>CHATEAU FOURNEY 2020 CX 06 MADEIRA</t>
  </si>
  <si>
    <t xml:space="preserve">MEDOC MOULIN DE REYSSON 2019 CX MADEIRA 06 </t>
  </si>
  <si>
    <t>PETIT FOURNEY 2020 SAINT EMILLION CX MADEIRA 06</t>
  </si>
  <si>
    <r>
      <t xml:space="preserve">CHATEAU TALMONT  </t>
    </r>
    <r>
      <rPr>
        <b/>
        <sz val="11"/>
        <color theme="1"/>
        <rFont val="Aptos Narrow"/>
        <family val="2"/>
        <scheme val="minor"/>
      </rPr>
      <t>2020</t>
    </r>
    <r>
      <rPr>
        <sz val="11"/>
        <color theme="1"/>
        <rFont val="Aptos Narrow"/>
        <family val="2"/>
        <scheme val="minor"/>
      </rPr>
      <t xml:space="preserve"> CX MADEIRA C/6</t>
    </r>
  </si>
  <si>
    <t>CHATEAU JAMIN 2021 CX 12</t>
  </si>
  <si>
    <t>CREMANT DE BOURGOGNE DUFOULEUR CX 06</t>
  </si>
  <si>
    <t xml:space="preserve">ESPUMANTES FRANCESES </t>
  </si>
  <si>
    <t>VARICHON E CLERC BRUT CHARLES DE SR CERAN CX 06</t>
  </si>
  <si>
    <t xml:space="preserve">GRANDIN GRAND RESERVE BRUT CX 06 (CHAMPEGNOISE) </t>
  </si>
  <si>
    <t>GRANDIN GRANDE RESERVE ROSE CX 06 (CHAMPEGNOISE)</t>
  </si>
  <si>
    <t>GRANDIN BRUT CX 06 (CHAMPEGNOISE)</t>
  </si>
  <si>
    <t>GRANDIN ROSE CX 06 (CHAMPEGNOISE)</t>
  </si>
  <si>
    <t>CHATEAU D'YQUEM 2019 750 ML CX DE MADEIRA 03</t>
  </si>
  <si>
    <t>ESPRIT DE PAVIE 2017 CX 06</t>
  </si>
  <si>
    <t>BLANC DE BLANCS BOUCHARD AINE</t>
  </si>
  <si>
    <t>CHATEAU CROIX MOUTON 2016 CX MADEIRA 06</t>
  </si>
  <si>
    <t>CHATEAU CARBONNIEUX TINTO CX MADEIRA 12</t>
  </si>
  <si>
    <t>CHAEAU RAOUL BRANCO 2018 CX MADEIRA 06</t>
  </si>
  <si>
    <t>CHATEAU LE BOSCQ 2015 CX MADEIRA 06</t>
  </si>
  <si>
    <t>VINHOS BONPAS</t>
  </si>
  <si>
    <t xml:space="preserve">COTES DU RHONE RESERVE DE BONPAS  2023 CX 06 </t>
  </si>
  <si>
    <t xml:space="preserve">CHATEAUNEUF DU PAPE BONUS PASSUS 2023 CX 06 </t>
  </si>
  <si>
    <t>COTES DUR HONE VILLAGE PLAN DE DIEU 2020 CX 06</t>
  </si>
  <si>
    <t>CHATEAU DU PRIEURE CX 12</t>
  </si>
  <si>
    <t>ALMAVIVA 2022 1500 ML CX MADEIRA 01\</t>
  </si>
  <si>
    <t>ALMAVIVA 2020 1500 ML CX MADEIRA 01</t>
  </si>
  <si>
    <t>CH LARY LACOMBE 2022</t>
  </si>
  <si>
    <t>CHAPELLE MISSION HAUT BRION 2019</t>
  </si>
  <si>
    <t>CLARENCE DE HAUT BRION 2019</t>
  </si>
  <si>
    <t>CHATEAU RIEUSSEC 2022</t>
  </si>
  <si>
    <t>LES CARMES DE RIEUSSEC 2020 750 ML</t>
  </si>
  <si>
    <t>LES CARMES DE RIEUSSEC 2020 375 ML</t>
  </si>
  <si>
    <t>CH COS DESTOURNEL 2011</t>
  </si>
  <si>
    <t>ALMAVIVA 2022 6 LITROS</t>
  </si>
  <si>
    <t>ALMAVIVA 2022 3 LITROS</t>
  </si>
  <si>
    <t>CH MOUTON ROTSCHILD 2019</t>
  </si>
  <si>
    <t>BLASON DISSAN 2020</t>
  </si>
  <si>
    <t>MOULIN DISSAN 2022</t>
  </si>
  <si>
    <t>PETIT CLOS 2019 CB 06</t>
  </si>
  <si>
    <t xml:space="preserve">CH HAUT BRION 2021 1500 ML CB 01 </t>
  </si>
  <si>
    <t>CH HAUT BRION 2011 CB 06 750 ML</t>
  </si>
  <si>
    <t>CH MOUTON ROTHSCHILD 2021 CB 06 750 ML</t>
  </si>
  <si>
    <t>CH MOUTON ROTHSCHILD 2019 CB 03 1500 ML</t>
  </si>
  <si>
    <t>VOLTE 2021 CX 03 1500 ML</t>
  </si>
  <si>
    <t>VOLTE 2022 CB 01 3.000 ML</t>
  </si>
  <si>
    <t>CH POTENSAC 2017 CB 750 ML</t>
  </si>
  <si>
    <t>CH POTENSAC 2018 CB 06</t>
  </si>
  <si>
    <t>CH LYNCH BAGES 2021 CB 06 750 ML</t>
  </si>
  <si>
    <t>CH LYNCH BAGES 2021 CB 01 3000 ML</t>
  </si>
  <si>
    <t>CH LYNCH BAGES 2021 CB 03 1500 ML</t>
  </si>
  <si>
    <t>CH MARGAUX 2014 CB 06</t>
  </si>
  <si>
    <t>CH CARBONNIEUX BLANC 2023 CB 06</t>
  </si>
  <si>
    <t>ST EM GRAND CRU LAMARZELLECFIGEAC  2013 CB 06 750 ML</t>
  </si>
  <si>
    <t>ST EM GRAND CRU  LAMARZELLE FIGEAC  2019 CB 06 750 ML</t>
  </si>
  <si>
    <t>ORNELLAIA 2022 CB 06 750 ML</t>
  </si>
  <si>
    <t>VOLTE 2023 CT 06 750 ML</t>
  </si>
  <si>
    <t>VOLTE 2023 CT 03 1500 ML</t>
  </si>
  <si>
    <t>VOLTE 2023 CB 01 3000 ML</t>
  </si>
  <si>
    <t>SERRRE NUOVE 2022 CT 06 750 ML</t>
  </si>
  <si>
    <t>SERRE NUOVE 2022 CB 01 1500 ML</t>
  </si>
  <si>
    <t>MEDOC COTES DE BLAIGNAN 2018 CB 06</t>
  </si>
  <si>
    <t>VINHOS BARON PHILIPE DE ROTHSCHILD CHILE</t>
  </si>
  <si>
    <t>RESERVA ESPECIAL CABERNET SAUVIGNON 2022</t>
  </si>
  <si>
    <t>RESERVA ESPECIAL CARMENERE 2023</t>
  </si>
  <si>
    <t>RESERVA ESPECIAL MERLOT 2023</t>
  </si>
  <si>
    <t>RESERVA ESPECIAL SAUVIGNON BLANC 2024</t>
  </si>
  <si>
    <t>LOUISE DE VILLARD</t>
  </si>
  <si>
    <t>CHARDONNAY LOUISE DE VILLARD 2023</t>
  </si>
  <si>
    <t>PINOT NOIR LOUISE DE VILLARD 2023</t>
  </si>
  <si>
    <t>BOURGOGNE CHARDONNAY LOUISE DE VILLARD  2023</t>
  </si>
  <si>
    <t>BOURGOGNE PINOT NOIR LOUISE DE VILLARD 2023</t>
  </si>
  <si>
    <t>CHABLIS LOUISE DE VILLARD 2023</t>
  </si>
  <si>
    <t>MERCAODORIAS ABAIXO EM AZUL ESTARAO DISPONIVEIS NA EMPRESA NA 3A FEIRA 29/07</t>
  </si>
  <si>
    <t>MASSETO 2021</t>
  </si>
  <si>
    <t>MASSETINO 2022</t>
  </si>
  <si>
    <t>MASSETO 2020</t>
  </si>
  <si>
    <t>MASSETINO 2020</t>
  </si>
  <si>
    <t>CHATEAU HAUT BRION 2019 750 ML</t>
  </si>
  <si>
    <t>ALMAVIVA 2021 750 ML</t>
  </si>
  <si>
    <t>ROCAS DE SENA 2021 750 ML</t>
  </si>
  <si>
    <t>ALMAVIVA 2021 1500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</si>
</sst>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R$&quot;\ * #,##0.00_-;\-&quot;R$&quot;\ * #,##0.00_-;_-&quot;R$&quot;\ * &quot;-&quot;??_-;_-@_-"/>
    <numFmt numFmtId="164" formatCode="&quot;R$&quot;\ #,##0.00"/>
    <numFmt numFmtId="165" formatCode="#,##0.00;[Red]#,##0.00"/>
    <numFmt numFmtId="166" formatCode="0;[Red]0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10" fontId="0" fillId="0" borderId="1" xfId="0" applyNumberFormat="1" applyBorder="1"/>
    <xf numFmtId="0" fontId="1" fillId="0" borderId="1" xfId="0" applyFont="1" applyBorder="1"/>
    <xf numFmtId="44" fontId="0" fillId="0" borderId="0" xfId="1" applyFont="1"/>
    <xf numFmtId="44" fontId="1" fillId="0" borderId="0" xfId="1" applyFont="1"/>
    <xf numFmtId="44" fontId="0" fillId="0" borderId="1" xfId="1" applyFont="1" applyBorder="1"/>
    <xf numFmtId="44" fontId="0" fillId="0" borderId="1" xfId="1" applyFont="1" applyFill="1" applyBorder="1"/>
    <xf numFmtId="10" fontId="1" fillId="0" borderId="0" xfId="0" applyNumberFormat="1" applyFont="1"/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0" fontId="0" fillId="0" borderId="0" xfId="0" applyNumberFormat="1" applyAlignment="1">
      <alignment horizontal="center"/>
    </xf>
    <xf numFmtId="10" fontId="0" fillId="0" borderId="0" xfId="0" applyNumberFormat="1"/>
    <xf numFmtId="44" fontId="0" fillId="0" borderId="0" xfId="1" applyFont="1" applyBorder="1"/>
    <xf numFmtId="166" fontId="3" fillId="0" borderId="0" xfId="0" applyNumberFormat="1" applyFont="1" applyAlignment="1">
      <alignment horizontal="center"/>
    </xf>
    <xf numFmtId="0" fontId="3" fillId="0" borderId="1" xfId="0" applyFont="1" applyBorder="1"/>
    <xf numFmtId="0" fontId="4" fillId="0" borderId="0" xfId="0" applyFont="1" applyAlignment="1">
      <alignment horizontal="left"/>
    </xf>
    <xf numFmtId="165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44" fontId="5" fillId="0" borderId="1" xfId="1" applyFont="1" applyBorder="1"/>
    <xf numFmtId="166" fontId="4" fillId="0" borderId="0" xfId="0" applyNumberFormat="1" applyFont="1" applyAlignment="1">
      <alignment horizontal="center"/>
    </xf>
    <xf numFmtId="164" fontId="5" fillId="0" borderId="0" xfId="0" applyNumberFormat="1" applyFont="1"/>
    <xf numFmtId="0" fontId="5" fillId="0" borderId="0" xfId="0" applyFont="1"/>
    <xf numFmtId="49" fontId="4" fillId="0" borderId="0" xfId="0" applyNumberFormat="1" applyFont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01"/>
  <sheetViews>
    <sheetView tabSelected="1" view="pageBreakPreview" topLeftCell="A87" zoomScale="90" zoomScaleNormal="90" zoomScaleSheetLayoutView="90" workbookViewId="0">
      <selection activeCell="B102" sqref="B102"/>
    </sheetView>
  </sheetViews>
  <sheetFormatPr defaultRowHeight="13.8"/>
  <cols>
    <col min="2" max="2" width="81.3984375" customWidth="1"/>
    <col min="3" max="3" width="14.09765625" style="7" bestFit="1" customWidth="1"/>
    <col min="4" max="4" width="9.8984375" bestFit="1" customWidth="1"/>
    <col min="5" max="5" width="14.69921875" style="7" bestFit="1" customWidth="1"/>
    <col min="6" max="6" width="30.09765625" style="18" bestFit="1" customWidth="1"/>
    <col min="7" max="7" width="10.69921875" bestFit="1" customWidth="1"/>
  </cols>
  <sheetData>
    <row r="2" spans="2:6">
      <c r="B2" s="3" t="s">
        <v>42</v>
      </c>
    </row>
    <row r="3" spans="2:6">
      <c r="C3" s="8" t="s">
        <v>43</v>
      </c>
      <c r="D3" s="2" t="s">
        <v>44</v>
      </c>
      <c r="E3" s="8" t="s">
        <v>45</v>
      </c>
    </row>
    <row r="4" spans="2:6">
      <c r="B4" s="2" t="s">
        <v>118</v>
      </c>
      <c r="C4" s="8"/>
      <c r="D4" s="2"/>
      <c r="E4" s="8"/>
    </row>
    <row r="5" spans="2:6">
      <c r="C5" s="8"/>
      <c r="D5" s="2"/>
      <c r="E5" s="8"/>
    </row>
    <row r="6" spans="2:6">
      <c r="B6" t="s">
        <v>119</v>
      </c>
      <c r="C6" s="8">
        <v>53</v>
      </c>
      <c r="D6" s="11">
        <v>6.5000000000000002E-2</v>
      </c>
      <c r="E6" s="9">
        <f t="shared" ref="E6:E8" si="0">(C6*D6)+C6</f>
        <v>56.445</v>
      </c>
    </row>
    <row r="7" spans="2:6">
      <c r="B7" t="s">
        <v>121</v>
      </c>
      <c r="C7" s="8">
        <v>77</v>
      </c>
      <c r="D7" s="11">
        <v>6.5000000000000002E-2</v>
      </c>
      <c r="E7" s="9">
        <f t="shared" si="0"/>
        <v>82.004999999999995</v>
      </c>
    </row>
    <row r="8" spans="2:6">
      <c r="B8" t="s">
        <v>120</v>
      </c>
      <c r="C8" s="8">
        <v>265</v>
      </c>
      <c r="D8" s="11">
        <v>6.5000000000000002E-2</v>
      </c>
      <c r="E8" s="9">
        <f t="shared" si="0"/>
        <v>282.22500000000002</v>
      </c>
    </row>
    <row r="9" spans="2:6">
      <c r="C9" s="8"/>
      <c r="D9" s="11"/>
      <c r="E9" s="17"/>
    </row>
    <row r="10" spans="2:6">
      <c r="B10" s="2" t="s">
        <v>160</v>
      </c>
      <c r="C10" s="8"/>
      <c r="D10" s="11"/>
      <c r="E10" s="17"/>
    </row>
    <row r="11" spans="2:6">
      <c r="C11" s="8"/>
      <c r="D11" s="11"/>
      <c r="E11" s="17"/>
    </row>
    <row r="12" spans="2:6">
      <c r="B12" t="s">
        <v>161</v>
      </c>
      <c r="C12" s="8">
        <v>36.5</v>
      </c>
      <c r="D12" s="11">
        <v>6.5000000000000002E-2</v>
      </c>
      <c r="E12" s="9">
        <f t="shared" ref="E12:E15" si="1">(C12*D12)+C12</f>
        <v>38.872500000000002</v>
      </c>
      <c r="F12" s="18">
        <v>7804462002014</v>
      </c>
    </row>
    <row r="13" spans="2:6">
      <c r="B13" t="s">
        <v>162</v>
      </c>
      <c r="C13" s="8">
        <v>36.5</v>
      </c>
      <c r="D13" s="11">
        <v>6.5000000000000002E-2</v>
      </c>
      <c r="E13" s="9">
        <f t="shared" si="1"/>
        <v>38.872500000000002</v>
      </c>
      <c r="F13" s="18">
        <v>7804462002038</v>
      </c>
    </row>
    <row r="14" spans="2:6">
      <c r="B14" t="s">
        <v>163</v>
      </c>
      <c r="C14" s="8">
        <v>36.5</v>
      </c>
      <c r="D14" s="11">
        <v>6.5000000000000002E-2</v>
      </c>
      <c r="E14" s="9">
        <f t="shared" si="1"/>
        <v>38.872500000000002</v>
      </c>
      <c r="F14" s="18">
        <v>7804462002021</v>
      </c>
    </row>
    <row r="15" spans="2:6">
      <c r="B15" t="s">
        <v>164</v>
      </c>
      <c r="C15" s="8">
        <v>36.5</v>
      </c>
      <c r="D15" s="11">
        <v>6.5000000000000002E-2</v>
      </c>
      <c r="E15" s="9">
        <f t="shared" si="1"/>
        <v>38.872500000000002</v>
      </c>
      <c r="F15" s="18">
        <v>7804462002045</v>
      </c>
    </row>
    <row r="16" spans="2:6">
      <c r="C16" s="8"/>
      <c r="D16" s="11"/>
      <c r="E16" s="17"/>
    </row>
    <row r="17" spans="2:6">
      <c r="B17" s="2" t="s">
        <v>165</v>
      </c>
      <c r="C17" s="8"/>
      <c r="D17" s="11"/>
      <c r="E17" s="17"/>
    </row>
    <row r="18" spans="2:6">
      <c r="C18" s="8"/>
      <c r="D18" s="11"/>
      <c r="E18" s="17"/>
    </row>
    <row r="19" spans="2:6">
      <c r="B19" t="s">
        <v>166</v>
      </c>
      <c r="C19" s="8">
        <v>52.5</v>
      </c>
      <c r="D19" s="11">
        <v>6.5000000000000002E-2</v>
      </c>
      <c r="E19" s="9">
        <f t="shared" ref="E19:E22" si="2">(C19*D19)+C19</f>
        <v>55.912500000000001</v>
      </c>
      <c r="F19" s="18">
        <v>3760010292686</v>
      </c>
    </row>
    <row r="20" spans="2:6">
      <c r="B20" t="s">
        <v>167</v>
      </c>
      <c r="C20" s="8">
        <v>52.5</v>
      </c>
      <c r="D20" s="11">
        <v>6.5000000000000002E-2</v>
      </c>
      <c r="E20" s="9">
        <f t="shared" si="2"/>
        <v>55.912500000000001</v>
      </c>
      <c r="F20" s="18">
        <v>3760217670119</v>
      </c>
    </row>
    <row r="21" spans="2:6">
      <c r="B21" t="s">
        <v>168</v>
      </c>
      <c r="C21" s="8">
        <v>99.5</v>
      </c>
      <c r="D21" s="11">
        <v>6.5000000000000002E-2</v>
      </c>
      <c r="E21" s="9">
        <f t="shared" si="2"/>
        <v>105.9675</v>
      </c>
      <c r="F21" s="18">
        <v>3760010293928</v>
      </c>
    </row>
    <row r="22" spans="2:6">
      <c r="B22" t="s">
        <v>169</v>
      </c>
      <c r="C22" s="8">
        <v>99.5</v>
      </c>
      <c r="D22" s="11">
        <v>6.5000000000000002E-2</v>
      </c>
      <c r="E22" s="9">
        <f t="shared" si="2"/>
        <v>105.9675</v>
      </c>
      <c r="F22" s="18">
        <v>3760010293973</v>
      </c>
    </row>
    <row r="23" spans="2:6">
      <c r="B23" t="s">
        <v>170</v>
      </c>
      <c r="C23" s="8"/>
      <c r="D23" s="11"/>
      <c r="E23" s="17"/>
      <c r="F23" s="18">
        <v>3760081428984</v>
      </c>
    </row>
    <row r="24" spans="2:6">
      <c r="C24" s="8"/>
      <c r="D24" s="11"/>
      <c r="E24" s="17"/>
    </row>
    <row r="25" spans="2:6">
      <c r="C25" s="8"/>
      <c r="D25" s="2"/>
      <c r="E25" s="8"/>
    </row>
    <row r="26" spans="2:6">
      <c r="B26" s="6" t="s">
        <v>0</v>
      </c>
      <c r="C26" s="9"/>
      <c r="D26" s="4"/>
      <c r="E26" s="9"/>
    </row>
    <row r="27" spans="2:6">
      <c r="B27" s="4" t="s">
        <v>1</v>
      </c>
      <c r="C27" s="9">
        <v>145</v>
      </c>
      <c r="D27" s="5">
        <v>6.5000000000000002E-2</v>
      </c>
      <c r="E27" s="9">
        <v>154.43</v>
      </c>
    </row>
    <row r="28" spans="2:6">
      <c r="B28" s="4" t="s">
        <v>2</v>
      </c>
      <c r="C28" s="9">
        <v>190</v>
      </c>
      <c r="D28" s="5">
        <v>6.5000000000000002E-2</v>
      </c>
      <c r="E28" s="9">
        <v>202.35</v>
      </c>
    </row>
    <row r="29" spans="2:6">
      <c r="B29" s="4" t="s">
        <v>3</v>
      </c>
      <c r="C29" s="9">
        <v>185</v>
      </c>
      <c r="D29" s="5">
        <v>6.5000000000000002E-2</v>
      </c>
      <c r="E29" s="9">
        <v>197.03</v>
      </c>
    </row>
    <row r="30" spans="2:6">
      <c r="B30" s="4" t="s">
        <v>99</v>
      </c>
      <c r="C30" s="9">
        <v>160</v>
      </c>
      <c r="D30" s="5">
        <v>6.5000000000000002E-2</v>
      </c>
      <c r="E30" s="9">
        <f t="shared" ref="E30" si="3">(C30*D30)+C30</f>
        <v>170.4</v>
      </c>
    </row>
    <row r="31" spans="2:6">
      <c r="B31" s="4" t="s">
        <v>22</v>
      </c>
      <c r="C31" s="9">
        <v>300</v>
      </c>
      <c r="D31" s="5">
        <v>6.5000000000000002E-2</v>
      </c>
      <c r="E31" s="9">
        <v>319.5</v>
      </c>
    </row>
    <row r="32" spans="2:6">
      <c r="B32" s="4"/>
      <c r="C32" s="9"/>
      <c r="D32" s="5"/>
      <c r="E32" s="9"/>
    </row>
    <row r="33" spans="2:5">
      <c r="B33" s="4"/>
      <c r="C33" s="9"/>
      <c r="D33" s="4"/>
      <c r="E33" s="9"/>
    </row>
    <row r="34" spans="2:5">
      <c r="B34" s="4" t="s">
        <v>4</v>
      </c>
      <c r="C34" s="9">
        <v>280</v>
      </c>
      <c r="D34" s="5">
        <v>6.5000000000000002E-2</v>
      </c>
      <c r="E34" s="9">
        <v>298.2</v>
      </c>
    </row>
    <row r="35" spans="2:5">
      <c r="B35" s="4" t="s">
        <v>5</v>
      </c>
      <c r="C35" s="9">
        <v>270</v>
      </c>
      <c r="D35" s="5">
        <v>6.5000000000000002E-2</v>
      </c>
      <c r="E35" s="9">
        <v>287.55</v>
      </c>
    </row>
    <row r="36" spans="2:5">
      <c r="B36" s="4" t="s">
        <v>6</v>
      </c>
      <c r="C36" s="9">
        <v>250</v>
      </c>
      <c r="D36" s="5">
        <v>6.5000000000000002E-2</v>
      </c>
      <c r="E36" s="9">
        <v>266.25</v>
      </c>
    </row>
    <row r="37" spans="2:5">
      <c r="B37" s="4" t="s">
        <v>7</v>
      </c>
      <c r="C37" s="9">
        <v>210</v>
      </c>
      <c r="D37" s="5">
        <v>6.5000000000000002E-2</v>
      </c>
      <c r="E37" s="9">
        <v>223.65</v>
      </c>
    </row>
    <row r="38" spans="2:5">
      <c r="B38" s="4" t="s">
        <v>8</v>
      </c>
      <c r="C38" s="9">
        <v>220</v>
      </c>
      <c r="D38" s="5">
        <v>6.5000000000000002E-2</v>
      </c>
      <c r="E38" s="9">
        <v>234.3</v>
      </c>
    </row>
    <row r="39" spans="2:5">
      <c r="B39" s="4" t="s">
        <v>9</v>
      </c>
      <c r="C39" s="9">
        <v>400</v>
      </c>
      <c r="D39" s="5">
        <v>6.5500000000000003E-2</v>
      </c>
      <c r="E39" s="9">
        <v>426</v>
      </c>
    </row>
    <row r="40" spans="2:5">
      <c r="B40" s="4" t="s">
        <v>10</v>
      </c>
      <c r="C40" s="9">
        <v>4000</v>
      </c>
      <c r="D40" s="5">
        <v>6.5000000000000002E-2</v>
      </c>
      <c r="E40" s="9">
        <v>4260</v>
      </c>
    </row>
    <row r="41" spans="2:5">
      <c r="B41" s="4" t="s">
        <v>83</v>
      </c>
      <c r="C41" s="9">
        <v>190</v>
      </c>
      <c r="D41" s="5">
        <v>6.5000000000000002E-2</v>
      </c>
      <c r="E41" s="9">
        <v>202.35</v>
      </c>
    </row>
    <row r="42" spans="2:5">
      <c r="B42" s="4" t="s">
        <v>69</v>
      </c>
      <c r="C42" s="9">
        <v>380</v>
      </c>
      <c r="D42" s="5">
        <v>6.5000000000000002E-2</v>
      </c>
      <c r="E42" s="9">
        <v>404.7</v>
      </c>
    </row>
    <row r="43" spans="2:5">
      <c r="B43" s="4" t="s">
        <v>78</v>
      </c>
      <c r="C43" s="10">
        <v>24500</v>
      </c>
      <c r="D43" s="5">
        <v>6.5000000000000002E-2</v>
      </c>
      <c r="E43" s="10">
        <v>26092.5</v>
      </c>
    </row>
    <row r="44" spans="2:5">
      <c r="B44" s="4"/>
      <c r="C44" s="9"/>
      <c r="D44" s="4"/>
      <c r="E44" s="9"/>
    </row>
    <row r="45" spans="2:5">
      <c r="B45" s="4" t="s">
        <v>11</v>
      </c>
      <c r="C45" s="9">
        <v>650</v>
      </c>
      <c r="D45" s="5">
        <v>6.5000000000000002E-2</v>
      </c>
      <c r="E45" s="9">
        <v>692.25</v>
      </c>
    </row>
    <row r="46" spans="2:5">
      <c r="B46" s="4" t="s">
        <v>12</v>
      </c>
      <c r="C46" s="9">
        <v>205</v>
      </c>
      <c r="D46" s="5">
        <v>6.5000000000000002E-2</v>
      </c>
      <c r="E46" s="9">
        <v>218.33</v>
      </c>
    </row>
    <row r="47" spans="2:5">
      <c r="B47" s="4" t="s">
        <v>13</v>
      </c>
      <c r="C47" s="9">
        <v>215</v>
      </c>
      <c r="D47" s="5">
        <v>6.5000000000000002E-2</v>
      </c>
      <c r="E47" s="9">
        <v>228.98</v>
      </c>
    </row>
    <row r="48" spans="2:5">
      <c r="B48" s="4" t="s">
        <v>14</v>
      </c>
      <c r="C48" s="9">
        <v>790</v>
      </c>
      <c r="D48" s="5">
        <v>6.5000000000000002E-2</v>
      </c>
      <c r="E48" s="9">
        <v>841.35</v>
      </c>
    </row>
    <row r="49" spans="2:5">
      <c r="B49" s="4" t="s">
        <v>15</v>
      </c>
      <c r="C49" s="9">
        <v>860</v>
      </c>
      <c r="D49" s="5">
        <v>6.5000000000000002E-2</v>
      </c>
      <c r="E49" s="9">
        <v>915.9</v>
      </c>
    </row>
    <row r="50" spans="2:5">
      <c r="B50" s="4" t="s">
        <v>84</v>
      </c>
      <c r="C50" s="9">
        <v>480</v>
      </c>
      <c r="D50" s="5">
        <v>6.5000000000000002E-2</v>
      </c>
      <c r="E50" s="9">
        <f>(C50*D50)+C50</f>
        <v>511.2</v>
      </c>
    </row>
    <row r="51" spans="2:5">
      <c r="B51" s="4" t="s">
        <v>85</v>
      </c>
      <c r="C51" s="9">
        <v>480</v>
      </c>
      <c r="D51" s="5">
        <v>6.5000000000000002E-2</v>
      </c>
      <c r="E51" s="9">
        <f t="shared" ref="E51:E65" si="4">(C51*D51)+C51</f>
        <v>511.2</v>
      </c>
    </row>
    <row r="52" spans="2:5">
      <c r="B52" s="4" t="s">
        <v>86</v>
      </c>
      <c r="C52" s="9">
        <v>720</v>
      </c>
      <c r="D52" s="5">
        <v>6.5000000000000002E-2</v>
      </c>
      <c r="E52" s="9">
        <f t="shared" si="4"/>
        <v>766.8</v>
      </c>
    </row>
    <row r="53" spans="2:5">
      <c r="B53" s="4" t="s">
        <v>87</v>
      </c>
      <c r="C53" s="9">
        <v>720</v>
      </c>
      <c r="D53" s="5">
        <v>6.5000000000000002E-2</v>
      </c>
      <c r="E53" s="9">
        <f t="shared" si="4"/>
        <v>766.8</v>
      </c>
    </row>
    <row r="54" spans="2:5">
      <c r="B54" s="4" t="s">
        <v>113</v>
      </c>
      <c r="C54" s="9">
        <v>48</v>
      </c>
      <c r="D54" s="5">
        <v>6.5000000000000002E-2</v>
      </c>
      <c r="E54" s="9">
        <f t="shared" si="4"/>
        <v>51.12</v>
      </c>
    </row>
    <row r="55" spans="2:5">
      <c r="B55" s="4" t="s">
        <v>88</v>
      </c>
      <c r="C55" s="9">
        <v>450</v>
      </c>
      <c r="D55" s="5">
        <v>6.5000000000000002E-2</v>
      </c>
      <c r="E55" s="9">
        <f t="shared" si="4"/>
        <v>479.25</v>
      </c>
    </row>
    <row r="56" spans="2:5">
      <c r="B56" s="4" t="s">
        <v>89</v>
      </c>
      <c r="C56" s="9">
        <v>180</v>
      </c>
      <c r="D56" s="5">
        <v>6.5000000000000002E-2</v>
      </c>
      <c r="E56" s="9">
        <f t="shared" si="4"/>
        <v>191.7</v>
      </c>
    </row>
    <row r="57" spans="2:5">
      <c r="B57" s="4" t="s">
        <v>90</v>
      </c>
      <c r="C57" s="9">
        <v>400</v>
      </c>
      <c r="D57" s="5">
        <v>6.5000000000000002E-2</v>
      </c>
      <c r="E57" s="9">
        <f t="shared" si="4"/>
        <v>426</v>
      </c>
    </row>
    <row r="58" spans="2:5">
      <c r="B58" s="4" t="s">
        <v>91</v>
      </c>
      <c r="C58" s="9">
        <v>440</v>
      </c>
      <c r="D58" s="5">
        <v>6.5000000000000002E-2</v>
      </c>
      <c r="E58" s="9">
        <f t="shared" si="4"/>
        <v>468.6</v>
      </c>
    </row>
    <row r="59" spans="2:5">
      <c r="B59" s="4" t="s">
        <v>92</v>
      </c>
      <c r="C59" s="9">
        <v>400</v>
      </c>
      <c r="D59" s="5">
        <v>6.5000000000000002E-2</v>
      </c>
      <c r="E59" s="9">
        <f t="shared" si="4"/>
        <v>426</v>
      </c>
    </row>
    <row r="60" spans="2:5">
      <c r="B60" s="4" t="s">
        <v>93</v>
      </c>
      <c r="C60" s="9">
        <v>125</v>
      </c>
      <c r="D60" s="5">
        <v>6.5000000000000002E-2</v>
      </c>
      <c r="E60" s="9">
        <f t="shared" si="4"/>
        <v>133.125</v>
      </c>
    </row>
    <row r="61" spans="2:5">
      <c r="B61" s="4" t="s">
        <v>94</v>
      </c>
      <c r="C61" s="9">
        <v>250</v>
      </c>
      <c r="D61" s="5">
        <v>6.5000000000000002E-2</v>
      </c>
      <c r="E61" s="9">
        <f t="shared" si="4"/>
        <v>266.25</v>
      </c>
    </row>
    <row r="62" spans="2:5">
      <c r="B62" s="4" t="s">
        <v>95</v>
      </c>
      <c r="C62" s="9">
        <v>190</v>
      </c>
      <c r="D62" s="5">
        <v>6.5000000000000002E-2</v>
      </c>
      <c r="E62" s="9">
        <f t="shared" si="4"/>
        <v>202.35</v>
      </c>
    </row>
    <row r="63" spans="2:5">
      <c r="B63" s="4" t="s">
        <v>96</v>
      </c>
      <c r="C63" s="9">
        <v>65</v>
      </c>
      <c r="D63" s="5">
        <v>6.5000000000000002E-2</v>
      </c>
      <c r="E63" s="9">
        <f t="shared" si="4"/>
        <v>69.224999999999994</v>
      </c>
    </row>
    <row r="64" spans="2:5">
      <c r="B64" s="4" t="s">
        <v>97</v>
      </c>
      <c r="C64" s="9">
        <v>130</v>
      </c>
      <c r="D64" s="5">
        <v>6.5000000000000002E-2</v>
      </c>
      <c r="E64" s="9">
        <f t="shared" si="4"/>
        <v>138.44999999999999</v>
      </c>
    </row>
    <row r="65" spans="2:5">
      <c r="B65" s="4" t="s">
        <v>98</v>
      </c>
      <c r="C65" s="9">
        <v>50</v>
      </c>
      <c r="D65" s="5">
        <v>6.5000000000000002E-2</v>
      </c>
      <c r="E65" s="9">
        <f t="shared" si="4"/>
        <v>53.25</v>
      </c>
    </row>
    <row r="66" spans="2:5">
      <c r="B66" s="4"/>
      <c r="C66" s="9"/>
      <c r="D66" s="5"/>
      <c r="E66" s="9"/>
    </row>
    <row r="67" spans="2:5">
      <c r="B67" s="4"/>
      <c r="C67" s="9"/>
      <c r="D67" s="5"/>
      <c r="E67" s="9"/>
    </row>
    <row r="68" spans="2:5">
      <c r="B68" s="4"/>
      <c r="C68" s="9"/>
      <c r="D68" s="5"/>
      <c r="E68" s="9"/>
    </row>
    <row r="69" spans="2:5">
      <c r="B69" s="4" t="s">
        <v>16</v>
      </c>
      <c r="C69" s="9">
        <v>95</v>
      </c>
      <c r="D69" s="5">
        <v>6.5000000000000002E-2</v>
      </c>
      <c r="E69" s="9">
        <v>101.18</v>
      </c>
    </row>
    <row r="70" spans="2:5">
      <c r="B70" s="4" t="s">
        <v>17</v>
      </c>
      <c r="C70" s="9">
        <v>95</v>
      </c>
      <c r="D70" s="5">
        <v>6.5000000000000002E-2</v>
      </c>
      <c r="E70" s="9">
        <v>101.18</v>
      </c>
    </row>
    <row r="71" spans="2:5">
      <c r="B71" s="4" t="s">
        <v>117</v>
      </c>
      <c r="C71" s="9">
        <v>335</v>
      </c>
      <c r="D71" s="5">
        <v>6.5000000000000002E-2</v>
      </c>
      <c r="E71" s="9">
        <f t="shared" ref="E71" si="5">(C71*D71)+C71</f>
        <v>356.77499999999998</v>
      </c>
    </row>
    <row r="72" spans="2:5">
      <c r="B72" s="4" t="s">
        <v>116</v>
      </c>
      <c r="C72" s="9">
        <v>160</v>
      </c>
      <c r="D72" s="5">
        <v>6.5000000000000002E-2</v>
      </c>
      <c r="E72" s="9">
        <f t="shared" ref="E72" si="6">(C72*D72)+C72</f>
        <v>170.4</v>
      </c>
    </row>
    <row r="73" spans="2:5">
      <c r="B73" s="4" t="s">
        <v>115</v>
      </c>
      <c r="C73" s="9">
        <v>430</v>
      </c>
      <c r="D73" s="5">
        <v>6.5000000000000002E-2</v>
      </c>
      <c r="E73" s="9">
        <f t="shared" ref="E73" si="7">(C73*D73)+C73</f>
        <v>457.95</v>
      </c>
    </row>
    <row r="74" spans="2:5">
      <c r="B74" s="4" t="s">
        <v>114</v>
      </c>
      <c r="C74" s="9">
        <v>126</v>
      </c>
      <c r="D74" s="5">
        <v>6.5000000000000002E-2</v>
      </c>
      <c r="E74" s="9">
        <f t="shared" ref="E74" si="8">(C74*D74)+C74</f>
        <v>134.19</v>
      </c>
    </row>
    <row r="75" spans="2:5">
      <c r="B75" s="4" t="s">
        <v>112</v>
      </c>
      <c r="C75" s="9">
        <v>170</v>
      </c>
      <c r="D75" s="5">
        <v>6.5000000000000002E-2</v>
      </c>
      <c r="E75" s="9">
        <f t="shared" ref="E75" si="9">(C75*D75)+C75</f>
        <v>181.05</v>
      </c>
    </row>
    <row r="76" spans="2:5">
      <c r="B76" s="4" t="s">
        <v>100</v>
      </c>
      <c r="C76" s="9">
        <v>110</v>
      </c>
      <c r="D76" s="5">
        <v>6.5000000000000002E-2</v>
      </c>
      <c r="E76" s="9">
        <f t="shared" ref="E76" si="10">(C76*D76)+C76</f>
        <v>117.15</v>
      </c>
    </row>
    <row r="77" spans="2:5">
      <c r="B77" s="4" t="s">
        <v>18</v>
      </c>
      <c r="C77" s="9">
        <v>60</v>
      </c>
      <c r="D77" s="5">
        <v>6.5000000000000002E-2</v>
      </c>
      <c r="E77" s="9">
        <v>63.9</v>
      </c>
    </row>
    <row r="78" spans="2:5">
      <c r="B78" s="4" t="s">
        <v>19</v>
      </c>
      <c r="C78" s="9">
        <v>62</v>
      </c>
      <c r="D78" s="5">
        <v>6.5000000000000002E-2</v>
      </c>
      <c r="E78" s="9">
        <v>66.03</v>
      </c>
    </row>
    <row r="79" spans="2:5">
      <c r="B79" s="4" t="s">
        <v>50</v>
      </c>
      <c r="C79" s="9">
        <v>52</v>
      </c>
      <c r="D79" s="5">
        <v>6.5000000000000002E-2</v>
      </c>
      <c r="E79" s="9">
        <v>55.38</v>
      </c>
    </row>
    <row r="80" spans="2:5">
      <c r="B80" s="4" t="s">
        <v>20</v>
      </c>
      <c r="C80" s="9">
        <v>70</v>
      </c>
      <c r="D80" s="5">
        <v>6.5000000000000002E-2</v>
      </c>
      <c r="E80" s="9">
        <v>74.55</v>
      </c>
    </row>
    <row r="81" spans="2:5">
      <c r="B81" s="4" t="s">
        <v>103</v>
      </c>
      <c r="C81" s="9">
        <v>33.5</v>
      </c>
      <c r="D81" s="5">
        <v>6.5000000000000002E-2</v>
      </c>
      <c r="E81" s="9">
        <f t="shared" ref="E81:E82" si="11">(C81*D81)+C81</f>
        <v>35.677500000000002</v>
      </c>
    </row>
    <row r="82" spans="2:5">
      <c r="B82" s="4" t="s">
        <v>122</v>
      </c>
      <c r="C82" s="9">
        <v>35.5</v>
      </c>
      <c r="D82" s="5">
        <v>6.5000000000000002E-2</v>
      </c>
      <c r="E82" s="9">
        <f t="shared" si="11"/>
        <v>37.807499999999997</v>
      </c>
    </row>
    <row r="83" spans="2:5">
      <c r="B83" s="4" t="s">
        <v>102</v>
      </c>
      <c r="C83" s="9">
        <v>66</v>
      </c>
      <c r="D83" s="5">
        <v>6.5000000000000002E-2</v>
      </c>
      <c r="E83" s="9">
        <v>70.290000000000006</v>
      </c>
    </row>
    <row r="84" spans="2:5">
      <c r="B84" s="4" t="s">
        <v>21</v>
      </c>
      <c r="C84" s="9">
        <v>90</v>
      </c>
      <c r="D84" s="5">
        <v>6.5000000000000002E-2</v>
      </c>
      <c r="E84" s="9">
        <f>(C84*0.065)+C84</f>
        <v>95.85</v>
      </c>
    </row>
    <row r="85" spans="2:5">
      <c r="B85" s="4" t="s">
        <v>101</v>
      </c>
      <c r="C85" s="9">
        <v>110</v>
      </c>
      <c r="D85" s="5">
        <v>6.5000000000000002E-2</v>
      </c>
      <c r="E85" s="9">
        <f t="shared" ref="E85" si="12">(C85*D85)+C85</f>
        <v>117.15</v>
      </c>
    </row>
    <row r="86" spans="2:5">
      <c r="B86" s="4" t="s">
        <v>23</v>
      </c>
      <c r="C86" s="9">
        <v>330</v>
      </c>
      <c r="D86" s="5">
        <v>6.5000000000000002E-2</v>
      </c>
      <c r="E86" s="9">
        <v>351.45</v>
      </c>
    </row>
    <row r="87" spans="2:5">
      <c r="B87" s="4" t="s">
        <v>24</v>
      </c>
      <c r="C87" s="9">
        <v>650</v>
      </c>
      <c r="D87" s="5">
        <v>6.5000000000000002E-2</v>
      </c>
      <c r="E87" s="9">
        <v>692.25</v>
      </c>
    </row>
    <row r="88" spans="2:5">
      <c r="B88" s="4" t="s">
        <v>25</v>
      </c>
      <c r="C88" s="9">
        <v>1650</v>
      </c>
      <c r="D88" s="5">
        <v>6.5000000000000002E-2</v>
      </c>
      <c r="E88" s="9">
        <v>1757.25</v>
      </c>
    </row>
    <row r="89" spans="2:5">
      <c r="B89" s="4" t="s">
        <v>26</v>
      </c>
      <c r="C89" s="9">
        <v>2500</v>
      </c>
      <c r="D89" s="5">
        <v>6.5000000000000002E-2</v>
      </c>
      <c r="E89" s="9">
        <v>2662.5</v>
      </c>
    </row>
    <row r="90" spans="2:5">
      <c r="B90" s="4"/>
      <c r="C90" s="9"/>
      <c r="D90" s="4"/>
      <c r="E90" s="9"/>
    </row>
    <row r="91" spans="2:5">
      <c r="B91" s="4" t="s">
        <v>28</v>
      </c>
      <c r="C91" s="9">
        <v>525</v>
      </c>
      <c r="D91" s="5">
        <v>6.5000000000000002E-2</v>
      </c>
      <c r="E91" s="9">
        <v>550.12</v>
      </c>
    </row>
    <row r="92" spans="2:5">
      <c r="B92" s="4"/>
      <c r="C92" s="9"/>
      <c r="D92" s="4"/>
      <c r="E92" s="9"/>
    </row>
    <row r="93" spans="2:5">
      <c r="B93" s="6" t="s">
        <v>27</v>
      </c>
      <c r="C93" s="9"/>
      <c r="D93" s="4"/>
      <c r="E93" s="9"/>
    </row>
    <row r="94" spans="2:5">
      <c r="B94" s="4" t="s">
        <v>29</v>
      </c>
      <c r="C94" s="9">
        <v>425</v>
      </c>
      <c r="D94" s="5">
        <v>6.5000000000000002E-2</v>
      </c>
      <c r="E94" s="9">
        <v>452.62</v>
      </c>
    </row>
    <row r="95" spans="2:5">
      <c r="B95" s="4" t="s">
        <v>30</v>
      </c>
      <c r="C95" s="9">
        <v>540</v>
      </c>
      <c r="D95" s="5">
        <v>6.5000000000000002E-2</v>
      </c>
      <c r="E95" s="9">
        <v>575.1</v>
      </c>
    </row>
    <row r="96" spans="2:5">
      <c r="B96" s="4" t="s">
        <v>31</v>
      </c>
      <c r="C96" s="9">
        <v>1320</v>
      </c>
      <c r="D96" s="5">
        <v>6.5000000000000002E-2</v>
      </c>
      <c r="E96" s="9">
        <v>1405.8</v>
      </c>
    </row>
    <row r="97" spans="2:6">
      <c r="B97" s="4" t="s">
        <v>32</v>
      </c>
      <c r="C97" s="9">
        <v>175</v>
      </c>
      <c r="D97" s="5">
        <v>6.5000000000000002E-2</v>
      </c>
      <c r="E97" s="9">
        <v>186.38</v>
      </c>
    </row>
    <row r="98" spans="2:6">
      <c r="B98" s="4" t="s">
        <v>33</v>
      </c>
      <c r="C98" s="9">
        <v>165</v>
      </c>
      <c r="D98" s="5">
        <v>6.5000000000000002E-2</v>
      </c>
      <c r="E98" s="9">
        <v>175.72</v>
      </c>
    </row>
    <row r="99" spans="2:6">
      <c r="B99" s="4" t="s">
        <v>41</v>
      </c>
      <c r="C99" s="9">
        <v>115</v>
      </c>
      <c r="D99" s="5">
        <v>6.5000000000000002E-2</v>
      </c>
      <c r="E99" s="9">
        <v>122.47</v>
      </c>
    </row>
    <row r="100" spans="2:6">
      <c r="B100" s="4" t="s">
        <v>34</v>
      </c>
      <c r="C100" s="9">
        <v>155</v>
      </c>
      <c r="D100" s="5">
        <v>6.5000000000000002E-2</v>
      </c>
      <c r="E100" s="9">
        <v>165.08</v>
      </c>
    </row>
    <row r="101" spans="2:6">
      <c r="B101" s="4"/>
      <c r="C101" s="9"/>
      <c r="D101" s="4"/>
      <c r="E101" s="9"/>
    </row>
    <row r="102" spans="2:6">
      <c r="B102" s="4" t="s">
        <v>35</v>
      </c>
      <c r="C102" s="9">
        <v>780</v>
      </c>
      <c r="D102" s="5">
        <v>6.5000000000000002E-2</v>
      </c>
      <c r="E102" s="9">
        <v>830.7</v>
      </c>
    </row>
    <row r="103" spans="2:6">
      <c r="B103" s="4" t="s">
        <v>36</v>
      </c>
      <c r="C103" s="9">
        <v>1590</v>
      </c>
      <c r="D103" s="5">
        <v>6.5000000000000002E-2</v>
      </c>
      <c r="E103" s="9">
        <v>1693.35</v>
      </c>
    </row>
    <row r="104" spans="2:6">
      <c r="B104" s="4" t="s">
        <v>37</v>
      </c>
      <c r="C104" s="9">
        <v>3500</v>
      </c>
      <c r="D104" s="5">
        <v>6.5000000000000002E-2</v>
      </c>
      <c r="E104" s="9">
        <v>3727.5</v>
      </c>
    </row>
    <row r="105" spans="2:6">
      <c r="B105" s="4" t="s">
        <v>38</v>
      </c>
      <c r="C105" s="9">
        <v>2050</v>
      </c>
      <c r="D105" s="5">
        <v>6.5000000000000002E-2</v>
      </c>
      <c r="E105" s="9">
        <v>2183.25</v>
      </c>
    </row>
    <row r="106" spans="2:6">
      <c r="B106" s="4" t="s">
        <v>39</v>
      </c>
      <c r="C106" s="9">
        <v>4335</v>
      </c>
      <c r="D106" s="5">
        <v>6.5000000000000002E-2</v>
      </c>
      <c r="E106" s="9">
        <v>4616.78</v>
      </c>
    </row>
    <row r="107" spans="2:6">
      <c r="B107" s="4" t="s">
        <v>40</v>
      </c>
      <c r="C107" s="9">
        <v>9500</v>
      </c>
      <c r="D107" s="5">
        <v>6.5000000000000002E-2</v>
      </c>
      <c r="E107" s="9">
        <v>10117.5</v>
      </c>
    </row>
    <row r="108" spans="2:6">
      <c r="B108" s="4"/>
      <c r="C108" s="9"/>
      <c r="D108" s="4"/>
      <c r="E108" s="9"/>
    </row>
    <row r="109" spans="2:6">
      <c r="B109" s="4" t="s">
        <v>46</v>
      </c>
      <c r="C109" s="9">
        <v>1300</v>
      </c>
      <c r="D109" s="5">
        <v>6.5000000000000002E-2</v>
      </c>
      <c r="E109" s="9">
        <v>1384.5</v>
      </c>
      <c r="F109" s="18" t="s">
        <v>77</v>
      </c>
    </row>
    <row r="110" spans="2:6">
      <c r="B110" s="4" t="s">
        <v>47</v>
      </c>
      <c r="C110" s="9">
        <v>1100</v>
      </c>
      <c r="D110" s="5">
        <v>6.5000000000000002E-2</v>
      </c>
      <c r="E110" s="9">
        <v>1171.5</v>
      </c>
    </row>
    <row r="111" spans="2:6">
      <c r="B111" s="4" t="s">
        <v>48</v>
      </c>
      <c r="C111" s="9">
        <v>1100</v>
      </c>
      <c r="D111" s="5">
        <v>6.5000000000000002E-2</v>
      </c>
      <c r="E111" s="9">
        <v>1171.5</v>
      </c>
    </row>
    <row r="112" spans="2:6">
      <c r="B112" s="4" t="s">
        <v>49</v>
      </c>
      <c r="C112" s="9">
        <v>280</v>
      </c>
      <c r="D112" s="5">
        <v>6.5000000000000002E-2</v>
      </c>
      <c r="E112" s="9">
        <v>298.2</v>
      </c>
    </row>
    <row r="113" spans="2:7">
      <c r="B113" s="4"/>
      <c r="C113" s="9"/>
      <c r="D113" s="4"/>
      <c r="E113" s="9"/>
    </row>
    <row r="114" spans="2:7">
      <c r="B114" s="4"/>
      <c r="C114" s="9"/>
      <c r="D114" s="4"/>
      <c r="E114" s="9"/>
    </row>
    <row r="115" spans="2:7">
      <c r="B115" s="4" t="s">
        <v>111</v>
      </c>
      <c r="C115" s="9"/>
      <c r="D115" s="4"/>
      <c r="E115" s="9"/>
    </row>
    <row r="116" spans="2:7">
      <c r="B116" s="4" t="s">
        <v>65</v>
      </c>
      <c r="C116" s="9">
        <v>4850</v>
      </c>
      <c r="D116" s="5">
        <v>6.5000000000000002E-2</v>
      </c>
      <c r="E116" s="9">
        <v>5165.25</v>
      </c>
      <c r="G116" s="1"/>
    </row>
    <row r="117" spans="2:7">
      <c r="B117" s="4" t="s">
        <v>66</v>
      </c>
      <c r="C117" s="9">
        <v>2425</v>
      </c>
      <c r="D117" s="5">
        <v>6.5000000000000002E-2</v>
      </c>
      <c r="E117" s="9">
        <v>2582.63</v>
      </c>
      <c r="F117" s="18" t="s">
        <v>72</v>
      </c>
      <c r="G117" s="1"/>
    </row>
    <row r="118" spans="2:7">
      <c r="B118" s="4" t="s">
        <v>51</v>
      </c>
      <c r="C118" s="9">
        <v>900</v>
      </c>
      <c r="D118" s="5">
        <v>6.5000000000000002E-2</v>
      </c>
      <c r="E118" s="9">
        <v>958.5</v>
      </c>
      <c r="G118" s="1"/>
    </row>
    <row r="119" spans="2:7">
      <c r="B119" s="4" t="s">
        <v>52</v>
      </c>
      <c r="C119" s="9">
        <v>20900</v>
      </c>
      <c r="D119" s="5">
        <v>6.5000000000000002E-2</v>
      </c>
      <c r="E119" s="9">
        <v>22258.5</v>
      </c>
      <c r="F119" s="18" t="s">
        <v>70</v>
      </c>
      <c r="G119" s="1"/>
    </row>
    <row r="120" spans="2:7">
      <c r="B120" s="4" t="s">
        <v>53</v>
      </c>
      <c r="C120" s="9">
        <v>50350</v>
      </c>
      <c r="D120" s="5">
        <v>6.5000000000000002E-2</v>
      </c>
      <c r="E120" s="9">
        <v>53622.75</v>
      </c>
      <c r="F120" s="18" t="s">
        <v>71</v>
      </c>
      <c r="G120" s="1"/>
    </row>
    <row r="121" spans="2:7">
      <c r="B121" s="4" t="s">
        <v>54</v>
      </c>
      <c r="C121" s="9">
        <v>340</v>
      </c>
      <c r="D121" s="5">
        <v>6.5000000000000002E-2</v>
      </c>
      <c r="E121" s="9">
        <v>362.1</v>
      </c>
      <c r="G121" s="1"/>
    </row>
    <row r="122" spans="2:7">
      <c r="B122" s="4" t="s">
        <v>55</v>
      </c>
      <c r="C122" s="9">
        <v>3000</v>
      </c>
      <c r="D122" s="5">
        <v>6.5000000000000002E-2</v>
      </c>
      <c r="E122" s="9">
        <v>3195</v>
      </c>
      <c r="F122" s="18" t="s">
        <v>74</v>
      </c>
      <c r="G122" s="1"/>
    </row>
    <row r="123" spans="2:7">
      <c r="B123" s="4" t="s">
        <v>56</v>
      </c>
      <c r="C123" s="9">
        <v>1370</v>
      </c>
      <c r="D123" s="5">
        <v>6.5000000000000002E-2</v>
      </c>
      <c r="E123" s="9">
        <v>1459.05</v>
      </c>
      <c r="G123" s="1"/>
    </row>
    <row r="124" spans="2:7">
      <c r="B124" s="4" t="s">
        <v>57</v>
      </c>
      <c r="C124" s="9">
        <v>155</v>
      </c>
      <c r="D124" s="5">
        <v>6.5000000000000002E-2</v>
      </c>
      <c r="E124" s="9">
        <v>165.08</v>
      </c>
      <c r="G124" s="1"/>
    </row>
    <row r="125" spans="2:7">
      <c r="B125" s="4" t="s">
        <v>58</v>
      </c>
      <c r="C125" s="9">
        <v>1450</v>
      </c>
      <c r="D125" s="5">
        <v>6.5000000000000002E-2</v>
      </c>
      <c r="E125" s="9">
        <v>1544.25</v>
      </c>
      <c r="G125" s="1"/>
    </row>
    <row r="126" spans="2:7">
      <c r="B126" s="4" t="s">
        <v>123</v>
      </c>
      <c r="C126" s="9">
        <v>2900</v>
      </c>
      <c r="D126" s="5">
        <v>6.5000000000000002E-2</v>
      </c>
      <c r="E126" s="9">
        <f t="shared" ref="E126:E127" si="13">(C126*D126)+C126</f>
        <v>3088.5</v>
      </c>
      <c r="G126" s="1"/>
    </row>
    <row r="127" spans="2:7">
      <c r="B127" s="4" t="s">
        <v>124</v>
      </c>
      <c r="C127" s="9">
        <v>2900</v>
      </c>
      <c r="D127" s="5">
        <v>6.5000000000000002E-2</v>
      </c>
      <c r="E127" s="9">
        <f t="shared" si="13"/>
        <v>3088.5</v>
      </c>
      <c r="G127" s="1"/>
    </row>
    <row r="128" spans="2:7">
      <c r="B128" s="4" t="s">
        <v>67</v>
      </c>
      <c r="C128" s="9">
        <v>750</v>
      </c>
      <c r="D128" s="5">
        <v>6.5000000000000002E-2</v>
      </c>
      <c r="E128" s="9">
        <v>798.75</v>
      </c>
      <c r="F128" s="18" t="s">
        <v>72</v>
      </c>
      <c r="G128" s="1"/>
    </row>
    <row r="129" spans="2:7">
      <c r="B129" s="4" t="s">
        <v>68</v>
      </c>
      <c r="C129" s="9">
        <v>1580</v>
      </c>
      <c r="D129" s="5">
        <v>6.5000000000000002E-2</v>
      </c>
      <c r="E129" s="9">
        <v>1682.7</v>
      </c>
      <c r="F129" s="18" t="s">
        <v>73</v>
      </c>
      <c r="G129" s="1"/>
    </row>
    <row r="130" spans="2:7">
      <c r="B130" s="4" t="s">
        <v>64</v>
      </c>
      <c r="C130" s="9">
        <v>4100</v>
      </c>
      <c r="D130" s="5">
        <v>6.5000000000000002E-2</v>
      </c>
      <c r="E130" s="9">
        <v>4366.5</v>
      </c>
      <c r="F130" s="18" t="s">
        <v>76</v>
      </c>
      <c r="G130" s="1"/>
    </row>
    <row r="131" spans="2:7">
      <c r="B131" s="4" t="s">
        <v>59</v>
      </c>
      <c r="C131" s="9">
        <v>580</v>
      </c>
      <c r="D131" s="5">
        <v>6.5000000000000002E-2</v>
      </c>
      <c r="E131" s="9">
        <v>617.70000000000005</v>
      </c>
      <c r="F131" s="18" t="s">
        <v>72</v>
      </c>
      <c r="G131" s="1"/>
    </row>
    <row r="132" spans="2:7">
      <c r="B132" s="4" t="s">
        <v>60</v>
      </c>
      <c r="C132" s="9">
        <v>720</v>
      </c>
      <c r="D132" s="5">
        <v>6.5000000000000002E-2</v>
      </c>
      <c r="E132" s="9">
        <v>766.8</v>
      </c>
      <c r="G132" s="1"/>
    </row>
    <row r="133" spans="2:7">
      <c r="B133" s="4" t="s">
        <v>61</v>
      </c>
      <c r="C133" s="9">
        <v>2400</v>
      </c>
      <c r="D133" s="5">
        <v>6.5000000000000002E-2</v>
      </c>
      <c r="E133" s="9">
        <v>2556</v>
      </c>
      <c r="G133" s="1"/>
    </row>
    <row r="134" spans="2:7">
      <c r="B134" s="4" t="s">
        <v>62</v>
      </c>
      <c r="C134" s="9">
        <v>5200</v>
      </c>
      <c r="D134" s="5">
        <v>6.5000000000000002E-2</v>
      </c>
      <c r="E134" s="9">
        <v>5538</v>
      </c>
      <c r="F134" s="18" t="s">
        <v>75</v>
      </c>
      <c r="G134" s="1"/>
    </row>
    <row r="135" spans="2:7">
      <c r="B135" s="4" t="s">
        <v>63</v>
      </c>
      <c r="C135" s="9">
        <v>220</v>
      </c>
      <c r="D135" s="5">
        <v>6.5000000000000002E-2</v>
      </c>
      <c r="E135" s="9">
        <v>234.3</v>
      </c>
      <c r="G135" s="1"/>
    </row>
    <row r="136" spans="2:7">
      <c r="B136" s="4" t="s">
        <v>79</v>
      </c>
      <c r="C136" s="9">
        <v>1080</v>
      </c>
      <c r="D136" s="5">
        <v>6.5000000000000002E-2</v>
      </c>
      <c r="E136" s="9">
        <v>1150.2</v>
      </c>
      <c r="G136" s="1"/>
    </row>
    <row r="137" spans="2:7">
      <c r="B137" s="4" t="s">
        <v>80</v>
      </c>
      <c r="C137" s="9">
        <v>435</v>
      </c>
      <c r="D137" s="5">
        <v>6.5000000000000002E-2</v>
      </c>
      <c r="E137" s="9">
        <v>463.28</v>
      </c>
      <c r="G137" s="1"/>
    </row>
    <row r="138" spans="2:7">
      <c r="B138" s="4" t="s">
        <v>81</v>
      </c>
      <c r="C138" s="9">
        <v>485</v>
      </c>
      <c r="D138" s="5">
        <v>6.5000000000000002E-2</v>
      </c>
      <c r="E138" s="9">
        <v>516.53</v>
      </c>
      <c r="G138" s="1"/>
    </row>
    <row r="139" spans="2:7">
      <c r="B139" s="4" t="s">
        <v>82</v>
      </c>
      <c r="C139" s="9">
        <v>510</v>
      </c>
      <c r="D139" s="5">
        <v>6.5000000000000002E-2</v>
      </c>
      <c r="E139" s="9">
        <v>543.15</v>
      </c>
      <c r="G139" s="1"/>
    </row>
    <row r="140" spans="2:7">
      <c r="B140" s="4"/>
      <c r="C140" s="9"/>
      <c r="D140" s="5"/>
      <c r="E140" s="9"/>
      <c r="G140" s="1"/>
    </row>
    <row r="141" spans="2:7">
      <c r="B141" s="6" t="s">
        <v>105</v>
      </c>
      <c r="C141" s="9"/>
      <c r="D141" s="5"/>
      <c r="E141" s="9"/>
      <c r="G141" s="1"/>
    </row>
    <row r="142" spans="2:7">
      <c r="B142" s="4"/>
      <c r="C142" s="9"/>
      <c r="D142" s="5"/>
      <c r="E142" s="9"/>
      <c r="G142" s="1"/>
    </row>
    <row r="143" spans="2:7">
      <c r="B143" s="4" t="s">
        <v>104</v>
      </c>
      <c r="C143" s="9">
        <v>100</v>
      </c>
      <c r="D143" s="5">
        <v>6.5000000000000002E-2</v>
      </c>
      <c r="E143" s="9">
        <f t="shared" ref="E143:E197" si="14">(C143*D143)+C143</f>
        <v>106.5</v>
      </c>
      <c r="G143" s="1"/>
    </row>
    <row r="144" spans="2:7">
      <c r="B144" s="4" t="s">
        <v>107</v>
      </c>
      <c r="C144" s="9">
        <v>90</v>
      </c>
      <c r="D144" s="5">
        <v>6.5000000000000002E-2</v>
      </c>
      <c r="E144" s="9">
        <f t="shared" si="14"/>
        <v>95.85</v>
      </c>
      <c r="G144" s="1"/>
    </row>
    <row r="145" spans="2:7">
      <c r="B145" s="4" t="s">
        <v>108</v>
      </c>
      <c r="C145" s="9">
        <v>90</v>
      </c>
      <c r="D145" s="5">
        <v>6.5000000000000002E-2</v>
      </c>
      <c r="E145" s="9">
        <f t="shared" si="14"/>
        <v>95.85</v>
      </c>
      <c r="G145" s="1"/>
    </row>
    <row r="146" spans="2:7">
      <c r="B146" s="4" t="s">
        <v>109</v>
      </c>
      <c r="C146" s="9">
        <v>65</v>
      </c>
      <c r="D146" s="5">
        <v>6.5000000000000002E-2</v>
      </c>
      <c r="E146" s="9">
        <f t="shared" si="14"/>
        <v>69.224999999999994</v>
      </c>
      <c r="G146" s="1"/>
    </row>
    <row r="147" spans="2:7">
      <c r="B147" s="4" t="s">
        <v>110</v>
      </c>
      <c r="C147" s="9">
        <v>70</v>
      </c>
      <c r="D147" s="5">
        <v>6.5000000000000002E-2</v>
      </c>
      <c r="E147" s="9">
        <f t="shared" si="14"/>
        <v>74.55</v>
      </c>
      <c r="G147" s="1"/>
    </row>
    <row r="148" spans="2:7">
      <c r="B148" s="4"/>
      <c r="C148" s="9"/>
      <c r="D148" s="5"/>
      <c r="E148" s="9"/>
      <c r="G148" s="1"/>
    </row>
    <row r="149" spans="2:7">
      <c r="B149" s="4" t="s">
        <v>106</v>
      </c>
      <c r="C149" s="9">
        <v>45</v>
      </c>
      <c r="D149" s="5">
        <v>6.5000000000000002E-2</v>
      </c>
      <c r="E149" s="9">
        <f t="shared" si="14"/>
        <v>47.924999999999997</v>
      </c>
      <c r="G149" s="1"/>
    </row>
    <row r="150" spans="2:7">
      <c r="B150" s="4"/>
      <c r="C150" s="9"/>
      <c r="D150" s="5"/>
      <c r="E150" s="9"/>
      <c r="G150" s="1"/>
    </row>
    <row r="151" spans="2:7">
      <c r="B151" s="4"/>
      <c r="C151" s="9"/>
      <c r="D151" s="5"/>
      <c r="E151" s="9"/>
      <c r="G151" s="1"/>
    </row>
    <row r="152" spans="2:7">
      <c r="B152" s="19" t="s">
        <v>171</v>
      </c>
      <c r="C152" s="9"/>
      <c r="D152" s="5"/>
      <c r="E152" s="9">
        <f t="shared" si="14"/>
        <v>0</v>
      </c>
      <c r="G152" s="1"/>
    </row>
    <row r="153" spans="2:7">
      <c r="B153" s="13" t="s">
        <v>177</v>
      </c>
      <c r="C153" s="12">
        <v>1450</v>
      </c>
      <c r="D153" s="15">
        <v>6.5000000000000002E-2</v>
      </c>
      <c r="E153" s="9">
        <f t="shared" si="14"/>
        <v>1544.25</v>
      </c>
      <c r="G153" s="1"/>
    </row>
    <row r="154" spans="2:7">
      <c r="B154" s="13" t="s">
        <v>178</v>
      </c>
      <c r="C154" s="12">
        <v>550</v>
      </c>
      <c r="D154" s="15">
        <v>6.5000000000000002E-2</v>
      </c>
      <c r="E154" s="9">
        <f t="shared" si="14"/>
        <v>585.75</v>
      </c>
      <c r="G154" s="1"/>
    </row>
    <row r="155" spans="2:7">
      <c r="B155" s="13" t="s">
        <v>179</v>
      </c>
      <c r="C155" s="12">
        <v>3000</v>
      </c>
      <c r="D155" s="15">
        <v>6.5000000000000002E-2</v>
      </c>
      <c r="E155" s="9">
        <f t="shared" si="14"/>
        <v>3195</v>
      </c>
      <c r="G155" s="1"/>
    </row>
    <row r="156" spans="2:7" s="26" customFormat="1">
      <c r="B156" s="20" t="s">
        <v>172</v>
      </c>
      <c r="C156" s="21">
        <v>8850</v>
      </c>
      <c r="D156" s="22">
        <v>6.5000000000000002E-2</v>
      </c>
      <c r="E156" s="23">
        <f t="shared" si="14"/>
        <v>9425.25</v>
      </c>
      <c r="F156" s="24"/>
      <c r="G156" s="25"/>
    </row>
    <row r="157" spans="2:7" s="26" customFormat="1">
      <c r="B157" s="20" t="s">
        <v>173</v>
      </c>
      <c r="C157" s="21">
        <v>3300</v>
      </c>
      <c r="D157" s="22">
        <v>6.5000000000000002E-2</v>
      </c>
      <c r="E157" s="23">
        <f t="shared" si="14"/>
        <v>3514.5</v>
      </c>
      <c r="F157" s="24"/>
      <c r="G157" s="25"/>
    </row>
    <row r="158" spans="2:7" s="26" customFormat="1">
      <c r="B158" s="20" t="s">
        <v>174</v>
      </c>
      <c r="C158" s="21">
        <v>10950</v>
      </c>
      <c r="D158" s="22">
        <v>6.5000000000000002E-2</v>
      </c>
      <c r="E158" s="23">
        <f t="shared" si="14"/>
        <v>11661.75</v>
      </c>
      <c r="F158" s="24"/>
      <c r="G158" s="25"/>
    </row>
    <row r="159" spans="2:7" s="26" customFormat="1">
      <c r="B159" s="20" t="s">
        <v>175</v>
      </c>
      <c r="C159" s="21">
        <v>5200</v>
      </c>
      <c r="D159" s="22">
        <v>6.5000000000000002E-2</v>
      </c>
      <c r="E159" s="23">
        <f t="shared" si="14"/>
        <v>5538</v>
      </c>
      <c r="F159" s="24"/>
      <c r="G159" s="25"/>
    </row>
    <row r="160" spans="2:7" s="26" customFormat="1">
      <c r="B160" s="20" t="s">
        <v>176</v>
      </c>
      <c r="C160" s="21">
        <v>8000</v>
      </c>
      <c r="D160" s="22">
        <v>6.5000000000000002E-2</v>
      </c>
      <c r="E160" s="23">
        <f t="shared" si="14"/>
        <v>8520</v>
      </c>
      <c r="F160" s="24"/>
      <c r="G160" s="25"/>
    </row>
    <row r="161" spans="2:7" s="26" customFormat="1">
      <c r="B161" s="27" t="s">
        <v>125</v>
      </c>
      <c r="C161" s="21">
        <v>68</v>
      </c>
      <c r="D161" s="22">
        <v>6.5000000000000002E-2</v>
      </c>
      <c r="E161" s="23">
        <f t="shared" si="14"/>
        <v>72.42</v>
      </c>
      <c r="F161" s="24">
        <v>3251092409555</v>
      </c>
      <c r="G161" s="25"/>
    </row>
    <row r="162" spans="2:7" s="26" customFormat="1">
      <c r="B162" s="27" t="s">
        <v>126</v>
      </c>
      <c r="C162" s="21">
        <v>890</v>
      </c>
      <c r="D162" s="22">
        <v>6.5000000000000002E-2</v>
      </c>
      <c r="E162" s="23">
        <f t="shared" si="14"/>
        <v>947.85</v>
      </c>
      <c r="F162" s="24">
        <v>3251092025984</v>
      </c>
      <c r="G162" s="25"/>
    </row>
    <row r="163" spans="2:7" s="26" customFormat="1">
      <c r="B163" s="27" t="s">
        <v>127</v>
      </c>
      <c r="C163" s="21">
        <v>1850</v>
      </c>
      <c r="D163" s="22">
        <v>6.5000000000000002E-2</v>
      </c>
      <c r="E163" s="23">
        <f t="shared" si="14"/>
        <v>1970.25</v>
      </c>
      <c r="F163" s="24">
        <v>3251092025960</v>
      </c>
      <c r="G163" s="25"/>
    </row>
    <row r="164" spans="2:7" s="26" customFormat="1">
      <c r="B164" s="27" t="s">
        <v>128</v>
      </c>
      <c r="C164" s="21">
        <v>1100</v>
      </c>
      <c r="D164" s="22">
        <v>6.5000000000000002E-2</v>
      </c>
      <c r="E164" s="23">
        <f t="shared" si="14"/>
        <v>1171.5</v>
      </c>
      <c r="F164" s="24">
        <v>3296362020146</v>
      </c>
      <c r="G164" s="25"/>
    </row>
    <row r="165" spans="2:7" s="26" customFormat="1">
      <c r="B165" s="27" t="s">
        <v>129</v>
      </c>
      <c r="C165" s="21">
        <v>330</v>
      </c>
      <c r="D165" s="22">
        <v>6.5000000000000002E-2</v>
      </c>
      <c r="E165" s="23">
        <f t="shared" si="14"/>
        <v>351.45</v>
      </c>
      <c r="F165" s="24">
        <v>3296361022103</v>
      </c>
      <c r="G165" s="25"/>
    </row>
    <row r="166" spans="2:7" s="26" customFormat="1">
      <c r="B166" s="27" t="s">
        <v>130</v>
      </c>
      <c r="C166" s="21">
        <v>165</v>
      </c>
      <c r="D166" s="22">
        <v>6.5000000000000002E-2</v>
      </c>
      <c r="E166" s="23">
        <f t="shared" si="14"/>
        <v>175.72499999999999</v>
      </c>
      <c r="F166" s="24">
        <v>3296362020108</v>
      </c>
      <c r="G166" s="25"/>
    </row>
    <row r="167" spans="2:7" s="26" customFormat="1">
      <c r="B167" s="27" t="s">
        <v>131</v>
      </c>
      <c r="C167" s="21">
        <v>2100</v>
      </c>
      <c r="D167" s="22">
        <v>6.5000000000000002E-2</v>
      </c>
      <c r="E167" s="23">
        <f t="shared" si="14"/>
        <v>2236.5</v>
      </c>
      <c r="F167" s="24">
        <v>3339011111014</v>
      </c>
      <c r="G167" s="25"/>
    </row>
    <row r="168" spans="2:7">
      <c r="B168" s="14" t="s">
        <v>132</v>
      </c>
      <c r="C168" s="12">
        <v>15200</v>
      </c>
      <c r="D168" s="15">
        <v>6.5000000000000002E-2</v>
      </c>
      <c r="E168" s="9">
        <f t="shared" si="14"/>
        <v>16188</v>
      </c>
      <c r="F168" s="18">
        <v>3251092500801</v>
      </c>
      <c r="G168" s="1"/>
    </row>
    <row r="169" spans="2:7">
      <c r="B169" s="14" t="s">
        <v>133</v>
      </c>
      <c r="C169" s="12">
        <v>7600</v>
      </c>
      <c r="D169" s="15">
        <v>6.5000000000000002E-2</v>
      </c>
      <c r="E169" s="9">
        <f t="shared" si="14"/>
        <v>8094</v>
      </c>
      <c r="F169" s="18">
        <v>3251092500788</v>
      </c>
      <c r="G169" s="1"/>
    </row>
    <row r="170" spans="2:7" s="26" customFormat="1">
      <c r="B170" s="27" t="s">
        <v>134</v>
      </c>
      <c r="C170" s="21">
        <v>7500</v>
      </c>
      <c r="D170" s="22">
        <v>6.5000000000000002E-2</v>
      </c>
      <c r="E170" s="23">
        <f t="shared" si="14"/>
        <v>7987.5</v>
      </c>
      <c r="F170" s="24">
        <v>3262156051757</v>
      </c>
      <c r="G170" s="25"/>
    </row>
    <row r="171" spans="2:7" s="26" customFormat="1">
      <c r="B171" s="27" t="s">
        <v>135</v>
      </c>
      <c r="C171" s="21">
        <v>275</v>
      </c>
      <c r="D171" s="22">
        <v>6.5000000000000002E-2</v>
      </c>
      <c r="E171" s="23">
        <f t="shared" si="14"/>
        <v>292.875</v>
      </c>
      <c r="F171" s="24">
        <v>3251092116514</v>
      </c>
      <c r="G171" s="25"/>
    </row>
    <row r="172" spans="2:7" s="26" customFormat="1">
      <c r="B172" s="27" t="s">
        <v>136</v>
      </c>
      <c r="C172" s="21">
        <v>136</v>
      </c>
      <c r="D172" s="22">
        <v>6.5000000000000002E-2</v>
      </c>
      <c r="E172" s="23">
        <f t="shared" si="14"/>
        <v>144.84</v>
      </c>
      <c r="F172" s="24">
        <v>3251092500221</v>
      </c>
      <c r="G172" s="25"/>
    </row>
    <row r="173" spans="2:7">
      <c r="B173" s="13" t="s">
        <v>137</v>
      </c>
      <c r="C173" s="12">
        <v>335</v>
      </c>
      <c r="D173" s="15">
        <v>6.5000000000000002E-2</v>
      </c>
      <c r="E173" s="9">
        <f t="shared" si="14"/>
        <v>356.77499999999998</v>
      </c>
      <c r="G173" s="1"/>
    </row>
    <row r="174" spans="2:7" s="26" customFormat="1">
      <c r="B174" s="20" t="s">
        <v>138</v>
      </c>
      <c r="C174" s="21">
        <v>15980</v>
      </c>
      <c r="D174" s="22">
        <v>6.5000000000000002E-2</v>
      </c>
      <c r="E174" s="23">
        <f t="shared" si="14"/>
        <v>17018.7</v>
      </c>
      <c r="F174" s="24"/>
      <c r="G174" s="25"/>
    </row>
    <row r="175" spans="2:7" s="26" customFormat="1">
      <c r="B175" s="20" t="s">
        <v>139</v>
      </c>
      <c r="C175" s="21">
        <v>7450</v>
      </c>
      <c r="D175" s="22">
        <v>6.5000000000000002E-2</v>
      </c>
      <c r="E175" s="23">
        <f t="shared" si="14"/>
        <v>7934.25</v>
      </c>
      <c r="F175" s="24"/>
    </row>
    <row r="176" spans="2:7" s="26" customFormat="1">
      <c r="B176" s="20" t="s">
        <v>140</v>
      </c>
      <c r="C176" s="21">
        <v>7980</v>
      </c>
      <c r="D176" s="22">
        <v>6.5000000000000002E-2</v>
      </c>
      <c r="E176" s="23">
        <f t="shared" si="14"/>
        <v>8498.7000000000007</v>
      </c>
      <c r="F176" s="24">
        <v>3262156051757</v>
      </c>
    </row>
    <row r="177" spans="2:6" s="26" customFormat="1">
      <c r="B177" s="20" t="s">
        <v>141</v>
      </c>
      <c r="C177" s="21">
        <v>16750</v>
      </c>
      <c r="D177" s="22">
        <v>6.5000000000000002E-2</v>
      </c>
      <c r="E177" s="23">
        <f t="shared" si="14"/>
        <v>17838.75</v>
      </c>
      <c r="F177" s="24"/>
    </row>
    <row r="178" spans="2:6" s="26" customFormat="1">
      <c r="B178" s="20" t="s">
        <v>142</v>
      </c>
      <c r="C178" s="21">
        <v>480</v>
      </c>
      <c r="D178" s="22">
        <v>6.5000000000000002E-2</v>
      </c>
      <c r="E178" s="23">
        <f t="shared" si="14"/>
        <v>511.2</v>
      </c>
      <c r="F178" s="24"/>
    </row>
    <row r="179" spans="2:6" s="26" customFormat="1">
      <c r="B179" s="20" t="s">
        <v>143</v>
      </c>
      <c r="C179" s="21">
        <v>1200</v>
      </c>
      <c r="D179" s="22">
        <v>6.5000000000000002E-2</v>
      </c>
      <c r="E179" s="23">
        <f t="shared" si="14"/>
        <v>1278</v>
      </c>
      <c r="F179" s="24"/>
    </row>
    <row r="180" spans="2:6" s="26" customFormat="1">
      <c r="B180" s="20" t="s">
        <v>144</v>
      </c>
      <c r="C180" s="21">
        <v>295</v>
      </c>
      <c r="D180" s="22">
        <v>6.5000000000000002E-2</v>
      </c>
      <c r="E180" s="23">
        <f t="shared" si="14"/>
        <v>314.17500000000001</v>
      </c>
      <c r="F180" s="24"/>
    </row>
    <row r="181" spans="2:6" s="26" customFormat="1">
      <c r="B181" s="20" t="s">
        <v>145</v>
      </c>
      <c r="C181" s="21">
        <v>320</v>
      </c>
      <c r="D181" s="22">
        <v>6.5000000000000002E-2</v>
      </c>
      <c r="E181" s="23">
        <f t="shared" si="14"/>
        <v>340.8</v>
      </c>
      <c r="F181" s="24"/>
    </row>
    <row r="182" spans="2:6" s="26" customFormat="1">
      <c r="B182" s="20" t="s">
        <v>146</v>
      </c>
      <c r="C182" s="21">
        <v>1750</v>
      </c>
      <c r="D182" s="22">
        <v>6.5000000000000002E-2</v>
      </c>
      <c r="E182" s="23">
        <f t="shared" si="14"/>
        <v>1863.75</v>
      </c>
      <c r="F182" s="24"/>
    </row>
    <row r="183" spans="2:6" s="26" customFormat="1">
      <c r="B183" s="20" t="s">
        <v>147</v>
      </c>
      <c r="C183" s="21">
        <v>7400</v>
      </c>
      <c r="D183" s="22">
        <v>6.5000000000000002E-2</v>
      </c>
      <c r="E183" s="23">
        <f t="shared" si="14"/>
        <v>7881</v>
      </c>
      <c r="F183" s="24"/>
    </row>
    <row r="184" spans="2:6" s="26" customFormat="1">
      <c r="B184" s="20" t="s">
        <v>148</v>
      </c>
      <c r="C184" s="21">
        <v>3700</v>
      </c>
      <c r="D184" s="22">
        <v>6.5000000000000002E-2</v>
      </c>
      <c r="E184" s="23">
        <f t="shared" si="14"/>
        <v>3940.5</v>
      </c>
      <c r="F184" s="24"/>
    </row>
    <row r="185" spans="2:6" s="26" customFormat="1">
      <c r="B185" s="20" t="s">
        <v>149</v>
      </c>
      <c r="C185" s="21">
        <v>7500</v>
      </c>
      <c r="D185" s="22">
        <v>6.5000000000000002E-2</v>
      </c>
      <c r="E185" s="23">
        <f t="shared" si="14"/>
        <v>7987.5</v>
      </c>
      <c r="F185" s="24"/>
    </row>
    <row r="186" spans="2:6" s="26" customFormat="1">
      <c r="B186" s="20" t="s">
        <v>150</v>
      </c>
      <c r="C186" s="21">
        <v>450</v>
      </c>
      <c r="D186" s="22">
        <v>6.5000000000000002E-2</v>
      </c>
      <c r="E186" s="23">
        <f t="shared" si="14"/>
        <v>479.25</v>
      </c>
      <c r="F186" s="24"/>
    </row>
    <row r="187" spans="2:6">
      <c r="B187" s="13" t="s">
        <v>151</v>
      </c>
      <c r="C187" s="12">
        <v>180</v>
      </c>
      <c r="D187" s="15">
        <v>6.5000000000000002E-2</v>
      </c>
      <c r="E187" s="9">
        <f t="shared" si="14"/>
        <v>191.7</v>
      </c>
    </row>
    <row r="188" spans="2:6">
      <c r="B188" s="13" t="s">
        <v>152</v>
      </c>
      <c r="C188" s="12">
        <v>250</v>
      </c>
      <c r="D188" s="15">
        <v>6.5000000000000002E-2</v>
      </c>
      <c r="E188" s="9">
        <f t="shared" si="14"/>
        <v>266.25</v>
      </c>
    </row>
    <row r="189" spans="2:6" s="26" customFormat="1">
      <c r="B189" s="20" t="s">
        <v>153</v>
      </c>
      <c r="C189" s="21">
        <v>2180</v>
      </c>
      <c r="D189" s="22">
        <v>6.5000000000000002E-2</v>
      </c>
      <c r="E189" s="23">
        <f t="shared" si="14"/>
        <v>2321.6999999999998</v>
      </c>
      <c r="F189" s="24"/>
    </row>
    <row r="190" spans="2:6" s="26" customFormat="1">
      <c r="B190" s="20" t="s">
        <v>154</v>
      </c>
      <c r="C190" s="21">
        <v>230</v>
      </c>
      <c r="D190" s="22">
        <v>6.5000000000000002E-2</v>
      </c>
      <c r="E190" s="23">
        <f t="shared" si="14"/>
        <v>244.95</v>
      </c>
      <c r="F190" s="24"/>
    </row>
    <row r="191" spans="2:6" s="26" customFormat="1">
      <c r="B191" s="20" t="s">
        <v>155</v>
      </c>
      <c r="C191" s="21">
        <v>480</v>
      </c>
      <c r="D191" s="22">
        <v>6.5000000000000002E-2</v>
      </c>
      <c r="E191" s="23">
        <f t="shared" si="14"/>
        <v>511.2</v>
      </c>
      <c r="F191" s="24"/>
    </row>
    <row r="192" spans="2:6" s="26" customFormat="1">
      <c r="B192" s="20" t="s">
        <v>156</v>
      </c>
      <c r="C192" s="21">
        <v>1200</v>
      </c>
      <c r="D192" s="22">
        <v>6.5000000000000002E-2</v>
      </c>
      <c r="E192" s="23">
        <f t="shared" si="14"/>
        <v>1278</v>
      </c>
      <c r="F192" s="24"/>
    </row>
    <row r="193" spans="2:6" s="26" customFormat="1">
      <c r="B193" s="20" t="s">
        <v>157</v>
      </c>
      <c r="C193" s="21">
        <v>610</v>
      </c>
      <c r="D193" s="22">
        <v>6.5000000000000002E-2</v>
      </c>
      <c r="E193" s="23">
        <f t="shared" si="14"/>
        <v>649.65</v>
      </c>
      <c r="F193" s="24"/>
    </row>
    <row r="194" spans="2:6" s="26" customFormat="1">
      <c r="B194" s="20" t="s">
        <v>158</v>
      </c>
      <c r="C194" s="21">
        <v>1580</v>
      </c>
      <c r="D194" s="22">
        <v>6.5000000000000002E-2</v>
      </c>
      <c r="E194" s="23">
        <f t="shared" si="14"/>
        <v>1682.7</v>
      </c>
      <c r="F194" s="24"/>
    </row>
    <row r="195" spans="2:6" s="26" customFormat="1">
      <c r="B195" s="20" t="s">
        <v>159</v>
      </c>
      <c r="C195" s="21">
        <v>85</v>
      </c>
      <c r="D195" s="22">
        <v>6.5000000000000002E-2</v>
      </c>
      <c r="E195" s="23">
        <f t="shared" si="14"/>
        <v>90.525000000000006</v>
      </c>
      <c r="F195" s="24"/>
    </row>
    <row r="196" spans="2:6">
      <c r="D196" s="16"/>
      <c r="E196" s="9">
        <f t="shared" si="14"/>
        <v>0</v>
      </c>
    </row>
    <row r="197" spans="2:6">
      <c r="D197" s="16"/>
      <c r="E197" s="9">
        <f t="shared" si="14"/>
        <v>0</v>
      </c>
    </row>
    <row r="198" spans="2:6">
      <c r="D198" s="16"/>
    </row>
    <row r="199" spans="2:6">
      <c r="D199" s="16"/>
    </row>
    <row r="200" spans="2:6">
      <c r="D200" s="16"/>
    </row>
    <row r="201" spans="2:6">
      <c r="D201" s="16"/>
    </row>
  </sheetData>
  <phoneticPr fontId="6" type="noConversion"/>
  <pageMargins left="0.511811024" right="0.511811024" top="0.78740157499999996" bottom="0.78740157499999996" header="0.31496062000000002" footer="0.31496062000000002"/>
  <pageSetup paperSize="9" scale="5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a borges borges</dc:creator>
  <cp:lastModifiedBy>marcelo heldt</cp:lastModifiedBy>
  <cp:lastPrinted>2025-07-01T14:37:38Z</cp:lastPrinted>
  <dcterms:created xsi:type="dcterms:W3CDTF">2025-05-25T11:20:16Z</dcterms:created>
  <dcterms:modified xsi:type="dcterms:W3CDTF">2025-10-02T11:11:11Z</dcterms:modified>
</cp:coreProperties>
</file>