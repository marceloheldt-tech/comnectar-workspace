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124 DESC 8%" sheetId="1" r:id="rId4"/>
  </sheets>
  <definedNames>
    <definedName name="Linha_Formatação">1</definedName>
  </definedNames>
  <calcPr/>
  <extLst>
    <ext uri="GoogleSheetsCustomDataVersion2">
      <go:sheetsCustomData xmlns:go="http://customooxmlschemas.google.com/" r:id="rId5" roundtripDataChecksum="4X5Af5EqeZDqUgYF86UhXMbxhViW192jhcHXPlL800Y="/>
    </ext>
  </extLst>
</workbook>
</file>

<file path=xl/sharedStrings.xml><?xml version="1.0" encoding="utf-8"?>
<sst xmlns="http://schemas.openxmlformats.org/spreadsheetml/2006/main" count="1783" uniqueCount="691">
  <si>
    <t>Cód.</t>
  </si>
  <si>
    <t>Descricao</t>
  </si>
  <si>
    <t>Caixa</t>
  </si>
  <si>
    <t>Classificação</t>
  </si>
  <si>
    <t>Total Base S IPI</t>
  </si>
  <si>
    <t>IPI %</t>
  </si>
  <si>
    <t>Valor Total c ipi</t>
  </si>
  <si>
    <t>FRANÇA</t>
  </si>
  <si>
    <t>Château Dauzac (Bordeaux)</t>
  </si>
  <si>
    <t>Comte de Dauzac Bordeaux (Chateau Dauzac)</t>
  </si>
  <si>
    <t>6 X 750ml</t>
  </si>
  <si>
    <t>Tintos</t>
  </si>
  <si>
    <t>Comte de Dauzac Haut-Medoc (Chateau Dauzac)</t>
  </si>
  <si>
    <t>Comte de Dauzac Margaux (Chateau Dauzac)</t>
  </si>
  <si>
    <t>Chateau Dauzac Grand Vin Margaux (Chateau Dauzac)</t>
  </si>
  <si>
    <t>Château La Tour de By (Bordeaux - Médoc)</t>
  </si>
  <si>
    <t>Ch. La Tour De By Rouge</t>
  </si>
  <si>
    <t>12 X 750ml</t>
  </si>
  <si>
    <t>Ch. La Roque De By (Ch. La Tour De By)</t>
  </si>
  <si>
    <t>Audy (Bordeaux)</t>
  </si>
  <si>
    <t>Ch. Suduiraut Sauternes 375ml (Audy)</t>
  </si>
  <si>
    <t>24 X</t>
  </si>
  <si>
    <t>Doces e Fortificados</t>
  </si>
  <si>
    <t>Chateau Pierrefitte (Audy)</t>
  </si>
  <si>
    <t>Chateau La Croix Calendreau (Audy)</t>
  </si>
  <si>
    <t>Chateau Tour De Luchey (Audy)</t>
  </si>
  <si>
    <t>Ch.Langoa Barton Saint-Julien (Audy)</t>
  </si>
  <si>
    <t>Ch.Phelan Segur Saint Estephe (Audy)</t>
  </si>
  <si>
    <t>Ch.Pedesclaux Pauillac (Audy)</t>
  </si>
  <si>
    <t>Ch.Grand Puy Lacoste Pauillac (Audy)</t>
  </si>
  <si>
    <t>Ch. Bonalgue Pomerol (Audy)</t>
  </si>
  <si>
    <t>Ch. Grand Pontet Saint Emilion (Audy)</t>
  </si>
  <si>
    <t>Producta Vignobles (Bordeaux)</t>
  </si>
  <si>
    <t xml:space="preserve">Sauvignon Gris Grain de Lune (Producta Vignobles) </t>
  </si>
  <si>
    <t>Brancos</t>
  </si>
  <si>
    <t>Chateau Grand Jouan (Producta Vignobles)</t>
  </si>
  <si>
    <t>Saint-Didier Parnac (Sud-Ouest)</t>
  </si>
  <si>
    <t>Mission de Cenac Cahors (St Didier Parnac)</t>
  </si>
  <si>
    <t>Prieure de Cernac Cahors (St Didier Parnac)</t>
  </si>
  <si>
    <t>Prieure de Cernac La Vierge (St Didier Parnac)</t>
  </si>
  <si>
    <t>Alain Brumont (Sud-Ouest)</t>
  </si>
  <si>
    <t>Gros Manseng Sauvignon (Alain Brumont)</t>
  </si>
  <si>
    <t>La Gascogne Tannat Merlot (Alain Brumont)</t>
  </si>
  <si>
    <t>Torus Rouge (Alain Brumont)</t>
  </si>
  <si>
    <t>Ch. Bouscasse (Alain Brumont)</t>
  </si>
  <si>
    <t xml:space="preserve">Ch. Montus (Alain Brumont) </t>
  </si>
  <si>
    <t>Château de Geraud (Sud-Ouest)</t>
  </si>
  <si>
    <t>Chateau de Geraud Monbazillac (Chateau de Geraud)</t>
  </si>
  <si>
    <t>Domaine Antonin Guyon (Bourgogne)</t>
  </si>
  <si>
    <t>Savigny-Les-Beaune (D.A.Guyon)</t>
  </si>
  <si>
    <t>Gevrey-Chambertin (D.A.Guyon)</t>
  </si>
  <si>
    <t>Corton Clos Du Roy Gran Cru (D.A.Guyon)</t>
  </si>
  <si>
    <t>Bourgogne Cuvee Des Dames De Vergy (D.A.Guyon)</t>
  </si>
  <si>
    <t>Château de La Tour (Bourgogne - Côte de Nuits)</t>
  </si>
  <si>
    <t>Clos-Vougeot Gran Cru (La Tour)</t>
  </si>
  <si>
    <t>Clos-Vougeot Gran Cru Vieilles Vignes (La Tour)</t>
  </si>
  <si>
    <t>Domaine Pierre Labet (Bourgogne - Côte de Beaune)</t>
  </si>
  <si>
    <t>Cremant Bourgogne Ac (F. Labet)</t>
  </si>
  <si>
    <t>Frisantes e Espumantes</t>
  </si>
  <si>
    <t>Cremant Bourgogne Rose (F. Labet)</t>
  </si>
  <si>
    <t>Francois Labet Chardonnay  (F. Labet)</t>
  </si>
  <si>
    <t>Pinot Noir Mediterranee (F.Labet)</t>
  </si>
  <si>
    <t>Bourgogne Pinot Noir (Labet)</t>
  </si>
  <si>
    <t>Beaune 1ER Cru Coucherias (P.Labet)</t>
  </si>
  <si>
    <t>Château de Cîteaux - Domaine Bouzereau (Bourgogne - Côte de Beaune)</t>
  </si>
  <si>
    <t>Puligny-Montrachet Ler Cru Champs Gains (Bouzereau)</t>
  </si>
  <si>
    <t>Meursault Vieux Clos Monopole (Bouzereau)</t>
  </si>
  <si>
    <t>Meursault Ler Cru Perrieres  (Bouzereau)</t>
  </si>
  <si>
    <t>Chassagne Montrachet Tinto (Bouzereau)</t>
  </si>
  <si>
    <t>Domaine Roger Belland (Bourgogne - Côte de Beaune)</t>
  </si>
  <si>
    <t>Santenay Comme-Dessus Branco (Belland)</t>
  </si>
  <si>
    <t>Santenay 1Er Cru Beauregard Branco (Belland)</t>
  </si>
  <si>
    <t>Santenay Charmes (Belland)</t>
  </si>
  <si>
    <t>Pommard Les Cras (Belland)</t>
  </si>
  <si>
    <t>Santenay 1Er Cru Beauregard Tinto (Belland)</t>
  </si>
  <si>
    <t>Suremain (Bourgogne-Côte Chalonnaise)</t>
  </si>
  <si>
    <t>Mercurey 1ER Cru Em Sazenay Branco (Suremain)</t>
  </si>
  <si>
    <t>Mercurey Tinto (Suremain)</t>
  </si>
  <si>
    <t>Mercurey 1ER Cru Em Sazenay Tinto (Suremain)</t>
  </si>
  <si>
    <t>Sébastien Giroux (Bourgogne-Mâconnais)</t>
  </si>
  <si>
    <t>Macon-Fuisse Vers Chanes (Sebastian Giroux)</t>
  </si>
  <si>
    <t>Pouilly-Fuisse (Sebastoan Giroux)</t>
  </si>
  <si>
    <t>Pouilly-Fuisse Vieilles Vignes (Sebastian Giroux)</t>
  </si>
  <si>
    <t>Pouilly-Fuisse 1ER Vignes Blanches (Sebastian Giroux)</t>
  </si>
  <si>
    <t>Marc Jambon (Beaujolais)</t>
  </si>
  <si>
    <t xml:space="preserve">Beaujolais-Villages (Marc Jambon) </t>
  </si>
  <si>
    <t xml:space="preserve">Morgon Les Charmes (Marc Jambon) </t>
  </si>
  <si>
    <t>Alain Geoffroy (Chablis)</t>
  </si>
  <si>
    <t>Petit Chablis (Alain Geoffroy)</t>
  </si>
  <si>
    <t>Chablis Vieilles Vignes (Alain Geoffroy)</t>
  </si>
  <si>
    <t>Chablis 1Er Cru Beauroy Vieilles Vignes (Alain Geoffroy)</t>
  </si>
  <si>
    <t>Kriter (Bourgogne)</t>
  </si>
  <si>
    <t>Kriter Brut (Sovidis)</t>
  </si>
  <si>
    <t>Kriter Rose (Sovidis)</t>
  </si>
  <si>
    <t>Château de Tracy (Loire - Pouilly-Fumé)</t>
  </si>
  <si>
    <t>Pouilly-Fume (De Tracy)</t>
  </si>
  <si>
    <t>Domaine du Salvard (Loire - Cheverny)</t>
  </si>
  <si>
    <t>Cheverny Blanc Le Vieux Clos (Salvard)</t>
  </si>
  <si>
    <t>Château de Gillières (Loire)</t>
  </si>
  <si>
    <t>Muscadet Vieilles Vignes (Gillieres)</t>
  </si>
  <si>
    <t>Muscadet Sur Lie (Gillieres)</t>
  </si>
  <si>
    <t>Domaine De La Guillaudiere Rose (Gillieres)</t>
  </si>
  <si>
    <t>Roses</t>
  </si>
  <si>
    <t>Tracy e Cie (Loire)</t>
  </si>
  <si>
    <t>Sauvignon Les Marnes (Tracy)</t>
  </si>
  <si>
    <t>Pouilly-Fume Argile A Silex (Tracy e Cie)</t>
  </si>
  <si>
    <t>Barnaut (Champagne - Montagne de Reims)</t>
  </si>
  <si>
    <t>Grande Reserve Grand Cru  (Champagne Barnaut)</t>
  </si>
  <si>
    <t>Blanc De Noirs Brut Grand Cru (Champagne Barnaut)</t>
  </si>
  <si>
    <t>Authentique Rose Brut Grand Cru (Champagne Barnaut)</t>
  </si>
  <si>
    <t>Paul Mas (Languedoc - Roussillon)</t>
  </si>
  <si>
    <t>Rivesaltes Ambre Hard D'age (Paul Mas) 375ml</t>
  </si>
  <si>
    <t>12 X</t>
  </si>
  <si>
    <t>Prima Perla Brut Chardonnay (Paul Mas)</t>
  </si>
  <si>
    <t>6 X</t>
  </si>
  <si>
    <t>Claude Val Blanc (Paul Mas)</t>
  </si>
  <si>
    <t>Paul Mas Vermentino (Paul Mas)</t>
  </si>
  <si>
    <t>Paul Mas Viognier (Paul Mas)</t>
  </si>
  <si>
    <t>Paul Mas Gewurztraminer (Paul Mas)</t>
  </si>
  <si>
    <t>Belluguette Blanc (Paul Mas)</t>
  </si>
  <si>
    <t>NOVO</t>
  </si>
  <si>
    <t xml:space="preserve">Jardin De Roses Rose (Paul Mas) </t>
  </si>
  <si>
    <t>Claude Val Rose (Paul Mas)</t>
  </si>
  <si>
    <t>Claude Val Rose Magnum (Paul Mas)</t>
  </si>
  <si>
    <t>6 X 1500ml</t>
  </si>
  <si>
    <t>Claude Val Rouge (Paul Mas)</t>
  </si>
  <si>
    <t>Paul Mas Syrah (Paul Mas)</t>
  </si>
  <si>
    <t>Paul Mas Grenache Noir (Paul Mas)</t>
  </si>
  <si>
    <t>Paul Mas Carignan Vieilles Vignes (Paul Mas)</t>
  </si>
  <si>
    <t>Terrasses Du Larzac Grand Vin (Paul Mas)</t>
  </si>
  <si>
    <t>Ch. Paul Mas Clos Des Mures (Paul Mas)</t>
  </si>
  <si>
    <t>Clos Savignac (Paul Mas)</t>
  </si>
  <si>
    <t>Arrogant Frog (Languedoc - Roussillon)</t>
  </si>
  <si>
    <t>Arrogant Frog Tutti-Frutti Branco (Paul Mas)</t>
  </si>
  <si>
    <t>Arrogant Frog Sauvignon Blanc (Paul Mas)</t>
  </si>
  <si>
    <t>Arrogant Frog Rose (Paul Mas)</t>
  </si>
  <si>
    <t xml:space="preserve">Arrogant Frog Orange (Paul Mas) </t>
  </si>
  <si>
    <t>Laranjas</t>
  </si>
  <si>
    <t>Arrogant Frog Tutti-Frutti Tinto (Paul Mas)</t>
  </si>
  <si>
    <t>Arrogant Frog Cabernet Merlot (Paul Mas)</t>
  </si>
  <si>
    <t>Arrogant Frog Syrah Viognier (Paul Mas)</t>
  </si>
  <si>
    <t>Arrogant Frog Pinot Noir (Paul Mas)</t>
  </si>
  <si>
    <t>Arrogant Frog Reserve Gsm (Paul Mas)</t>
  </si>
  <si>
    <t>Paul Mas L'Artisan (Languedoc - Roussillon)</t>
  </si>
  <si>
    <t>Chardonnay Lartisan(Paul Mas)</t>
  </si>
  <si>
    <t>Pinot Noir Lartisan (Paul Mas)</t>
  </si>
  <si>
    <t xml:space="preserve">Grenache Lartisan (Paul Mas) </t>
  </si>
  <si>
    <t>Château de Berne (Provence)</t>
  </si>
  <si>
    <t xml:space="preserve">Rose Romance (Chateau de Berne) </t>
  </si>
  <si>
    <t>Rose Inspiration (Chateau de Berne)</t>
  </si>
  <si>
    <t>Rose La Grande Cuvee (Chateaus de Berne)</t>
  </si>
  <si>
    <t>Breban (Provence)</t>
  </si>
  <si>
    <t>Lavendette Rose (Breban)</t>
  </si>
  <si>
    <t>Lavendette Rose Magnum (Breban)</t>
  </si>
  <si>
    <t>Château de la Gardine (Rhône Sud)</t>
  </si>
  <si>
    <t>Cotes Du Rhone Villages Rouge (Ch. La Gardine)</t>
  </si>
  <si>
    <t xml:space="preserve">Chateauneuf Du Pape Rouge (Ch. La Gardine) </t>
  </si>
  <si>
    <t>Brunel Père Et Fils (Rhône Sud)</t>
  </si>
  <si>
    <t>Cotes Du Rhone Branco (Brunel)</t>
  </si>
  <si>
    <t>Cotes Du Rhone Tinto (Brunel)</t>
  </si>
  <si>
    <t xml:space="preserve">Cairanne (Brunel) </t>
  </si>
  <si>
    <t>Crozes-Hermitage (Brunel)</t>
  </si>
  <si>
    <t xml:space="preserve">St. Joseph (Brunel) </t>
  </si>
  <si>
    <t xml:space="preserve">Gigondas (Brunel) </t>
  </si>
  <si>
    <t>ITÁLIA</t>
  </si>
  <si>
    <t>Pio Cesare (Piemonte)</t>
  </si>
  <si>
    <t>Barolo Chinato (Pio Cesare)</t>
  </si>
  <si>
    <t xml:space="preserve">L Altro Chardonnay (Pio Cesare) </t>
  </si>
  <si>
    <t xml:space="preserve">Piodilei Chardonnay (Pio Cesare) </t>
  </si>
  <si>
    <t xml:space="preserve">Sauvignon Blanc (Pio Cesare) </t>
  </si>
  <si>
    <t xml:space="preserve">Barbera Dalba (Pio Cesare) </t>
  </si>
  <si>
    <t xml:space="preserve">Barbera Dalba Magnum (Pio Cesare) </t>
  </si>
  <si>
    <t xml:space="preserve">Barbera Fides (Pio Cesare) </t>
  </si>
  <si>
    <t>Oltre (Pio Cesare)</t>
  </si>
  <si>
    <t>Nebbiolo Langhe (Pio Cesare)</t>
  </si>
  <si>
    <t>Barolo (Pio Cesare)</t>
  </si>
  <si>
    <t>Barolo Magnum (Pio Cesare)</t>
  </si>
  <si>
    <t>Barbaresco (Pio Cesare)</t>
  </si>
  <si>
    <t>Barolo Ornato (Pio Cesare)</t>
  </si>
  <si>
    <t>Barbaresco Ii Bricco (Pio Cesare)</t>
  </si>
  <si>
    <t>Barolo Mosconi (Pio Cesare)</t>
  </si>
  <si>
    <t>3 X 750ml</t>
  </si>
  <si>
    <t>Proprietà Sperino (Piemonte - Lessona)</t>
  </si>
  <si>
    <t>Uvaggio Rosso Costa Della Sesia (Proprieta Sperino)</t>
  </si>
  <si>
    <t>Lessona (Proprieta Sperino)</t>
  </si>
  <si>
    <t>Bel Colle (Piemonte)</t>
  </si>
  <si>
    <t>Asti Dolce Millesimato (Bel Colle)</t>
  </si>
  <si>
    <t>Gavi Di Gavi (Bel Colle)</t>
  </si>
  <si>
    <t xml:space="preserve">Barbera D'Asti (Bel Colle) </t>
  </si>
  <si>
    <t>Barbera D'Asti Nuwanda (Bel Colle)</t>
  </si>
  <si>
    <t xml:space="preserve">Barbaresco Convivio (Bel Colle) </t>
  </si>
  <si>
    <t>Barbaresco Pajore (Bel Colle)</t>
  </si>
  <si>
    <t xml:space="preserve">Langhe Nebbiolo (Bel Colle) </t>
  </si>
  <si>
    <t>Barolo (Bel Colle)</t>
  </si>
  <si>
    <t>Barolo Simposio (Bel Colle)</t>
  </si>
  <si>
    <t>Barolo Riserva 10 Anni (Bel Colle)</t>
  </si>
  <si>
    <t xml:space="preserve">Barolo Monvigliero (Bel Colle) </t>
  </si>
  <si>
    <t>Tenuta Podernovo (Toscana - Pisa)</t>
  </si>
  <si>
    <t xml:space="preserve">Aliotto (Podernovo) </t>
  </si>
  <si>
    <t xml:space="preserve">Teuto (Podernovo) </t>
  </si>
  <si>
    <t>Ferrari (Trentino)</t>
  </si>
  <si>
    <t>Ferrari Blanc de Blancs Maximum</t>
  </si>
  <si>
    <t>Ferrari Blanc de Blancs Maximum Magnum</t>
  </si>
  <si>
    <t>Ferrari Maximum Rose</t>
  </si>
  <si>
    <t xml:space="preserve">Ferrari Perle </t>
  </si>
  <si>
    <t xml:space="preserve">Ferrari Perle Nero </t>
  </si>
  <si>
    <t xml:space="preserve">Giulio Ferrari Riserva </t>
  </si>
  <si>
    <t>Giulio Ferrari Riserva Rose</t>
  </si>
  <si>
    <t>1 X 750ml</t>
  </si>
  <si>
    <t>Damijan (Friuli-Venezia Giulia)</t>
  </si>
  <si>
    <t xml:space="preserve">Pinot Grigio (Damijan) </t>
  </si>
  <si>
    <t xml:space="preserve">Ribolla Gialla (Damijan) </t>
  </si>
  <si>
    <t xml:space="preserve">Prelit (Damijan) </t>
  </si>
  <si>
    <t>Armani (Veneto/Trentino)</t>
  </si>
  <si>
    <t>Sauvignon Blanc (Armani)</t>
  </si>
  <si>
    <t xml:space="preserve">Pinot Grigio Corvara (Armani) </t>
  </si>
  <si>
    <t xml:space="preserve">Pinot Grigio Friuli Grave (Armani) </t>
  </si>
  <si>
    <t xml:space="preserve">Orange From The Basement (Armani) </t>
  </si>
  <si>
    <t xml:space="preserve">Pinot Nero (Armani) </t>
  </si>
  <si>
    <t xml:space="preserve">Foja Tonda (Armani) </t>
  </si>
  <si>
    <t xml:space="preserve">Amarone Riserva Cuslanus (Armani) </t>
  </si>
  <si>
    <t>Michele Castellani (Veneto)</t>
  </si>
  <si>
    <t xml:space="preserve">Valpolicella Classico I Castei (Michele Castellani) </t>
  </si>
  <si>
    <t xml:space="preserve">Valpolicella Ripasso I Castei (Michele Castellani) </t>
  </si>
  <si>
    <t>Amarone Classico Valpolicella (Michele Castellani)</t>
  </si>
  <si>
    <t xml:space="preserve">Amarone I Castei Campo Casalin (Michele Castellani) </t>
  </si>
  <si>
    <t>Amarone Clas. Cinque Stelle Doc  (Michele Castellani)</t>
  </si>
  <si>
    <t>Ca' La Bionda (Valpolicella)</t>
  </si>
  <si>
    <t>Valpolicella Classico (Ca La Bionda)</t>
  </si>
  <si>
    <t>Valpolicella Superiore Casalvegri (Ca La Bionda)</t>
  </si>
  <si>
    <t>Amarone Classico (Ca La Bionda)</t>
  </si>
  <si>
    <t>Amarone Ravazzol Riserva (Ca La Bionda)</t>
  </si>
  <si>
    <t>Anselmi (Veneto - Soave)</t>
  </si>
  <si>
    <t>San Vicenzo (Anselmi)</t>
  </si>
  <si>
    <t xml:space="preserve">Capitel Croce (Anselmi) </t>
  </si>
  <si>
    <t>Bedin (Veneto)</t>
  </si>
  <si>
    <t>Prosecco Extra Dry (Bedin)</t>
  </si>
  <si>
    <t>Medici Ermete (Emilia - Romagna)</t>
  </si>
  <si>
    <t>Lambrusco Bianco Dolce Dell Emilia (Medici Ermete)</t>
  </si>
  <si>
    <t>Lambrusco Rosso Dolce Dell Emilia (Medici Ermete)</t>
  </si>
  <si>
    <t>Lambrusco Reggiano Concerto (Medici Ermete)</t>
  </si>
  <si>
    <t xml:space="preserve">Lambrusco Phermento (Medici Ermete) </t>
  </si>
  <si>
    <t>San Fabiano Calcinaia (Toscana - Chianti Classico)</t>
  </si>
  <si>
    <t xml:space="preserve">Chianti Classico (San Fabiano) </t>
  </si>
  <si>
    <t>Cerviolo Rosso (San Fabiano)</t>
  </si>
  <si>
    <t>Chianti Classico Cellole Gran Selezione (San Fabiano)</t>
  </si>
  <si>
    <t>Straccali (Toscana)</t>
  </si>
  <si>
    <t>Pinot Grigio (Giulio Straccali)</t>
  </si>
  <si>
    <t>Vino Bianco (Giulio Straccali)</t>
  </si>
  <si>
    <t>Vino Rosso (Giulio Straccali)</t>
  </si>
  <si>
    <t>Toscana Rosso (Giulio Stracalli)</t>
  </si>
  <si>
    <t>Chianti (Giulio Straccali)</t>
  </si>
  <si>
    <t>Chianti Classico (Giulio Straccali)</t>
  </si>
  <si>
    <t>Montevertine (Toscana - Chianti Classico)</t>
  </si>
  <si>
    <t>Montevertine (Montevertine)</t>
  </si>
  <si>
    <t>Le Pergole Torte (Montevertine)</t>
  </si>
  <si>
    <t>Folonari (Toscana)</t>
  </si>
  <si>
    <t>Le Bruniche Chardonnay (Folonari)</t>
  </si>
  <si>
    <t>Villa Nozzole Chianti Classico (Folonari)</t>
  </si>
  <si>
    <t>Nozzole Chianti Classico Riserva (Folonari)</t>
  </si>
  <si>
    <t>Campo Al Mare Bolgheri (Folonari)</t>
  </si>
  <si>
    <t>La Forra Chianti Classico Riserva (Folonari)</t>
  </si>
  <si>
    <t>Cabreo Il Borgo (Folonari)</t>
  </si>
  <si>
    <t>Isole e Olena (Toscana - Chianti Classico)</t>
  </si>
  <si>
    <t>Chardonnay IGT Toscana (Isole E Olena)</t>
  </si>
  <si>
    <t>Chianti Classico (Isole E Olena)</t>
  </si>
  <si>
    <t>Syrah Collezione Privata (Isole E Olena)</t>
  </si>
  <si>
    <t>Cepparello (Isole E Olena)</t>
  </si>
  <si>
    <t>Caprili (Toscana - Montalcino)</t>
  </si>
  <si>
    <t>Rosso Di Montalcino Doc (Caprili)</t>
  </si>
  <si>
    <t>Brunello Di Montalcino (Caprili)</t>
  </si>
  <si>
    <t>Brunello Di Montalcino Riserva (Caprili)</t>
  </si>
  <si>
    <t>Brunello Di Montalcino Magnum (Caprili)</t>
  </si>
  <si>
    <t>3 X 1500ml</t>
  </si>
  <si>
    <t>Salvioni - La Cerbaiola (Toscana - Montalcino)</t>
  </si>
  <si>
    <t>Rosso Di Montalcino (Salvioni)</t>
  </si>
  <si>
    <t>Brunello Di Montalcino (Salvioni)</t>
  </si>
  <si>
    <t>Cardèto (Umbria)</t>
  </si>
  <si>
    <t>Villa Cardeto Pinot Grigio (Cardeto)</t>
  </si>
  <si>
    <t>Villa Cardeto Sangiovese (Cardeto)</t>
  </si>
  <si>
    <t>Villa Cardeto Sangiovese 375Ml (Cardeto)</t>
  </si>
  <si>
    <t>Tenuta Castelbuono (Umbria)</t>
  </si>
  <si>
    <t>Ziggurat Montefalco Rosso (Castelbuono)</t>
  </si>
  <si>
    <t xml:space="preserve">Carapace Montefalco Sagrantino (Castelbuono) </t>
  </si>
  <si>
    <t>Umani Ronchi (Marche)</t>
  </si>
  <si>
    <t>Verdicchio Villa Bianchi (Umani Ronchi)</t>
  </si>
  <si>
    <t>Verdicchio Casal Di Serra (Umani Ronchi)</t>
  </si>
  <si>
    <t>Podere Montepulciano D Abruzzo (Umani Ronchi)</t>
  </si>
  <si>
    <t>Rosso Conero Serrano (Umani Ronchi)</t>
  </si>
  <si>
    <t>Rosso Conero San Lorenzo (Umani Ronchi)</t>
  </si>
  <si>
    <t>Rosso Conero Cumaro Riserva (Umani Ronchi)</t>
  </si>
  <si>
    <t>Pelago (Umani Ronchi)</t>
  </si>
  <si>
    <t>Montepulciano D Abruzzo Jorio (Umani Ronchi)</t>
  </si>
  <si>
    <t>Valentini (Abruzzo)</t>
  </si>
  <si>
    <t xml:space="preserve">Trebbiano Dabruzzo (Valentini) </t>
  </si>
  <si>
    <t>027772</t>
  </si>
  <si>
    <r>
      <rPr>
        <rFont val="Arial"/>
        <color rgb="FF000000"/>
        <sz val="12.0"/>
      </rPr>
      <t xml:space="preserve">Azeite de Oliva Lauretum Extra Virgem  </t>
    </r>
    <r>
      <rPr>
        <rFont val="Arial"/>
        <color rgb="FFC00000"/>
        <sz val="11.0"/>
      </rPr>
      <t>(campanha venda casada)</t>
    </r>
  </si>
  <si>
    <t/>
  </si>
  <si>
    <t>PietraPura (Puglia)</t>
  </si>
  <si>
    <t xml:space="preserve">Primitivo Di Manduria Cotis (PietraPura) </t>
  </si>
  <si>
    <t xml:space="preserve">Primitivo Di Manduria Mandus (PietraPura) </t>
  </si>
  <si>
    <t xml:space="preserve">Negroamaro Nterra (PietraPura) </t>
  </si>
  <si>
    <t>Primitivo Hyria (PietraPura)</t>
  </si>
  <si>
    <t>Curatolo Arini (Sicilia)</t>
  </si>
  <si>
    <t>Marsala Fine Semisecco (Curatolo Arini)</t>
  </si>
  <si>
    <t>Grillo (Curatolo Arini)</t>
  </si>
  <si>
    <t>Borgo Selene Grillo (Curatolo Arini)</t>
  </si>
  <si>
    <t>Borgo Selene Nero D Avola (Curatolo Arini)</t>
  </si>
  <si>
    <t>Nero D Avola (Curatolo Arini)</t>
  </si>
  <si>
    <t>Syrah (Curatolo Arini)</t>
  </si>
  <si>
    <t>Sciarra Soprana Nero D’Avola Riserva (Curatolo Arini)</t>
  </si>
  <si>
    <t>ESPANHA</t>
  </si>
  <si>
    <t>Arzuaga Navarro (Ribera del Duero)</t>
  </si>
  <si>
    <t>La Planta Arzuaga (Bodegas Arzuaga)</t>
  </si>
  <si>
    <t>Pago Florentino (Bodegas Arzuaga)</t>
  </si>
  <si>
    <t>Arzuaga Crianza (Bodegas Arzuaga)</t>
  </si>
  <si>
    <t>Arzuaga Reserva (Bodegas Arzuaga)</t>
  </si>
  <si>
    <t>Arzuaga Gran Reserva (Bodegas Arzuaga)</t>
  </si>
  <si>
    <t>Arzuaga Reserva Especial (Bodegas Arzuaga)</t>
  </si>
  <si>
    <t>Dominio de Cair (Ribera del Duero)</t>
  </si>
  <si>
    <t>Cair Cuvee (Dominio De Cair)</t>
  </si>
  <si>
    <t>Seleccion La Aguilera (Dominio De Cair)</t>
  </si>
  <si>
    <t>Amaren (Rioja)</t>
  </si>
  <si>
    <t>Coleccion de Vinedos (Amaren)</t>
  </si>
  <si>
    <t xml:space="preserve">Tempranillo Graciano Angeles (Amaren) </t>
  </si>
  <si>
    <t>Tempranillo 60 Reserva (Amaren)</t>
  </si>
  <si>
    <t>Luis Cañas (Rioja)</t>
  </si>
  <si>
    <t>Rioja Branco (Luis Canas)</t>
  </si>
  <si>
    <t xml:space="preserve">Luis Canas Bf Barrica Branco </t>
  </si>
  <si>
    <t xml:space="preserve">Rioja Tinto Maceracion Carbonica (Luis Canas) </t>
  </si>
  <si>
    <t xml:space="preserve">Rioja Tinto Crianza (Luis Canas) </t>
  </si>
  <si>
    <t xml:space="preserve">Luis Canas Crianza Tinto Magnum </t>
  </si>
  <si>
    <t>Luis Canas Reserva</t>
  </si>
  <si>
    <t>Luis Canas Reserva Familia</t>
  </si>
  <si>
    <t>Luis Canas Gran Reserva</t>
  </si>
  <si>
    <t>Pago de Cirsus (Navarra)</t>
  </si>
  <si>
    <t xml:space="preserve">Oak Aged Navarra (Pago Cirsus) </t>
  </si>
  <si>
    <t>Vendimia Seleccionada Navarra (Pago Cirsus)</t>
  </si>
  <si>
    <t>Rolland Galarreta (Catalunya-Priorat)</t>
  </si>
  <si>
    <t>Clos D En Ferran Priorat (Rolland Galarreta)</t>
  </si>
  <si>
    <t>Raventós I Blanc (Cataluña - Conca del Riu Anoia)</t>
  </si>
  <si>
    <t>Blanc De Blancs Brut (Raventos)</t>
  </si>
  <si>
    <t>De Nit Rose (Raventos)</t>
  </si>
  <si>
    <t>Bella Conchi (Cataluña - Cava)</t>
  </si>
  <si>
    <t>Bellaconchi Brut Seleccion (Bella Conchi)</t>
  </si>
  <si>
    <t>Bellaconchi Brut Rose (Bella Conchi)</t>
  </si>
  <si>
    <t>Bellaconchi Brut Reserva (Bella Conchi)</t>
  </si>
  <si>
    <t>Bodegas Muñoz - Artero (La Mancha)</t>
  </si>
  <si>
    <t xml:space="preserve">Artero Macabeo-Verdejo (Bodegas Munoz) </t>
  </si>
  <si>
    <t xml:space="preserve">Artero Rose (Bodegas Munoz) </t>
  </si>
  <si>
    <t xml:space="preserve">Legado Munoz Garnacha (Bodegas Munoz) </t>
  </si>
  <si>
    <t>Artero Tempranillo (Bodegas Munoz)</t>
  </si>
  <si>
    <t>Artero Crianza (Bodegas Munoz)</t>
  </si>
  <si>
    <t>Artero Reserva (Bodegas Munoz)</t>
  </si>
  <si>
    <t>Coleccion De La Familia (Bodegas Munoz)</t>
  </si>
  <si>
    <t>Bodegas Lozano (La Mancha)</t>
  </si>
  <si>
    <t>Marques De Toledo Verdejo (Lozano)</t>
  </si>
  <si>
    <t>Marques De Toledo Tempranillo Crianza (Lozano)</t>
  </si>
  <si>
    <t>Marques De Toledo Gran Reserva (Lozano)</t>
  </si>
  <si>
    <t xml:space="preserve">Rey De Copas Tempranillo (Lozano) </t>
  </si>
  <si>
    <t>Linha Ophicus</t>
  </si>
  <si>
    <t>Ophicus Brut (Lozano)</t>
  </si>
  <si>
    <t>Ophicus Rose (Lozano)</t>
  </si>
  <si>
    <t>PORTUGAL</t>
  </si>
  <si>
    <t>Domingos Alves de Sousa (Douro)</t>
  </si>
  <si>
    <t>Caldas Porto Tawny Special Reserve (Alves de Sousa)</t>
  </si>
  <si>
    <t xml:space="preserve">Quinta da Gaivosa Porto LBV (Alves de Sousa) </t>
  </si>
  <si>
    <t>Quinta da Gaivosa Porto Vintage (Alves de Sousa)</t>
  </si>
  <si>
    <t xml:space="preserve">Estacao Branco (Alves De Sousa) </t>
  </si>
  <si>
    <t>Quinta da Gaivosa Branco (Alves De Sousa)</t>
  </si>
  <si>
    <t xml:space="preserve">Estacao Tinto (Alves De Sousa) </t>
  </si>
  <si>
    <t>Quinta das Caldas (Alves De Sousa)</t>
  </si>
  <si>
    <t xml:space="preserve">Quinta das Caldas 375Ml (Alves De Sousa) </t>
  </si>
  <si>
    <t>24 X 375ml</t>
  </si>
  <si>
    <t>Caldas Reserva (Alves De Sousa)</t>
  </si>
  <si>
    <t>Quinta do Vale da Raposa Reserva (Alves De Sousa)</t>
  </si>
  <si>
    <t>Quinta do Vale da Raposa Touriga Nacional (Alves De Sousa)</t>
  </si>
  <si>
    <t>Quinta Da Gaivosa Tinto (Alves De Sousa)</t>
  </si>
  <si>
    <t>Gaivosa Primeiros Anos (Alves De Sousa)</t>
  </si>
  <si>
    <t>Quinta da Oliveirinha Reserva (Alves de Sousa)</t>
  </si>
  <si>
    <t>Quinta da Oliveirinha Grande Reserva (Alves de Sousa)</t>
  </si>
  <si>
    <t xml:space="preserve">Abandonado (Alves De Sousa) </t>
  </si>
  <si>
    <t xml:space="preserve">Memoria Douro Tinto (Alves de Sousa) </t>
  </si>
  <si>
    <t>Anselmo Mendes (Minho - Vinho Verde)</t>
  </si>
  <si>
    <t>Muros Antigos Escolha (Anselmo Mendes)</t>
  </si>
  <si>
    <t>Loureiro Muros Antigos (Anselmo Mendes)</t>
  </si>
  <si>
    <t>Alvarinho Contacto (Anselmo Mendes)</t>
  </si>
  <si>
    <t>Alvarinho Muros Antigos (Anselmo Mendes)</t>
  </si>
  <si>
    <t>Alvarinho Muros Melgaco (Anselmo Mendes)</t>
  </si>
  <si>
    <t>Alvarinho Curtimenta (Anselmo Mendes)</t>
  </si>
  <si>
    <t>Parcela Unica (Anselmo Mendes)</t>
  </si>
  <si>
    <t>Pardusco Tinto (Anselmo Mendes)</t>
  </si>
  <si>
    <t>Pardusco Prvt Escolha (Anselmo Mendes)</t>
  </si>
  <si>
    <t>Quinta dos Roques (Dão)</t>
  </si>
  <si>
    <t xml:space="preserve">Quinta Do Correio Branco (Roques) </t>
  </si>
  <si>
    <t>Quinta Dos Roques Colheita Branco (Roques)</t>
  </si>
  <si>
    <t xml:space="preserve">Quinta Dos Roques Encruzado Branco (Roques) </t>
  </si>
  <si>
    <t xml:space="preserve">Quinta Do Correio Tinto (Roques) </t>
  </si>
  <si>
    <t xml:space="preserve">Quinta Dos Roques Tinto (Roques) </t>
  </si>
  <si>
    <t xml:space="preserve">Quinta Dos Roques Reserva (Roques) </t>
  </si>
  <si>
    <t>Quinta Dos Roques Touriga Nacional (Roques)</t>
  </si>
  <si>
    <t xml:space="preserve">Quinta Dos Roques Garrafeira (Roques) </t>
  </si>
  <si>
    <t>Falua - Conde de Vimioso (Tejo)</t>
  </si>
  <si>
    <t>Conde Vimioso Branco (Falua)</t>
  </si>
  <si>
    <t>Conde Vimioso Sommelier Branco (Falua)</t>
  </si>
  <si>
    <t xml:space="preserve">Conde Vimioso Reserva Branco (Falua) </t>
  </si>
  <si>
    <t xml:space="preserve">Conde Vimioso Rose (Falua) </t>
  </si>
  <si>
    <t>Conde Vimioso Sommelier Rosé (Falua)</t>
  </si>
  <si>
    <t>Conde Vimioso Tinto (Falua)</t>
  </si>
  <si>
    <t>Conde Vimioso Sommelier Tinto (Falua)</t>
  </si>
  <si>
    <t>Conde Vimioso Reserva (Falua)</t>
  </si>
  <si>
    <t>Conde Vimioso Sommelier Edition Brasil Tinto (Falua)</t>
  </si>
  <si>
    <t xml:space="preserve">Conde Vimioso Sommelier Edition Tinto Magnum (Falua) </t>
  </si>
  <si>
    <t>4 X 1500ml</t>
  </si>
  <si>
    <t>Conde Vimioso Winemakers Blend Tinto (Falua)</t>
  </si>
  <si>
    <t>Conde Vimioso Vinha Do Convento (Falua)</t>
  </si>
  <si>
    <t>Linha Tâmara</t>
  </si>
  <si>
    <t>Tâmara Branco (Falua)</t>
  </si>
  <si>
    <t>Tâmara Tinto (Falua)</t>
  </si>
  <si>
    <t>Kompassus (Bairrada)</t>
  </si>
  <si>
    <t>Kompassus Branco (Kompassus)</t>
  </si>
  <si>
    <t>Kompassus Reserva Branco (Kompassus)</t>
  </si>
  <si>
    <t>Kompassus Tinto (Kompassus)</t>
  </si>
  <si>
    <t>Kompassus Reserva Tinto (Kompassus)</t>
  </si>
  <si>
    <t xml:space="preserve">Kompassus Private Collection (Kompassus) </t>
  </si>
  <si>
    <t>José Maria da Fonseca (Setubal)</t>
  </si>
  <si>
    <t>Alambre Moscatel De Setubal (Jmf)</t>
  </si>
  <si>
    <t xml:space="preserve">Alambre Moscatel Roxo De Setubal (Jmf) </t>
  </si>
  <si>
    <t xml:space="preserve">Dsf Moscatel Roxo (Jmf) </t>
  </si>
  <si>
    <t>Alambre 20 Anos 500Ml (Jmf)</t>
  </si>
  <si>
    <t>6 X 500ml</t>
  </si>
  <si>
    <t>Moscatel Roxo 20 Anos 500Ml (Jmf)</t>
  </si>
  <si>
    <t>2 X 500ml</t>
  </si>
  <si>
    <t>Bse Branco (Jmf)</t>
  </si>
  <si>
    <t xml:space="preserve">Verdelho Dsf (Jmf) </t>
  </si>
  <si>
    <t>DSF Roxo Rosê (Jmf)</t>
  </si>
  <si>
    <t>Hexagon Tinto (Jmf)</t>
  </si>
  <si>
    <t>Adega José de Sousa (Alentejo)</t>
  </si>
  <si>
    <t>Artisanal Branco (Adega Jose de Sousa))</t>
  </si>
  <si>
    <t>Artisanal Tinto (Adega Jose de Sousa)</t>
  </si>
  <si>
    <t>Artisanal Tinto Reserva (Adega Jose de Sousa)</t>
  </si>
  <si>
    <t>Ripanco Tinto (Adega Jose de Sousa)</t>
  </si>
  <si>
    <t>Jose De Sousa Tinto (Adega Jose de Sousa)</t>
  </si>
  <si>
    <t>José de Sousa Reserva (Adega Jose de Sousa)</t>
  </si>
  <si>
    <t>Jose De Sousa Mayor (Adega Jose de Sousa)</t>
  </si>
  <si>
    <t>J Tinto  (Adega Jose de Sousa)</t>
  </si>
  <si>
    <t>Jorge Rosa Santos (Alentejo)</t>
  </si>
  <si>
    <t>Implicit Branco (Rosa Santos)</t>
  </si>
  <si>
    <t>Implicit Tinto (Rosa Santos)</t>
  </si>
  <si>
    <t>Explicit Tinto (Rosa Santos)</t>
  </si>
  <si>
    <t>X Vinhas Velhas (Rosa Santos)</t>
  </si>
  <si>
    <t>4 X 750ml</t>
  </si>
  <si>
    <t>X Alicante Bouschet (Rosa Santos)</t>
  </si>
  <si>
    <t>ALEMANHA</t>
  </si>
  <si>
    <t>Franz Künstler (Rheingau)</t>
  </si>
  <si>
    <t>Riesling Estate (F. Kunstler)</t>
  </si>
  <si>
    <t>Riesling Holle (F. Kunstler)</t>
  </si>
  <si>
    <t>Hermann Dönhoff (Nahe)</t>
  </si>
  <si>
    <t>Riesling Trocken (H. Donnhoff)</t>
  </si>
  <si>
    <t>Eugen Müller (Pfalz)</t>
  </si>
  <si>
    <t>Charisma (E. Muller)</t>
  </si>
  <si>
    <t>Forster Mar.Riesling (E. Muller)</t>
  </si>
  <si>
    <t>Spatburgunder HF (E. Muller)</t>
  </si>
  <si>
    <t>AUSTRIA</t>
  </si>
  <si>
    <t>Hiedler (Kamptal)</t>
  </si>
  <si>
    <t>Gruner Veltliner Loss (Hiedler)</t>
  </si>
  <si>
    <t>Riesling Langenlois (Hiedler)</t>
  </si>
  <si>
    <t>GRÉCIA</t>
  </si>
  <si>
    <t>Tetramythos (Peloponeso)</t>
  </si>
  <si>
    <t>Roditis (Tetramythos)</t>
  </si>
  <si>
    <t>Retsina (Tetramythos)</t>
  </si>
  <si>
    <t>Agiorgitiko (Tetramythos)</t>
  </si>
  <si>
    <t>Mavro Kalavritino (Tetramythos)</t>
  </si>
  <si>
    <t>AFRICA DO SUL</t>
  </si>
  <si>
    <t>Glen Carlou (Paarl)</t>
  </si>
  <si>
    <t>Petite Chardonnay (Glen Carlou)</t>
  </si>
  <si>
    <t>Petite Classique (Glen Carlou)</t>
  </si>
  <si>
    <t>Pinot Noir (Glen Carlou)</t>
  </si>
  <si>
    <t>Cabernet Sauvignon (Glen Carlou)</t>
  </si>
  <si>
    <t>Grand Classique (Glen Carlou)</t>
  </si>
  <si>
    <t>Gravel Quarry Cabernet (Glen Carlou)</t>
  </si>
  <si>
    <t>Raka (Overberg)</t>
  </si>
  <si>
    <t>Sauvignon Blanc (Raka)</t>
  </si>
  <si>
    <t>Spliced (Raka)</t>
  </si>
  <si>
    <t>Pinotage (Raka)</t>
  </si>
  <si>
    <t>AUSTRÁLIA</t>
  </si>
  <si>
    <t>Kilikanoon (Clare Valley)</t>
  </si>
  <si>
    <t>Morts Block Riesling (Kilikanoon)</t>
  </si>
  <si>
    <t>Shiraz Meymans (Kilikanoon)</t>
  </si>
  <si>
    <t>Killermans Run Shiraz (Kilikanoon)</t>
  </si>
  <si>
    <t>Prodigal Grenache (Kilikanoon)</t>
  </si>
  <si>
    <t>Oracle Shiraz (Kilikanoon)</t>
  </si>
  <si>
    <t>ESTADOS UNIDOS</t>
  </si>
  <si>
    <t>J. Lohr (California - Monterey e Paso Robles)</t>
  </si>
  <si>
    <t>Chardonnay Cypress (J.Lohr)</t>
  </si>
  <si>
    <t>Cypress Cabernet (J.Lohr)</t>
  </si>
  <si>
    <t>Merlot Cypress (J.Lohr)</t>
  </si>
  <si>
    <t>Cabernet Sauvignon Seven Oaks (J.Lohr)</t>
  </si>
  <si>
    <t>Hilltop Cabernet Sauvignon (J.Lohr)</t>
  </si>
  <si>
    <t>CHILE</t>
  </si>
  <si>
    <t>El Principal (Maipo)</t>
  </si>
  <si>
    <t>Kine Verdejo (El Principal)</t>
  </si>
  <si>
    <t>Calicanto (El Principal)</t>
  </si>
  <si>
    <t>Calicanto Magnum (El Principal)</t>
  </si>
  <si>
    <t>Memorias (El Principal)</t>
  </si>
  <si>
    <t>Memorias Magnum (El Principal)</t>
  </si>
  <si>
    <t>Memorias Double Magnum 3000ml (El Principal)</t>
  </si>
  <si>
    <t>1 X 3000ml</t>
  </si>
  <si>
    <t>El Principal Andetelmo (El Principal)</t>
  </si>
  <si>
    <t>El Principal Magnum (El Principal)</t>
  </si>
  <si>
    <r>
      <rPr>
        <rFont val="Arial"/>
        <b/>
        <color theme="0"/>
        <sz val="12.0"/>
      </rPr>
      <t>G</t>
    </r>
    <r>
      <rPr>
        <rFont val="Arial"/>
        <b/>
        <color theme="0"/>
        <sz val="12.0"/>
        <vertAlign val="superscript"/>
      </rPr>
      <t>2</t>
    </r>
    <r>
      <rPr>
        <rFont val="Arial"/>
        <b/>
        <color theme="0"/>
        <sz val="12.0"/>
      </rPr>
      <t xml:space="preserve"> Gonzalo Guzmán (Maipo-Andes)</t>
    </r>
  </si>
  <si>
    <t>Alba de Andes (G2 Gonzalo Guzman)</t>
  </si>
  <si>
    <t>Vontade (G2 Gonzalo Guzman)</t>
  </si>
  <si>
    <t>Vontade Magnum (G2 Gonzalo Guzman)</t>
  </si>
  <si>
    <t>Oriundo de Itata (G2 Gonzalo Guzman)</t>
  </si>
  <si>
    <t>El Afan (G2 Gonzalo Guzman)</t>
  </si>
  <si>
    <t>Garboso (G2 Gonzalo Gusman)</t>
  </si>
  <si>
    <t>Reta Marcelo Retamal (Limari e Maule)</t>
  </si>
  <si>
    <t>Quebrada Seca (Reta Marcelo Retamal)</t>
  </si>
  <si>
    <t>Quebrada Chalinga (Reta Marcelo Retamal)</t>
  </si>
  <si>
    <t>Romelio (Reta Marcelo Retamal)</t>
  </si>
  <si>
    <t>Terranoble (Maule, Colchagua e Casablanca)</t>
  </si>
  <si>
    <t>Chardonnay Civis (Terranoble)</t>
  </si>
  <si>
    <t>Sauvignon Blanc Civis (Terranoble)</t>
  </si>
  <si>
    <t>Chardonnay Algarrobo (Terranoble)</t>
  </si>
  <si>
    <t>Naranjo Disidente (Terranoble)</t>
  </si>
  <si>
    <t>Carmenere Civis (Terranoble)</t>
  </si>
  <si>
    <t>Cab. Sauvignon Civis (Terranoble)</t>
  </si>
  <si>
    <t>Pinot Noir Civis (Terranoble)</t>
  </si>
  <si>
    <t>Merlot Civis (Terranoble)</t>
  </si>
  <si>
    <t>Carignan Azara (Terranoble)</t>
  </si>
  <si>
    <t>Cab. Sauvignon Azara (Terranoble)</t>
  </si>
  <si>
    <t>Carmenere Azara (Terranoble)</t>
  </si>
  <si>
    <t>Pinot Noir Algarrobo (Terranoble)</t>
  </si>
  <si>
    <t xml:space="preserve">Syrah Tempranillo Disidente (Terranoble) </t>
  </si>
  <si>
    <t>Carignan Mourvedre Garnacha Disidente (Terranoble)</t>
  </si>
  <si>
    <t>Ca1 Carmenere Andes (Terranoble)</t>
  </si>
  <si>
    <t xml:space="preserve">Ca2 Carmenere Costa (Terranoble) </t>
  </si>
  <si>
    <t>Lahuen Rojo (Terranoble)</t>
  </si>
  <si>
    <t>Raices del Maule (Terranoble)</t>
  </si>
  <si>
    <t>Linha Varietal</t>
  </si>
  <si>
    <t>Sauvignon Blanc Estate (Terranoble)</t>
  </si>
  <si>
    <t>Chardonnay Estate (Terranoble)</t>
  </si>
  <si>
    <t>Chardonnay Estate 375Ml (Terranoble)</t>
  </si>
  <si>
    <t>Cab. Sauvignon Estate (Terranoble)</t>
  </si>
  <si>
    <t>Cab. Sauvignon Estate 375Ml (Terranoble)</t>
  </si>
  <si>
    <t>Carmenere Estate (Terranoble)</t>
  </si>
  <si>
    <t>Carmenere Estate 375Ml (Terranoble)</t>
  </si>
  <si>
    <t>Villard (Casablanca e Maipo)</t>
  </si>
  <si>
    <t>Sauvignon Blanc Expresion Res. (Villard)</t>
  </si>
  <si>
    <t>Chardonnay Expresion Reserva (Villard)</t>
  </si>
  <si>
    <t>Semillon (Villard)</t>
  </si>
  <si>
    <t>Le Chardonnay Grand Vin (Villard)</t>
  </si>
  <si>
    <t>Chardonnay Arganat (Villard)</t>
  </si>
  <si>
    <t>Pinot Grigio Ramato (Villard)</t>
  </si>
  <si>
    <t>Syrah Expresion Reserva (Villard)</t>
  </si>
  <si>
    <t>Pinot Noir Expresion (Villard)</t>
  </si>
  <si>
    <t>Carignan JCV (Villard)</t>
  </si>
  <si>
    <t>Grenache JCV (Villard)</t>
  </si>
  <si>
    <t>L Assemblage Grand Vin (Villard)</t>
  </si>
  <si>
    <t>Gran Vin Le Pinot Noir (Villard)</t>
  </si>
  <si>
    <t>Le Syrah Grand Vin (Villard)</t>
  </si>
  <si>
    <t>Tanagra  Syrah (Villard)</t>
  </si>
  <si>
    <t>Viñedos de Alcohuaz (Valle de Elqui)</t>
  </si>
  <si>
    <t>VDA 7 (Alcohuaz)</t>
  </si>
  <si>
    <t>Grus (Alcohuaz)</t>
  </si>
  <si>
    <t>Syrah Tococo (Alcohuaz)</t>
  </si>
  <si>
    <t>Cuesta Chica (Alcohuaz)</t>
  </si>
  <si>
    <t>Rhu (Alcohuaz)</t>
  </si>
  <si>
    <t>Sutil (Colchagua, Maule e Limari)</t>
  </si>
  <si>
    <t>Sauvignon Blanc Reserve (Sutil)</t>
  </si>
  <si>
    <t>Chardonnay Reserve (Sutil)</t>
  </si>
  <si>
    <t>Sauvignon Blanc Grand Reserve (Sutil)</t>
  </si>
  <si>
    <t>Chardonnay Grand Reserve (Sutil)</t>
  </si>
  <si>
    <t>Rose Bella (Sutil)</t>
  </si>
  <si>
    <t>Cabernet Reserve (Sutil)</t>
  </si>
  <si>
    <t>Carmenere Reserve (Sutil)</t>
  </si>
  <si>
    <t>Cabernet Grand Reserve (Sutil)</t>
  </si>
  <si>
    <t>Carmenere Grand Reserve (Sutil)</t>
  </si>
  <si>
    <t>Carignan Garnacha Grand Reserve (Sutil)</t>
  </si>
  <si>
    <t>Cabernet Limited Realese (Sutil)</t>
  </si>
  <si>
    <t>Cabernet Franc Limited Realese (Sutil)</t>
  </si>
  <si>
    <t>Syrah Limited Realese (Sutil)</t>
  </si>
  <si>
    <t>Carmenere Limited Realese (Sutil)</t>
  </si>
  <si>
    <t>Acrux (Sutil)</t>
  </si>
  <si>
    <t>Mixtio (Sutil)</t>
  </si>
  <si>
    <t>URUGUAI</t>
  </si>
  <si>
    <t>Bouza (Montevideo e Canelones)</t>
  </si>
  <si>
    <t>Chardonnay (Bodega Bouza)</t>
  </si>
  <si>
    <t>Albarinho (Bodega Bouza)</t>
  </si>
  <si>
    <t>Coco Chardonnay Albarino (Bouza)</t>
  </si>
  <si>
    <t>Tannat (Bodega Bouza)</t>
  </si>
  <si>
    <t>Tannat Merlot (Bodega Bouza)</t>
  </si>
  <si>
    <t>Tempranillo Tannat (Bodega Bouza)</t>
  </si>
  <si>
    <t>Tannat Pan De Azucar (Bodega Bouza)</t>
  </si>
  <si>
    <t>Merlot Pan De Azucar (Bodega Bouza)</t>
  </si>
  <si>
    <t>Tannat Parcela Única A6 (Bodega Bouza)</t>
  </si>
  <si>
    <t>Tannat Las Espinas (Bodega Bouza)</t>
  </si>
  <si>
    <t>Monte Vide Eu (Bodega Bouza)</t>
  </si>
  <si>
    <t>ARGENTINA</t>
  </si>
  <si>
    <t>Luigi Bosca (Luján de Cuyo e Maipú)</t>
  </si>
  <si>
    <t>La Linda Extra Brut (Luigi Bosca)</t>
  </si>
  <si>
    <t>La Linda Sweet (Luigi Bosca)</t>
  </si>
  <si>
    <t>La Linda Chardonnay (Luigi Bosca)</t>
  </si>
  <si>
    <t>La Linda Torrontes (Luigi Bosca)</t>
  </si>
  <si>
    <t>La Linda Rose (Luigi Bosca)</t>
  </si>
  <si>
    <t>La Linda Malbec (Luigi Bosca)</t>
  </si>
  <si>
    <t>La Linda Cabernet Sauvignon (Luigi Bosca)</t>
  </si>
  <si>
    <t>La Linda Old Vines Malbec (Luigi Bosca)</t>
  </si>
  <si>
    <t>Tier 1 - Insignia</t>
  </si>
  <si>
    <t>Gewurztraminer Granos Nobles 500Ml (Luigi Bosca)</t>
  </si>
  <si>
    <t>Chardonnay Insignia (Luigi Bosca)</t>
  </si>
  <si>
    <t>Sauvignon Blanc Insignia (Luigi Bosca)</t>
  </si>
  <si>
    <t>Riesling (Luigi Bosca)</t>
  </si>
  <si>
    <t>Cabernet Sauvignon Insignia (Luigi Bosca)</t>
  </si>
  <si>
    <t>Malbec Insignia (Luigi Bosca)</t>
  </si>
  <si>
    <t>Pinot Noir Insignia (Luigi Bosca)</t>
  </si>
  <si>
    <t>Tier 2 - De Sangre</t>
  </si>
  <si>
    <t>White Blend De Sangre (Luigi Bosca)</t>
  </si>
  <si>
    <t>A Rosé is a Rosé is a Rosé (Luigi Bosca)</t>
  </si>
  <si>
    <t>Malbec DOC De Sangre (Luigi Bosca)</t>
  </si>
  <si>
    <t>Corte De Sangre (Luigi Bosca)</t>
  </si>
  <si>
    <t>Malbec Finca Los Miradores De Sangre (Luigi Bosca)</t>
  </si>
  <si>
    <t>Malbec Ed. Limitada De Sangre (Luigi Bosca)</t>
  </si>
  <si>
    <t>Cabernet Franc De Sangre (Luigi Bosca)</t>
  </si>
  <si>
    <t xml:space="preserve">Cabernet Sauvignon De Sangre (Luigi Bosca) </t>
  </si>
  <si>
    <t>Tier 3 - Top</t>
  </si>
  <si>
    <t>Boheme Espumoso  (Luigi Bosca)</t>
  </si>
  <si>
    <t>Chardonnay Filos (Luigi Bosca)</t>
  </si>
  <si>
    <t>Malbec DOC Los Nobles (Luigi Bosca)</t>
  </si>
  <si>
    <t>Cabernet Sauvignon Leon (Luigi Bosca)</t>
  </si>
  <si>
    <t xml:space="preserve">Paraíso (Luigi Bosca) </t>
  </si>
  <si>
    <t>Viña Alicia (Luján de Cuyo)</t>
  </si>
  <si>
    <t>Paso De Piedra Cabernet Sauvignon (Vina Alicia)</t>
  </si>
  <si>
    <t>Paso De Piedra Malbec (Vina Alicia)</t>
  </si>
  <si>
    <t>Malbec (Vina Alicia)</t>
  </si>
  <si>
    <t>Malbec Brote Negro (Vina Alicia)</t>
  </si>
  <si>
    <t>Alta Yari (Valle de Uco)</t>
  </si>
  <si>
    <t>Torrontes Dulce 4 Nevada (Alta Yari)</t>
  </si>
  <si>
    <t>Chardonnay (Alta Yari)</t>
  </si>
  <si>
    <t>Chardonnay Reserva (Alta Yari)</t>
  </si>
  <si>
    <t xml:space="preserve">Torrontes (Alta Yari) </t>
  </si>
  <si>
    <t>Gran Torrontes (Alta Yari)</t>
  </si>
  <si>
    <t xml:space="preserve">Malbec (Alta Yari) </t>
  </si>
  <si>
    <t>Malbec Reserva (Alta Yari)</t>
  </si>
  <si>
    <t>Cabernet Franc Reserva (Alta Yari)</t>
  </si>
  <si>
    <t>Cabernet Sauvignon Reserva (Alta Yari)</t>
  </si>
  <si>
    <t xml:space="preserve">Pinot Noir (Alta Yari) </t>
  </si>
  <si>
    <t xml:space="preserve">Gran Malbec (Alta Yari) </t>
  </si>
  <si>
    <t>Gran Corte (Alta Yari)</t>
  </si>
  <si>
    <t xml:space="preserve">Malbec Gran Calcareo (Alta Yari) </t>
  </si>
  <si>
    <t>Phebus-Bodegas Fabre (Mendoza)</t>
  </si>
  <si>
    <t>Chardonnay Estate (Phebus-Bodegas Fabre)</t>
  </si>
  <si>
    <t>Chardonnay Reserva (Phebus-Bodegas Fabre)</t>
  </si>
  <si>
    <t>Torrontes Estate (Phebus-Bodegas Fabre)</t>
  </si>
  <si>
    <t>Rose Estate (Phebus-Bodegas Fabre)</t>
  </si>
  <si>
    <t>Malbec Estate (Phebus-Bodegas Fabre)</t>
  </si>
  <si>
    <t>Cabernet Estate (Phebus-Bodegas Fabre)</t>
  </si>
  <si>
    <t>Malbec Reserva (Phebus-Bodegas Fabre)</t>
  </si>
  <si>
    <t>Cabernet Reserva (Phebus-Bodegas Fabre)</t>
  </si>
  <si>
    <t>Bodega Yacochuya (Salta)</t>
  </si>
  <si>
    <t xml:space="preserve">Torrontes Coquena (Bodega Yacochuya) </t>
  </si>
  <si>
    <t>Torrontes (Bodega Yacochuya)</t>
  </si>
  <si>
    <t xml:space="preserve">Malbec Coquena (Bodega Yacochuya) </t>
  </si>
  <si>
    <t>Tannat Coquena (Bodega Yacochuya)</t>
  </si>
  <si>
    <t xml:space="preserve">Blend Coquena (Bodega Yacochuya) </t>
  </si>
  <si>
    <t xml:space="preserve">Blend Spy (Bodega Yacochuya) </t>
  </si>
  <si>
    <t xml:space="preserve">Malbec Spy (Bodega Yacochuya) </t>
  </si>
  <si>
    <t>Yacochuia (Bodega Yacochuia)</t>
  </si>
  <si>
    <t>Colomé (Salta)</t>
  </si>
  <si>
    <t>Torrontes Estate (Colome)</t>
  </si>
  <si>
    <t>Malbec Estate (Colome)</t>
  </si>
  <si>
    <t>Colome Lote Especial Malbec (Colome)</t>
  </si>
  <si>
    <t>Bonarda Lote Especial (Colome)</t>
  </si>
  <si>
    <t>Colome Autentico (Colome)</t>
  </si>
  <si>
    <t>Malbec Altura Maxima (Colome)</t>
  </si>
  <si>
    <t>Malbec 1831 Oldest Vines (Colome)</t>
  </si>
  <si>
    <t>Familia Schroeder (Patagonia)</t>
  </si>
  <si>
    <t>Sauvignon Blanc Saurus (Schroeder)</t>
  </si>
  <si>
    <t>Chardonnay Saurus (Schroeder)</t>
  </si>
  <si>
    <t>Pinot Noir Rose Saurus (Schroeder)</t>
  </si>
  <si>
    <t>Malbec Bariloche (Schroeder)</t>
  </si>
  <si>
    <t>Merlot Saurus (Schroeder)</t>
  </si>
  <si>
    <t>Malbec Saurus (Schroeder)</t>
  </si>
  <si>
    <t>Pinot Noir Saurus (Schroeder)</t>
  </si>
  <si>
    <t>Malbec Select (Schroeder)</t>
  </si>
  <si>
    <t>Pinot Noir Select (Schroeder)</t>
  </si>
  <si>
    <t>Pinot Noir Barrel Fermented (Schroeder)</t>
  </si>
  <si>
    <t>Malbec Barrel Fermented (Schroeder)</t>
  </si>
  <si>
    <t>Cabernet Franc Barrel Fermented (Schroeder)</t>
  </si>
  <si>
    <t>Familia Schroeder Malbec (Schroeder)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</si>
</sst>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-&quot;R$&quot;\ * #,##0.00_-;\-&quot;R$&quot;\ * #,##0.00_-;_-&quot;R$&quot;\ * &quot;-&quot;??_-;_-@"/>
  </numFmts>
  <fonts count="20">
    <font>
      <sz val="11.0"/>
      <color theme="1"/>
      <name val="Calibri"/>
      <scheme val="minor"/>
    </font>
    <font>
      <sz val="16.0"/>
      <color theme="1"/>
      <name val="Quattrocento Sans"/>
    </font>
    <font>
      <sz val="12.0"/>
      <color rgb="FF000000"/>
      <name val="Times New Roman"/>
    </font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Times New Roman"/>
    </font>
    <font>
      <sz val="16.0"/>
      <color rgb="FFFF0000"/>
      <name val="Calibri"/>
    </font>
    <font>
      <b/>
      <sz val="12.0"/>
      <color theme="0"/>
      <name val="Arial"/>
    </font>
    <font>
      <b/>
      <sz val="12.0"/>
      <color theme="1"/>
      <name val="Times New Roman"/>
    </font>
    <font>
      <b/>
      <sz val="12.0"/>
      <color theme="0"/>
      <name val="Times New Roman"/>
    </font>
    <font>
      <i/>
      <sz val="12.0"/>
      <color rgb="FF0070C0"/>
      <name val="Arial Black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theme="0"/>
      <name val="Calibri"/>
    </font>
    <font>
      <b/>
      <i/>
      <sz val="12.0"/>
      <color rgb="FF0070C0"/>
      <name val="Arial"/>
    </font>
    <font>
      <b/>
      <i/>
      <sz val="12.0"/>
      <color theme="1"/>
      <name val="Arial"/>
    </font>
    <font>
      <b/>
      <sz val="11.0"/>
      <color theme="1"/>
      <name val="Arial"/>
    </font>
    <font>
      <b/>
      <sz val="12.0"/>
      <color rgb="FF0070C0"/>
      <name val="Arial"/>
    </font>
    <font>
      <b/>
      <i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3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" fillId="2" fontId="7" numFmtId="2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" fillId="2" fontId="7" numFmtId="165" xfId="0" applyAlignment="1" applyBorder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2" fillId="2" fontId="7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  <xf borderId="0" fillId="0" fontId="11" numFmtId="1" xfId="0" applyAlignment="1" applyFont="1" applyNumberForma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2" numFmtId="165" xfId="0" applyAlignment="1" applyFont="1" applyNumberFormat="1">
      <alignment vertical="center"/>
    </xf>
    <xf borderId="2" fillId="3" fontId="11" numFmtId="1" xfId="0" applyAlignment="1" applyBorder="1" applyFill="1" applyFont="1" applyNumberFormat="1">
      <alignment horizontal="center"/>
    </xf>
    <xf borderId="2" fillId="3" fontId="3" numFmtId="0" xfId="0" applyAlignment="1" applyBorder="1" applyFont="1">
      <alignment horizontal="left" vertical="center"/>
    </xf>
    <xf borderId="2" fillId="3" fontId="3" numFmtId="0" xfId="0" applyAlignment="1" applyBorder="1" applyFon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12" numFmtId="165" xfId="0" applyAlignment="1" applyBorder="1" applyFont="1" applyNumberFormat="1">
      <alignment vertical="center"/>
    </xf>
    <xf borderId="2" fillId="3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vertical="center"/>
    </xf>
    <xf borderId="0" fillId="0" fontId="11" numFmtId="1" xfId="0" applyAlignment="1" applyFont="1" applyNumberFormat="1">
      <alignment horizontal="center" vertical="center"/>
    </xf>
    <xf borderId="0" fillId="0" fontId="13" numFmtId="1" xfId="0" applyAlignment="1" applyFont="1" applyNumberFormat="1">
      <alignment vertical="center"/>
    </xf>
    <xf borderId="2" fillId="3" fontId="3" numFmtId="0" xfId="0" applyAlignment="1" applyBorder="1" applyFont="1">
      <alignment vertical="center"/>
    </xf>
    <xf borderId="2" fillId="3" fontId="11" numFmtId="1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horizontal="left" vertical="center"/>
    </xf>
    <xf borderId="0" fillId="0" fontId="11" numFmtId="165" xfId="0" applyAlignment="1" applyFont="1" applyNumberFormat="1">
      <alignment vertical="center"/>
    </xf>
    <xf borderId="2" fillId="4" fontId="7" numFmtId="1" xfId="0" applyAlignment="1" applyBorder="1" applyFill="1" applyFont="1" applyNumberFormat="1">
      <alignment horizontal="center" vertical="center"/>
    </xf>
    <xf borderId="2" fillId="4" fontId="14" numFmtId="0" xfId="0" applyAlignment="1" applyBorder="1" applyFon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0" fillId="0" fontId="15" numFmtId="0" xfId="0" applyAlignment="1" applyFont="1">
      <alignment vertical="center"/>
    </xf>
    <xf borderId="0" fillId="0" fontId="3" numFmtId="10" xfId="0" applyAlignment="1" applyFont="1" applyNumberFormat="1">
      <alignment horizontal="center" vertical="center"/>
    </xf>
    <xf borderId="0" fillId="0" fontId="16" numFmtId="1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2" fillId="3" fontId="17" numFmtId="49" xfId="0" applyAlignment="1" applyBorder="1" applyFont="1" applyNumberFormat="1">
      <alignment horizontal="center" vertical="center"/>
    </xf>
    <xf borderId="2" fillId="3" fontId="13" numFmtId="0" xfId="0" applyAlignment="1" applyBorder="1" applyFont="1">
      <alignment vertical="center"/>
    </xf>
    <xf borderId="0" fillId="0" fontId="13" numFmtId="164" xfId="0" applyAlignment="1" applyFont="1" applyNumberFormat="1">
      <alignment horizontal="center" vertical="center"/>
    </xf>
    <xf borderId="0" fillId="0" fontId="11" numFmtId="1" xfId="0" applyAlignment="1" applyFont="1" applyNumberFormat="1">
      <alignment vertical="center"/>
    </xf>
    <xf borderId="0" fillId="0" fontId="18" numFmtId="1" xfId="0" applyFont="1" applyNumberFormat="1"/>
    <xf borderId="0" fillId="0" fontId="19" numFmtId="1" xfId="0" applyAlignment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8" numFmtId="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3" Type="http://schemas.openxmlformats.org/officeDocument/2006/relationships/image" Target="../media/image5.png"/><Relationship Id="rId12" Type="http://schemas.openxmlformats.org/officeDocument/2006/relationships/image" Target="../media/image8.png"/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4" Type="http://schemas.openxmlformats.org/officeDocument/2006/relationships/image" Target="../media/image2.png"/><Relationship Id="rId5" Type="http://schemas.openxmlformats.org/officeDocument/2006/relationships/image" Target="../media/image11.png"/><Relationship Id="rId6" Type="http://schemas.openxmlformats.org/officeDocument/2006/relationships/image" Target="../media/image4.png"/><Relationship Id="rId7" Type="http://schemas.openxmlformats.org/officeDocument/2006/relationships/image" Target="../media/image9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7</xdr:row>
      <xdr:rowOff>9525</xdr:rowOff>
    </xdr:from>
    <xdr:ext cx="2095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180</xdr:row>
      <xdr:rowOff>19050</xdr:rowOff>
    </xdr:from>
    <xdr:ext cx="2095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347</xdr:row>
      <xdr:rowOff>9525</xdr:rowOff>
    </xdr:from>
    <xdr:ext cx="209550" cy="171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409</xdr:row>
      <xdr:rowOff>0</xdr:rowOff>
    </xdr:from>
    <xdr:ext cx="209550" cy="1714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502</xdr:row>
      <xdr:rowOff>9525</xdr:rowOff>
    </xdr:from>
    <xdr:ext cx="2095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515</xdr:row>
      <xdr:rowOff>0</xdr:rowOff>
    </xdr:from>
    <xdr:ext cx="20955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520</xdr:row>
      <xdr:rowOff>0</xdr:rowOff>
    </xdr:from>
    <xdr:ext cx="209550" cy="1714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527</xdr:row>
      <xdr:rowOff>0</xdr:rowOff>
    </xdr:from>
    <xdr:ext cx="209550" cy="17145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541</xdr:row>
      <xdr:rowOff>0</xdr:rowOff>
    </xdr:from>
    <xdr:ext cx="209550" cy="1714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549</xdr:row>
      <xdr:rowOff>9525</xdr:rowOff>
    </xdr:from>
    <xdr:ext cx="209550" cy="17145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557</xdr:row>
      <xdr:rowOff>0</xdr:rowOff>
    </xdr:from>
    <xdr:ext cx="209550" cy="1714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650</xdr:row>
      <xdr:rowOff>9525</xdr:rowOff>
    </xdr:from>
    <xdr:ext cx="209550" cy="17145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664</xdr:row>
      <xdr:rowOff>0</xdr:rowOff>
    </xdr:from>
    <xdr:ext cx="209550" cy="17145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0</xdr:row>
      <xdr:rowOff>152400</xdr:rowOff>
    </xdr:from>
    <xdr:ext cx="2400300" cy="571500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</xdr:row>
      <xdr:rowOff>9525</xdr:rowOff>
    </xdr:from>
    <xdr:ext cx="2095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</xdr:row>
      <xdr:rowOff>9525</xdr:rowOff>
    </xdr:from>
    <xdr:ext cx="2095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180</xdr:row>
      <xdr:rowOff>19050</xdr:rowOff>
    </xdr:from>
    <xdr:ext cx="2095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180</xdr:row>
      <xdr:rowOff>19050</xdr:rowOff>
    </xdr:from>
    <xdr:ext cx="2095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</xdr:row>
      <xdr:rowOff>9525</xdr:rowOff>
    </xdr:from>
    <xdr:ext cx="2095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180</xdr:row>
      <xdr:rowOff>19050</xdr:rowOff>
    </xdr:from>
    <xdr:ext cx="209550" cy="1809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347</xdr:row>
      <xdr:rowOff>9525</xdr:rowOff>
    </xdr:from>
    <xdr:ext cx="209550" cy="171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409</xdr:row>
      <xdr:rowOff>0</xdr:rowOff>
    </xdr:from>
    <xdr:ext cx="209550" cy="1714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502</xdr:row>
      <xdr:rowOff>9525</xdr:rowOff>
    </xdr:from>
    <xdr:ext cx="209550" cy="1714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515</xdr:row>
      <xdr:rowOff>0</xdr:rowOff>
    </xdr:from>
    <xdr:ext cx="20955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520</xdr:row>
      <xdr:rowOff>0</xdr:rowOff>
    </xdr:from>
    <xdr:ext cx="209550" cy="1714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527</xdr:row>
      <xdr:rowOff>0</xdr:rowOff>
    </xdr:from>
    <xdr:ext cx="209550" cy="17145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541</xdr:row>
      <xdr:rowOff>0</xdr:rowOff>
    </xdr:from>
    <xdr:ext cx="209550" cy="1714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549</xdr:row>
      <xdr:rowOff>9525</xdr:rowOff>
    </xdr:from>
    <xdr:ext cx="209550" cy="17145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557</xdr:row>
      <xdr:rowOff>0</xdr:rowOff>
    </xdr:from>
    <xdr:ext cx="209550" cy="1714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650</xdr:row>
      <xdr:rowOff>9525</xdr:rowOff>
    </xdr:from>
    <xdr:ext cx="209550" cy="17145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664</xdr:row>
      <xdr:rowOff>0</xdr:rowOff>
    </xdr:from>
    <xdr:ext cx="209550" cy="17145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43"/>
    <col customWidth="1" min="2" max="2" width="72.43"/>
    <col customWidth="1" min="3" max="3" width="14.29"/>
    <col customWidth="1" min="4" max="4" width="17.14"/>
    <col customWidth="1" min="5" max="5" width="16.71"/>
    <col customWidth="1" min="6" max="6" width="9.14"/>
    <col customWidth="1" min="7" max="7" width="16.43"/>
    <col customWidth="1" min="8" max="8" width="12.14"/>
    <col customWidth="1" min="9" max="26" width="9.14"/>
  </cols>
  <sheetData>
    <row r="1" ht="15.75" customHeight="1">
      <c r="B1" s="1"/>
      <c r="C1" s="2"/>
      <c r="D1" s="3"/>
      <c r="E1" s="4"/>
      <c r="F1" s="5"/>
      <c r="G1" s="6"/>
      <c r="H1" s="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8"/>
      <c r="B2" s="9"/>
      <c r="C2" s="2"/>
      <c r="D2" s="3"/>
      <c r="E2" s="4"/>
      <c r="F2" s="5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8"/>
      <c r="B3" s="10"/>
      <c r="E3" s="4"/>
      <c r="F3" s="5"/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11"/>
      <c r="C4" s="2"/>
      <c r="D4" s="3"/>
      <c r="E4" s="4"/>
      <c r="F4" s="5"/>
      <c r="G4" s="6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/>
      <c r="B5" s="11"/>
      <c r="C5" s="2"/>
      <c r="D5" s="3"/>
      <c r="E5" s="4"/>
      <c r="F5" s="5"/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12" t="s">
        <v>0</v>
      </c>
      <c r="B6" s="12" t="s">
        <v>1</v>
      </c>
      <c r="C6" s="12" t="s">
        <v>2</v>
      </c>
      <c r="D6" s="12" t="s">
        <v>3</v>
      </c>
      <c r="E6" s="13" t="s">
        <v>4</v>
      </c>
      <c r="F6" s="14" t="s">
        <v>5</v>
      </c>
      <c r="G6" s="15" t="s">
        <v>6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6"/>
      <c r="B7" s="2"/>
      <c r="C7" s="3"/>
      <c r="D7" s="3"/>
      <c r="E7" s="4"/>
      <c r="F7" s="5"/>
      <c r="G7" s="6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7"/>
      <c r="B8" s="18" t="s">
        <v>7</v>
      </c>
      <c r="C8" s="3"/>
      <c r="D8" s="3"/>
      <c r="E8" s="4"/>
      <c r="F8" s="5"/>
      <c r="G8" s="6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6"/>
      <c r="B9" s="19" t="s">
        <v>8</v>
      </c>
      <c r="C9" s="3"/>
      <c r="D9" s="3"/>
      <c r="E9" s="2"/>
      <c r="F9" s="20"/>
      <c r="G9" s="2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1">
        <v>2723.0</v>
      </c>
      <c r="B10" s="22" t="s">
        <v>9</v>
      </c>
      <c r="C10" s="23" t="s">
        <v>10</v>
      </c>
      <c r="D10" s="23" t="s">
        <v>11</v>
      </c>
      <c r="E10" s="4">
        <v>126.68</v>
      </c>
      <c r="F10" s="5">
        <v>0.065</v>
      </c>
      <c r="G10" s="24">
        <v>134.9142</v>
      </c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5">
        <v>2722.0</v>
      </c>
      <c r="B11" s="26" t="s">
        <v>12</v>
      </c>
      <c r="C11" s="27" t="s">
        <v>10</v>
      </c>
      <c r="D11" s="27" t="s">
        <v>11</v>
      </c>
      <c r="E11" s="28">
        <v>201.74</v>
      </c>
      <c r="F11" s="29">
        <v>0.065</v>
      </c>
      <c r="G11" s="30">
        <v>214.8531</v>
      </c>
      <c r="H11" s="3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21">
        <v>2721.0</v>
      </c>
      <c r="B12" s="22" t="s">
        <v>13</v>
      </c>
      <c r="C12" s="23" t="s">
        <v>10</v>
      </c>
      <c r="D12" s="23" t="s">
        <v>11</v>
      </c>
      <c r="E12" s="4">
        <v>335.86</v>
      </c>
      <c r="F12" s="5">
        <v>0.065</v>
      </c>
      <c r="G12" s="24">
        <v>357.6909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5">
        <v>2720.0</v>
      </c>
      <c r="B13" s="26" t="s">
        <v>14</v>
      </c>
      <c r="C13" s="27" t="s">
        <v>10</v>
      </c>
      <c r="D13" s="27" t="s">
        <v>11</v>
      </c>
      <c r="E13" s="28">
        <v>722.23</v>
      </c>
      <c r="F13" s="29">
        <v>0.065</v>
      </c>
      <c r="G13" s="30">
        <v>769.1749500000001</v>
      </c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3"/>
      <c r="B14" s="6"/>
      <c r="C14" s="23"/>
      <c r="D14" s="23"/>
      <c r="E14" s="2"/>
      <c r="F14" s="20"/>
      <c r="G14" s="2"/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6"/>
      <c r="B15" s="19" t="s">
        <v>15</v>
      </c>
      <c r="C15" s="3"/>
      <c r="D15" s="3"/>
      <c r="E15" s="4"/>
      <c r="F15" s="5"/>
      <c r="G15" s="6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3">
        <v>2326.0</v>
      </c>
      <c r="B16" s="22" t="s">
        <v>16</v>
      </c>
      <c r="C16" s="23" t="s">
        <v>17</v>
      </c>
      <c r="D16" s="23" t="s">
        <v>11</v>
      </c>
      <c r="E16" s="4">
        <v>240.37</v>
      </c>
      <c r="F16" s="5">
        <v>0.065</v>
      </c>
      <c r="G16" s="24">
        <v>255.99405000000002</v>
      </c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5">
        <v>1754.0</v>
      </c>
      <c r="B17" s="26" t="s">
        <v>18</v>
      </c>
      <c r="C17" s="27" t="s">
        <v>17</v>
      </c>
      <c r="D17" s="27" t="s">
        <v>11</v>
      </c>
      <c r="E17" s="28">
        <v>181.03</v>
      </c>
      <c r="F17" s="29">
        <v>0.065</v>
      </c>
      <c r="G17" s="30">
        <v>192.79695</v>
      </c>
      <c r="H17" s="31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3"/>
      <c r="B18" s="6"/>
      <c r="C18" s="3"/>
      <c r="D18" s="3"/>
      <c r="E18" s="4"/>
      <c r="F18" s="5"/>
      <c r="G18" s="6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/>
      <c r="B19" s="19" t="s">
        <v>19</v>
      </c>
      <c r="C19" s="23"/>
      <c r="D19" s="23"/>
      <c r="E19" s="4"/>
      <c r="F19" s="5"/>
      <c r="G19" s="24"/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>
        <v>2773.0</v>
      </c>
      <c r="B20" s="22" t="s">
        <v>20</v>
      </c>
      <c r="C20" s="23" t="s">
        <v>21</v>
      </c>
      <c r="D20" s="23" t="s">
        <v>22</v>
      </c>
      <c r="E20" s="4">
        <v>498.85</v>
      </c>
      <c r="F20" s="5">
        <v>0.065</v>
      </c>
      <c r="G20" s="24">
        <v>531.27525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5">
        <v>2056.0</v>
      </c>
      <c r="B21" s="26" t="s">
        <v>23</v>
      </c>
      <c r="C21" s="27" t="s">
        <v>17</v>
      </c>
      <c r="D21" s="27" t="s">
        <v>11</v>
      </c>
      <c r="E21" s="28">
        <v>296.07</v>
      </c>
      <c r="F21" s="29">
        <v>0.065</v>
      </c>
      <c r="G21" s="30">
        <v>315.31455</v>
      </c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3">
        <v>2055.0</v>
      </c>
      <c r="B22" s="22" t="s">
        <v>24</v>
      </c>
      <c r="C22" s="23" t="s">
        <v>17</v>
      </c>
      <c r="D22" s="23" t="s">
        <v>11</v>
      </c>
      <c r="E22" s="4">
        <v>150.86</v>
      </c>
      <c r="F22" s="5">
        <v>0.065</v>
      </c>
      <c r="G22" s="24">
        <v>160.66590000000002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5">
        <v>2054.0</v>
      </c>
      <c r="B23" s="26" t="s">
        <v>25</v>
      </c>
      <c r="C23" s="27" t="s">
        <v>17</v>
      </c>
      <c r="D23" s="27" t="s">
        <v>11</v>
      </c>
      <c r="E23" s="28">
        <v>102.15</v>
      </c>
      <c r="F23" s="29">
        <v>0.065</v>
      </c>
      <c r="G23" s="30">
        <v>108.78975000000001</v>
      </c>
      <c r="H23" s="31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3">
        <v>2767.0</v>
      </c>
      <c r="B24" s="22" t="s">
        <v>26</v>
      </c>
      <c r="C24" s="23" t="s">
        <v>10</v>
      </c>
      <c r="D24" s="23" t="s">
        <v>11</v>
      </c>
      <c r="E24" s="4">
        <v>833.87</v>
      </c>
      <c r="F24" s="5">
        <v>0.065</v>
      </c>
      <c r="G24" s="24">
        <v>888.07155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5">
        <v>2768.0</v>
      </c>
      <c r="B25" s="26" t="s">
        <v>27</v>
      </c>
      <c r="C25" s="27" t="s">
        <v>17</v>
      </c>
      <c r="D25" s="27" t="s">
        <v>11</v>
      </c>
      <c r="E25" s="28">
        <v>615.19</v>
      </c>
      <c r="F25" s="29">
        <v>0.065</v>
      </c>
      <c r="G25" s="30">
        <v>655.17735</v>
      </c>
      <c r="H25" s="31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3">
        <v>2769.0</v>
      </c>
      <c r="B26" s="22" t="s">
        <v>28</v>
      </c>
      <c r="C26" s="23" t="s">
        <v>10</v>
      </c>
      <c r="D26" s="23" t="s">
        <v>11</v>
      </c>
      <c r="E26" s="4">
        <v>727.04</v>
      </c>
      <c r="F26" s="5">
        <v>0.065</v>
      </c>
      <c r="G26" s="24">
        <v>774.2976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5">
        <v>2770.0</v>
      </c>
      <c r="B27" s="26" t="s">
        <v>29</v>
      </c>
      <c r="C27" s="27" t="s">
        <v>10</v>
      </c>
      <c r="D27" s="27" t="s">
        <v>11</v>
      </c>
      <c r="E27" s="28">
        <v>1332.22</v>
      </c>
      <c r="F27" s="29">
        <v>0.065</v>
      </c>
      <c r="G27" s="30">
        <v>1418.8143</v>
      </c>
      <c r="H27" s="31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3">
        <v>2771.0</v>
      </c>
      <c r="B28" s="22" t="s">
        <v>30</v>
      </c>
      <c r="C28" s="23" t="s">
        <v>17</v>
      </c>
      <c r="D28" s="23" t="s">
        <v>11</v>
      </c>
      <c r="E28" s="4">
        <v>654.89</v>
      </c>
      <c r="F28" s="5">
        <v>0.065</v>
      </c>
      <c r="G28" s="24">
        <v>697.45785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5">
        <v>2772.0</v>
      </c>
      <c r="B29" s="26" t="s">
        <v>31</v>
      </c>
      <c r="C29" s="27" t="s">
        <v>17</v>
      </c>
      <c r="D29" s="27" t="s">
        <v>11</v>
      </c>
      <c r="E29" s="28">
        <v>728.16</v>
      </c>
      <c r="F29" s="29">
        <v>0.065</v>
      </c>
      <c r="G29" s="30">
        <v>775.4903999999999</v>
      </c>
      <c r="H29" s="31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3"/>
      <c r="B30" s="6"/>
      <c r="C30" s="3"/>
      <c r="D30" s="3"/>
      <c r="E30" s="4"/>
      <c r="F30" s="5"/>
      <c r="G30" s="6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19" t="s">
        <v>32</v>
      </c>
      <c r="C31" s="23"/>
      <c r="D31" s="23"/>
      <c r="E31" s="2"/>
      <c r="F31" s="20"/>
      <c r="G31" s="2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1">
        <v>2711.0</v>
      </c>
      <c r="B32" s="6" t="s">
        <v>33</v>
      </c>
      <c r="C32" s="23" t="s">
        <v>10</v>
      </c>
      <c r="D32" s="23" t="s">
        <v>34</v>
      </c>
      <c r="E32" s="4">
        <v>83.12</v>
      </c>
      <c r="F32" s="5">
        <v>0.065</v>
      </c>
      <c r="G32" s="24">
        <v>88.5228</v>
      </c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5">
        <v>2712.0</v>
      </c>
      <c r="B33" s="35" t="s">
        <v>35</v>
      </c>
      <c r="C33" s="27" t="s">
        <v>10</v>
      </c>
      <c r="D33" s="27" t="s">
        <v>11</v>
      </c>
      <c r="E33" s="28">
        <v>83.12</v>
      </c>
      <c r="F33" s="29">
        <v>0.065</v>
      </c>
      <c r="G33" s="30">
        <v>88.5228</v>
      </c>
      <c r="H33" s="31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3"/>
      <c r="B34" s="6"/>
      <c r="C34" s="23"/>
      <c r="D34" s="23"/>
      <c r="E34" s="2"/>
      <c r="F34" s="20"/>
      <c r="G34" s="2"/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3"/>
      <c r="B35" s="19" t="s">
        <v>36</v>
      </c>
      <c r="C35" s="23"/>
      <c r="D35" s="23"/>
      <c r="E35" s="4"/>
      <c r="F35" s="5"/>
      <c r="G35" s="24"/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1">
        <v>2796.0</v>
      </c>
      <c r="B36" s="6" t="s">
        <v>37</v>
      </c>
      <c r="C36" s="23" t="s">
        <v>10</v>
      </c>
      <c r="D36" s="23" t="s">
        <v>11</v>
      </c>
      <c r="E36" s="4">
        <v>93.39</v>
      </c>
      <c r="F36" s="5">
        <v>0.065</v>
      </c>
      <c r="G36" s="24">
        <v>99.46035</v>
      </c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5">
        <v>2797.0</v>
      </c>
      <c r="B37" s="35" t="s">
        <v>38</v>
      </c>
      <c r="C37" s="27" t="s">
        <v>10</v>
      </c>
      <c r="D37" s="27" t="s">
        <v>11</v>
      </c>
      <c r="E37" s="28">
        <v>155.99</v>
      </c>
      <c r="F37" s="29">
        <v>0.065</v>
      </c>
      <c r="G37" s="30">
        <v>166.12935000000002</v>
      </c>
      <c r="H37" s="31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21">
        <v>2798.0</v>
      </c>
      <c r="B38" s="6" t="s">
        <v>39</v>
      </c>
      <c r="C38" s="23" t="s">
        <v>10</v>
      </c>
      <c r="D38" s="23" t="s">
        <v>11</v>
      </c>
      <c r="E38" s="4">
        <v>407.94</v>
      </c>
      <c r="F38" s="5">
        <v>0.065</v>
      </c>
      <c r="G38" s="24">
        <v>434.4561</v>
      </c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3"/>
      <c r="B39" s="6"/>
      <c r="C39" s="23"/>
      <c r="D39" s="23"/>
      <c r="E39" s="2"/>
      <c r="F39" s="20"/>
      <c r="G39" s="2"/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3"/>
      <c r="B40" s="19" t="s">
        <v>40</v>
      </c>
      <c r="C40" s="23"/>
      <c r="D40" s="23"/>
      <c r="E40" s="4"/>
      <c r="F40" s="5"/>
      <c r="G40" s="24"/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1">
        <v>673.0</v>
      </c>
      <c r="B41" s="6" t="s">
        <v>41</v>
      </c>
      <c r="C41" s="23" t="s">
        <v>10</v>
      </c>
      <c r="D41" s="23" t="s">
        <v>34</v>
      </c>
      <c r="E41" s="4">
        <v>91.08</v>
      </c>
      <c r="F41" s="5">
        <v>0.065</v>
      </c>
      <c r="G41" s="24">
        <v>97.00019999999999</v>
      </c>
      <c r="H41" s="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>
        <v>661.0</v>
      </c>
      <c r="B42" s="35" t="s">
        <v>42</v>
      </c>
      <c r="C42" s="27" t="s">
        <v>10</v>
      </c>
      <c r="D42" s="27" t="s">
        <v>11</v>
      </c>
      <c r="E42" s="28">
        <v>91.08</v>
      </c>
      <c r="F42" s="29">
        <v>0.065</v>
      </c>
      <c r="G42" s="30">
        <v>97.00019999999999</v>
      </c>
      <c r="H42" s="31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21">
        <v>677.0</v>
      </c>
      <c r="B43" s="6" t="s">
        <v>43</v>
      </c>
      <c r="C43" s="23" t="s">
        <v>10</v>
      </c>
      <c r="D43" s="23" t="s">
        <v>11</v>
      </c>
      <c r="E43" s="4">
        <v>150.04</v>
      </c>
      <c r="F43" s="5">
        <v>0.065</v>
      </c>
      <c r="G43" s="24">
        <v>159.7926</v>
      </c>
      <c r="H43" s="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5">
        <v>672.0</v>
      </c>
      <c r="B44" s="35" t="s">
        <v>44</v>
      </c>
      <c r="C44" s="27" t="s">
        <v>10</v>
      </c>
      <c r="D44" s="27" t="s">
        <v>11</v>
      </c>
      <c r="E44" s="28"/>
      <c r="F44" s="29">
        <v>0.065</v>
      </c>
      <c r="G44" s="30"/>
      <c r="H44" s="31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21">
        <v>663.0</v>
      </c>
      <c r="B45" s="6" t="s">
        <v>45</v>
      </c>
      <c r="C45" s="23" t="s">
        <v>10</v>
      </c>
      <c r="D45" s="23" t="s">
        <v>11</v>
      </c>
      <c r="E45" s="4">
        <v>409.48</v>
      </c>
      <c r="F45" s="5">
        <v>0.065</v>
      </c>
      <c r="G45" s="24">
        <v>436.0962</v>
      </c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3"/>
      <c r="B46" s="6"/>
      <c r="C46" s="23"/>
      <c r="D46" s="23"/>
      <c r="E46" s="4"/>
      <c r="F46" s="5"/>
      <c r="G46" s="24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/>
      <c r="B47" s="19" t="s">
        <v>46</v>
      </c>
      <c r="C47" s="3"/>
      <c r="D47" s="3"/>
      <c r="E47" s="4"/>
      <c r="F47" s="5"/>
      <c r="G47" s="6"/>
      <c r="H47" s="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3">
        <v>2830.0</v>
      </c>
      <c r="B48" s="6" t="s">
        <v>47</v>
      </c>
      <c r="C48" s="23" t="s">
        <v>10</v>
      </c>
      <c r="D48" s="23" t="s">
        <v>22</v>
      </c>
      <c r="E48" s="4">
        <v>162.2</v>
      </c>
      <c r="F48" s="5">
        <v>0.065</v>
      </c>
      <c r="G48" s="24">
        <v>172.743</v>
      </c>
      <c r="H48" s="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3"/>
      <c r="B49" s="6"/>
      <c r="C49" s="23"/>
      <c r="D49" s="23"/>
      <c r="E49" s="4"/>
      <c r="F49" s="5"/>
      <c r="G49" s="24"/>
      <c r="H49" s="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3"/>
      <c r="B50" s="19" t="s">
        <v>48</v>
      </c>
      <c r="C50" s="23"/>
      <c r="D50" s="23"/>
      <c r="E50" s="4"/>
      <c r="F50" s="5"/>
      <c r="G50" s="24"/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3">
        <v>432.0</v>
      </c>
      <c r="B51" s="6" t="s">
        <v>49</v>
      </c>
      <c r="C51" s="23" t="s">
        <v>17</v>
      </c>
      <c r="D51" s="23" t="s">
        <v>11</v>
      </c>
      <c r="E51" s="4">
        <v>554.18</v>
      </c>
      <c r="F51" s="5">
        <v>0.065</v>
      </c>
      <c r="G51" s="24">
        <v>590.2017</v>
      </c>
      <c r="H51" s="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6">
        <v>433.0</v>
      </c>
      <c r="B52" s="35" t="s">
        <v>50</v>
      </c>
      <c r="C52" s="27" t="s">
        <v>17</v>
      </c>
      <c r="D52" s="27" t="s">
        <v>11</v>
      </c>
      <c r="E52" s="28">
        <v>868.72</v>
      </c>
      <c r="F52" s="29">
        <v>0.065</v>
      </c>
      <c r="G52" s="30">
        <v>925.1868000000001</v>
      </c>
      <c r="H52" s="31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3">
        <v>436.0</v>
      </c>
      <c r="B53" s="6" t="s">
        <v>51</v>
      </c>
      <c r="C53" s="23" t="s">
        <v>17</v>
      </c>
      <c r="D53" s="23" t="s">
        <v>11</v>
      </c>
      <c r="E53" s="4">
        <v>1713.33</v>
      </c>
      <c r="F53" s="5">
        <v>0.065</v>
      </c>
      <c r="G53" s="24">
        <v>1824.69645</v>
      </c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6">
        <v>478.0</v>
      </c>
      <c r="B54" s="35" t="s">
        <v>52</v>
      </c>
      <c r="C54" s="27" t="s">
        <v>17</v>
      </c>
      <c r="D54" s="27" t="s">
        <v>11</v>
      </c>
      <c r="E54" s="28">
        <v>302.01</v>
      </c>
      <c r="F54" s="29">
        <v>0.065</v>
      </c>
      <c r="G54" s="30">
        <v>321.64065</v>
      </c>
      <c r="H54" s="31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3"/>
      <c r="B55" s="6"/>
      <c r="C55" s="23"/>
      <c r="D55" s="23"/>
      <c r="E55" s="4"/>
      <c r="F55" s="5"/>
      <c r="G55" s="24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3"/>
      <c r="B56" s="19" t="s">
        <v>53</v>
      </c>
      <c r="C56" s="23"/>
      <c r="D56" s="23"/>
      <c r="E56" s="4"/>
      <c r="F56" s="5"/>
      <c r="G56" s="24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3">
        <v>2567.0</v>
      </c>
      <c r="B57" s="6" t="s">
        <v>54</v>
      </c>
      <c r="C57" s="23" t="s">
        <v>10</v>
      </c>
      <c r="D57" s="23" t="s">
        <v>11</v>
      </c>
      <c r="E57" s="4">
        <v>2664.67</v>
      </c>
      <c r="F57" s="5">
        <v>0.065</v>
      </c>
      <c r="G57" s="24">
        <v>2837.8735500000003</v>
      </c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6">
        <v>2220.0</v>
      </c>
      <c r="B58" s="35" t="s">
        <v>55</v>
      </c>
      <c r="C58" s="27" t="s">
        <v>17</v>
      </c>
      <c r="D58" s="27" t="s">
        <v>11</v>
      </c>
      <c r="E58" s="28">
        <v>4335.41</v>
      </c>
      <c r="F58" s="29">
        <v>0.065</v>
      </c>
      <c r="G58" s="30">
        <v>4617.21165</v>
      </c>
      <c r="H58" s="31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3"/>
      <c r="B59" s="6"/>
      <c r="C59" s="23"/>
      <c r="D59" s="23"/>
      <c r="E59" s="4"/>
      <c r="F59" s="5"/>
      <c r="G59" s="24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3"/>
      <c r="B60" s="19" t="s">
        <v>56</v>
      </c>
      <c r="C60" s="23"/>
      <c r="D60" s="23"/>
      <c r="E60" s="4"/>
      <c r="F60" s="5"/>
      <c r="G60" s="24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3">
        <v>78.0</v>
      </c>
      <c r="B61" s="6" t="s">
        <v>57</v>
      </c>
      <c r="C61" s="23" t="s">
        <v>17</v>
      </c>
      <c r="D61" s="23" t="s">
        <v>58</v>
      </c>
      <c r="E61" s="4">
        <v>192.34</v>
      </c>
      <c r="F61" s="5">
        <v>0.065</v>
      </c>
      <c r="G61" s="24">
        <v>204.84210000000002</v>
      </c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6">
        <v>700.0</v>
      </c>
      <c r="B62" s="35" t="s">
        <v>59</v>
      </c>
      <c r="C62" s="27" t="s">
        <v>17</v>
      </c>
      <c r="D62" s="27" t="s">
        <v>58</v>
      </c>
      <c r="E62" s="28">
        <v>192.34</v>
      </c>
      <c r="F62" s="29">
        <v>0.065</v>
      </c>
      <c r="G62" s="30">
        <v>204.84210000000002</v>
      </c>
      <c r="H62" s="31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3">
        <v>2289.0</v>
      </c>
      <c r="B63" s="6" t="s">
        <v>60</v>
      </c>
      <c r="C63" s="23" t="s">
        <v>17</v>
      </c>
      <c r="D63" s="23" t="s">
        <v>34</v>
      </c>
      <c r="E63" s="4">
        <v>229.39</v>
      </c>
      <c r="F63" s="5">
        <v>0.065</v>
      </c>
      <c r="G63" s="24">
        <v>244.30034999999998</v>
      </c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6">
        <v>742.0</v>
      </c>
      <c r="B64" s="35" t="s">
        <v>61</v>
      </c>
      <c r="C64" s="27" t="s">
        <v>17</v>
      </c>
      <c r="D64" s="27" t="s">
        <v>11</v>
      </c>
      <c r="E64" s="28">
        <v>110.2</v>
      </c>
      <c r="F64" s="29">
        <v>0.065</v>
      </c>
      <c r="G64" s="30">
        <v>117.363</v>
      </c>
      <c r="H64" s="31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3">
        <v>763.0</v>
      </c>
      <c r="B65" s="6" t="s">
        <v>62</v>
      </c>
      <c r="C65" s="23" t="s">
        <v>17</v>
      </c>
      <c r="D65" s="23" t="s">
        <v>11</v>
      </c>
      <c r="E65" s="4">
        <v>237.04</v>
      </c>
      <c r="F65" s="5">
        <v>0.065</v>
      </c>
      <c r="G65" s="24">
        <v>252.4476</v>
      </c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6">
        <v>2568.0</v>
      </c>
      <c r="B66" s="35" t="s">
        <v>63</v>
      </c>
      <c r="C66" s="27" t="s">
        <v>10</v>
      </c>
      <c r="D66" s="27" t="s">
        <v>11</v>
      </c>
      <c r="E66" s="28">
        <v>853.33</v>
      </c>
      <c r="F66" s="29">
        <v>0.065</v>
      </c>
      <c r="G66" s="30">
        <v>908.79645</v>
      </c>
      <c r="H66" s="31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3"/>
      <c r="B67" s="6"/>
      <c r="C67" s="23"/>
      <c r="D67" s="23"/>
      <c r="E67" s="4"/>
      <c r="F67" s="5"/>
      <c r="G67" s="24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3"/>
      <c r="B68" s="19" t="s">
        <v>64</v>
      </c>
      <c r="C68" s="23"/>
      <c r="D68" s="23"/>
      <c r="E68" s="4"/>
      <c r="F68" s="5"/>
      <c r="G68" s="24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3">
        <v>767.0</v>
      </c>
      <c r="B69" s="6" t="s">
        <v>65</v>
      </c>
      <c r="C69" s="23" t="s">
        <v>10</v>
      </c>
      <c r="D69" s="23" t="s">
        <v>34</v>
      </c>
      <c r="E69" s="4">
        <v>1560.47</v>
      </c>
      <c r="F69" s="5">
        <v>0.065</v>
      </c>
      <c r="G69" s="24">
        <v>1661.90055</v>
      </c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6">
        <v>2349.0</v>
      </c>
      <c r="B70" s="35" t="s">
        <v>66</v>
      </c>
      <c r="C70" s="27" t="s">
        <v>10</v>
      </c>
      <c r="D70" s="27" t="s">
        <v>34</v>
      </c>
      <c r="E70" s="28">
        <v>955.85</v>
      </c>
      <c r="F70" s="29">
        <v>0.065</v>
      </c>
      <c r="G70" s="30">
        <v>1017.9802500000001</v>
      </c>
      <c r="H70" s="31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3">
        <v>2650.0</v>
      </c>
      <c r="B71" s="6" t="s">
        <v>67</v>
      </c>
      <c r="C71" s="23" t="s">
        <v>10</v>
      </c>
      <c r="D71" s="23" t="s">
        <v>34</v>
      </c>
      <c r="E71" s="4">
        <v>1887.66</v>
      </c>
      <c r="F71" s="5">
        <v>0.065</v>
      </c>
      <c r="G71" s="24">
        <v>2010.3579</v>
      </c>
      <c r="H71" s="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6">
        <v>2829.0</v>
      </c>
      <c r="B72" s="35" t="s">
        <v>68</v>
      </c>
      <c r="C72" s="27" t="s">
        <v>10</v>
      </c>
      <c r="D72" s="27" t="s">
        <v>11</v>
      </c>
      <c r="E72" s="28">
        <v>515.69</v>
      </c>
      <c r="F72" s="29">
        <v>0.065</v>
      </c>
      <c r="G72" s="30">
        <v>549.2098500000001</v>
      </c>
      <c r="H72" s="31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3"/>
      <c r="B73" s="6"/>
      <c r="C73" s="23"/>
      <c r="D73" s="23"/>
      <c r="E73" s="4"/>
      <c r="F73" s="5"/>
      <c r="G73" s="24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3"/>
      <c r="B74" s="19" t="s">
        <v>69</v>
      </c>
      <c r="C74" s="23"/>
      <c r="D74" s="23"/>
      <c r="E74" s="4"/>
      <c r="F74" s="5"/>
      <c r="G74" s="24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3">
        <v>1792.0</v>
      </c>
      <c r="B75" s="6" t="s">
        <v>70</v>
      </c>
      <c r="C75" s="23" t="s">
        <v>10</v>
      </c>
      <c r="D75" s="23" t="s">
        <v>34</v>
      </c>
      <c r="E75" s="4">
        <v>574.91</v>
      </c>
      <c r="F75" s="5">
        <v>0.065</v>
      </c>
      <c r="G75" s="24">
        <v>612.27915</v>
      </c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6">
        <v>2469.0</v>
      </c>
      <c r="B76" s="35" t="s">
        <v>71</v>
      </c>
      <c r="C76" s="27" t="s">
        <v>10</v>
      </c>
      <c r="D76" s="27" t="s">
        <v>34</v>
      </c>
      <c r="E76" s="28">
        <v>749.42</v>
      </c>
      <c r="F76" s="29">
        <v>0.065</v>
      </c>
      <c r="G76" s="30">
        <v>798.1323</v>
      </c>
      <c r="H76" s="31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3">
        <v>1796.0</v>
      </c>
      <c r="B77" s="6" t="s">
        <v>72</v>
      </c>
      <c r="C77" s="23" t="s">
        <v>10</v>
      </c>
      <c r="D77" s="23" t="s">
        <v>11</v>
      </c>
      <c r="E77" s="4">
        <v>444.03</v>
      </c>
      <c r="F77" s="5">
        <v>0.065</v>
      </c>
      <c r="G77" s="24">
        <v>472.89194999999995</v>
      </c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6">
        <v>2566.0</v>
      </c>
      <c r="B78" s="35" t="s">
        <v>73</v>
      </c>
      <c r="C78" s="27" t="s">
        <v>10</v>
      </c>
      <c r="D78" s="27" t="s">
        <v>11</v>
      </c>
      <c r="E78" s="28">
        <v>859.6</v>
      </c>
      <c r="F78" s="29">
        <v>0.065</v>
      </c>
      <c r="G78" s="30">
        <v>915.474</v>
      </c>
      <c r="H78" s="31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3">
        <v>2471.0</v>
      </c>
      <c r="B79" s="6" t="s">
        <v>74</v>
      </c>
      <c r="C79" s="23" t="s">
        <v>10</v>
      </c>
      <c r="D79" s="23" t="s">
        <v>11</v>
      </c>
      <c r="E79" s="4">
        <v>587.77</v>
      </c>
      <c r="F79" s="5">
        <v>0.065</v>
      </c>
      <c r="G79" s="24">
        <v>625.97505</v>
      </c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3"/>
      <c r="B80" s="6"/>
      <c r="C80" s="3"/>
      <c r="D80" s="3"/>
      <c r="E80" s="4"/>
      <c r="F80" s="5"/>
      <c r="G80" s="6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3"/>
      <c r="B81" s="19" t="s">
        <v>75</v>
      </c>
      <c r="C81" s="23"/>
      <c r="D81" s="23"/>
      <c r="E81" s="2"/>
      <c r="F81" s="20"/>
      <c r="G81" s="2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1">
        <v>2740.0</v>
      </c>
      <c r="B82" s="6" t="s">
        <v>76</v>
      </c>
      <c r="C82" s="23" t="s">
        <v>10</v>
      </c>
      <c r="D82" s="23" t="s">
        <v>34</v>
      </c>
      <c r="E82" s="4">
        <v>471.21</v>
      </c>
      <c r="F82" s="5">
        <v>0.065</v>
      </c>
      <c r="G82" s="24">
        <v>501.83865</v>
      </c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5">
        <v>2741.0</v>
      </c>
      <c r="B83" s="35" t="s">
        <v>77</v>
      </c>
      <c r="C83" s="27" t="s">
        <v>10</v>
      </c>
      <c r="D83" s="27" t="s">
        <v>11</v>
      </c>
      <c r="E83" s="28">
        <v>332.79</v>
      </c>
      <c r="F83" s="29">
        <v>0.065</v>
      </c>
      <c r="G83" s="30">
        <v>354.42135</v>
      </c>
      <c r="H83" s="31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21">
        <v>2742.0</v>
      </c>
      <c r="B84" s="6" t="s">
        <v>78</v>
      </c>
      <c r="C84" s="23" t="s">
        <v>10</v>
      </c>
      <c r="D84" s="23" t="s">
        <v>11</v>
      </c>
      <c r="E84" s="4">
        <v>471.21</v>
      </c>
      <c r="F84" s="5">
        <v>0.065</v>
      </c>
      <c r="G84" s="24">
        <v>501.83865</v>
      </c>
      <c r="H84" s="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3"/>
      <c r="B85" s="6"/>
      <c r="C85" s="23"/>
      <c r="D85" s="23"/>
      <c r="E85" s="2"/>
      <c r="F85" s="20"/>
      <c r="G85" s="2"/>
      <c r="H85" s="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3"/>
      <c r="B86" s="19" t="s">
        <v>79</v>
      </c>
      <c r="C86" s="23"/>
      <c r="D86" s="23"/>
      <c r="E86" s="2"/>
      <c r="F86" s="2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1">
        <v>2755.0</v>
      </c>
      <c r="B87" s="6" t="s">
        <v>80</v>
      </c>
      <c r="C87" s="23" t="s">
        <v>10</v>
      </c>
      <c r="D87" s="23" t="s">
        <v>34</v>
      </c>
      <c r="E87" s="4">
        <v>224.22</v>
      </c>
      <c r="F87" s="5">
        <v>0.065</v>
      </c>
      <c r="G87" s="24">
        <v>238.7943</v>
      </c>
      <c r="H87" s="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5">
        <v>2756.0</v>
      </c>
      <c r="B88" s="35" t="s">
        <v>81</v>
      </c>
      <c r="C88" s="27" t="s">
        <v>10</v>
      </c>
      <c r="D88" s="27" t="s">
        <v>34</v>
      </c>
      <c r="E88" s="28">
        <v>272.33</v>
      </c>
      <c r="F88" s="29">
        <v>0.065</v>
      </c>
      <c r="G88" s="30">
        <v>290.03145</v>
      </c>
      <c r="H88" s="31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21">
        <v>2757.0</v>
      </c>
      <c r="B89" s="6" t="s">
        <v>82</v>
      </c>
      <c r="C89" s="23" t="s">
        <v>10</v>
      </c>
      <c r="D89" s="23" t="s">
        <v>34</v>
      </c>
      <c r="E89" s="4">
        <v>351.19</v>
      </c>
      <c r="F89" s="5">
        <v>0.065</v>
      </c>
      <c r="G89" s="24">
        <v>374.01735</v>
      </c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5">
        <v>2758.0</v>
      </c>
      <c r="B90" s="35" t="s">
        <v>83</v>
      </c>
      <c r="C90" s="27" t="s">
        <v>10</v>
      </c>
      <c r="D90" s="27" t="s">
        <v>34</v>
      </c>
      <c r="E90" s="28">
        <v>478.72</v>
      </c>
      <c r="F90" s="29">
        <v>0.065</v>
      </c>
      <c r="G90" s="30">
        <v>509.83680000000004</v>
      </c>
      <c r="H90" s="31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3"/>
      <c r="B91" s="6"/>
      <c r="C91" s="23"/>
      <c r="D91" s="23"/>
      <c r="E91" s="2"/>
      <c r="F91" s="20"/>
      <c r="G91" s="2"/>
      <c r="H91" s="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3"/>
      <c r="B92" s="19" t="s">
        <v>84</v>
      </c>
      <c r="C92" s="23"/>
      <c r="D92" s="23"/>
      <c r="E92" s="2"/>
      <c r="F92" s="20"/>
      <c r="G92" s="2"/>
      <c r="H92" s="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1">
        <v>2759.0</v>
      </c>
      <c r="B93" s="6" t="s">
        <v>85</v>
      </c>
      <c r="C93" s="23" t="s">
        <v>10</v>
      </c>
      <c r="D93" s="23" t="s">
        <v>11</v>
      </c>
      <c r="E93" s="4">
        <v>126.35</v>
      </c>
      <c r="F93" s="5">
        <v>0.065</v>
      </c>
      <c r="G93" s="24">
        <v>134.56275</v>
      </c>
      <c r="H93" s="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5">
        <v>2760.0</v>
      </c>
      <c r="B94" s="35" t="s">
        <v>86</v>
      </c>
      <c r="C94" s="27" t="s">
        <v>10</v>
      </c>
      <c r="D94" s="27" t="s">
        <v>11</v>
      </c>
      <c r="E94" s="28">
        <v>168.3</v>
      </c>
      <c r="F94" s="29">
        <v>0.065</v>
      </c>
      <c r="G94" s="30">
        <v>179.23950000000002</v>
      </c>
      <c r="H94" s="31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3"/>
      <c r="B95" s="6"/>
      <c r="C95" s="23"/>
      <c r="D95" s="23"/>
      <c r="E95" s="2"/>
      <c r="F95" s="2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3"/>
      <c r="B96" s="19" t="s">
        <v>87</v>
      </c>
      <c r="C96" s="23"/>
      <c r="D96" s="23"/>
      <c r="E96" s="4"/>
      <c r="F96" s="5"/>
      <c r="G96" s="24"/>
      <c r="H96" s="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3">
        <v>769.0</v>
      </c>
      <c r="B97" s="6" t="s">
        <v>88</v>
      </c>
      <c r="C97" s="23" t="s">
        <v>10</v>
      </c>
      <c r="D97" s="23" t="s">
        <v>34</v>
      </c>
      <c r="E97" s="4">
        <v>182.25</v>
      </c>
      <c r="F97" s="5">
        <v>0.065</v>
      </c>
      <c r="G97" s="24">
        <v>194.09625</v>
      </c>
      <c r="H97" s="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6">
        <v>770.0</v>
      </c>
      <c r="B98" s="35" t="s">
        <v>89</v>
      </c>
      <c r="C98" s="27" t="s">
        <v>10</v>
      </c>
      <c r="D98" s="27" t="s">
        <v>34</v>
      </c>
      <c r="E98" s="28">
        <v>238.82</v>
      </c>
      <c r="F98" s="29">
        <v>0.065</v>
      </c>
      <c r="G98" s="30">
        <v>254.3433</v>
      </c>
      <c r="H98" s="31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3">
        <v>1760.0</v>
      </c>
      <c r="B99" s="6" t="s">
        <v>90</v>
      </c>
      <c r="C99" s="23" t="s">
        <v>10</v>
      </c>
      <c r="D99" s="23" t="s">
        <v>34</v>
      </c>
      <c r="E99" s="4">
        <v>310.26</v>
      </c>
      <c r="F99" s="5">
        <v>0.065</v>
      </c>
      <c r="G99" s="24">
        <v>330.4269</v>
      </c>
      <c r="H99" s="7">
        <f>G99*1.13</f>
        <v>373.382397</v>
      </c>
      <c r="I99" s="2">
        <f>H99*1.5</f>
        <v>560.0735955</v>
      </c>
      <c r="J99" s="2">
        <f>(I99*0.92)-10</f>
        <v>505.2677079</v>
      </c>
      <c r="K99" s="2">
        <f>J99/H99</f>
        <v>1.353217805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3"/>
      <c r="B100" s="6"/>
      <c r="C100" s="3"/>
      <c r="D100" s="3"/>
      <c r="E100" s="4"/>
      <c r="F100" s="5"/>
      <c r="G100" s="6"/>
      <c r="H100" s="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3"/>
      <c r="B101" s="19" t="s">
        <v>91</v>
      </c>
      <c r="C101" s="23"/>
      <c r="D101" s="23"/>
      <c r="E101" s="4"/>
      <c r="F101" s="5"/>
      <c r="G101" s="24"/>
      <c r="H101" s="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1">
        <v>373.0</v>
      </c>
      <c r="B102" s="6" t="s">
        <v>92</v>
      </c>
      <c r="C102" s="23" t="s">
        <v>10</v>
      </c>
      <c r="D102" s="23" t="s">
        <v>58</v>
      </c>
      <c r="E102" s="4">
        <v>117.28</v>
      </c>
      <c r="F102" s="5">
        <v>0.065</v>
      </c>
      <c r="G102" s="24">
        <v>124.9032</v>
      </c>
      <c r="H102" s="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5">
        <v>375.0</v>
      </c>
      <c r="B103" s="35" t="s">
        <v>93</v>
      </c>
      <c r="C103" s="27" t="s">
        <v>10</v>
      </c>
      <c r="D103" s="27" t="s">
        <v>58</v>
      </c>
      <c r="E103" s="28">
        <v>117.28</v>
      </c>
      <c r="F103" s="29">
        <v>0.065</v>
      </c>
      <c r="G103" s="30">
        <v>124.9032</v>
      </c>
      <c r="H103" s="31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3"/>
      <c r="B104" s="6"/>
      <c r="C104" s="23"/>
      <c r="D104" s="23"/>
      <c r="E104" s="4"/>
      <c r="F104" s="5"/>
      <c r="G104" s="24"/>
      <c r="H104" s="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3"/>
      <c r="B105" s="19" t="s">
        <v>94</v>
      </c>
      <c r="C105" s="23"/>
      <c r="D105" s="23"/>
      <c r="E105" s="4"/>
      <c r="F105" s="5"/>
      <c r="G105" s="24"/>
      <c r="H105" s="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1">
        <v>799.0</v>
      </c>
      <c r="B106" s="6" t="s">
        <v>95</v>
      </c>
      <c r="C106" s="23" t="s">
        <v>17</v>
      </c>
      <c r="D106" s="23" t="s">
        <v>34</v>
      </c>
      <c r="E106" s="4">
        <v>313.73</v>
      </c>
      <c r="F106" s="5">
        <v>0.065</v>
      </c>
      <c r="G106" s="24">
        <v>334.12245</v>
      </c>
      <c r="H106" s="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3"/>
      <c r="B107" s="6"/>
      <c r="C107" s="23"/>
      <c r="D107" s="23"/>
      <c r="E107" s="4"/>
      <c r="F107" s="5"/>
      <c r="G107" s="24"/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3"/>
      <c r="B108" s="19" t="s">
        <v>96</v>
      </c>
      <c r="C108" s="23"/>
      <c r="D108" s="23"/>
      <c r="E108" s="4"/>
      <c r="F108" s="5"/>
      <c r="G108" s="24"/>
      <c r="H108" s="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3">
        <v>252.0</v>
      </c>
      <c r="B109" s="6" t="s">
        <v>97</v>
      </c>
      <c r="C109" s="23" t="s">
        <v>17</v>
      </c>
      <c r="D109" s="23" t="s">
        <v>34</v>
      </c>
      <c r="E109" s="4">
        <v>134.26</v>
      </c>
      <c r="F109" s="5">
        <v>0.065</v>
      </c>
      <c r="G109" s="24">
        <v>142.9869</v>
      </c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3"/>
      <c r="B110" s="6"/>
      <c r="C110" s="3"/>
      <c r="D110" s="3"/>
      <c r="E110" s="4"/>
      <c r="F110" s="5"/>
      <c r="G110" s="6"/>
      <c r="H110" s="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4"/>
      <c r="B111" s="37" t="s">
        <v>98</v>
      </c>
      <c r="C111" s="23"/>
      <c r="D111" s="23"/>
      <c r="E111" s="4"/>
      <c r="F111" s="5"/>
      <c r="G111" s="24"/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3">
        <v>2265.0</v>
      </c>
      <c r="B112" s="6" t="s">
        <v>99</v>
      </c>
      <c r="C112" s="23" t="s">
        <v>10</v>
      </c>
      <c r="D112" s="23" t="s">
        <v>34</v>
      </c>
      <c r="E112" s="4">
        <v>133.36</v>
      </c>
      <c r="F112" s="5">
        <v>0.065</v>
      </c>
      <c r="G112" s="24">
        <v>142.0284</v>
      </c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6">
        <v>2266.0</v>
      </c>
      <c r="B113" s="35" t="s">
        <v>100</v>
      </c>
      <c r="C113" s="27" t="s">
        <v>10</v>
      </c>
      <c r="D113" s="27" t="s">
        <v>34</v>
      </c>
      <c r="E113" s="28">
        <v>96.43</v>
      </c>
      <c r="F113" s="29">
        <v>0.065</v>
      </c>
      <c r="G113" s="30">
        <v>102.69795</v>
      </c>
      <c r="H113" s="31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3">
        <v>2267.0</v>
      </c>
      <c r="B114" s="6" t="s">
        <v>101</v>
      </c>
      <c r="C114" s="23" t="s">
        <v>10</v>
      </c>
      <c r="D114" s="23" t="s">
        <v>102</v>
      </c>
      <c r="E114" s="4">
        <v>81.54</v>
      </c>
      <c r="F114" s="5">
        <v>0.065</v>
      </c>
      <c r="G114" s="24">
        <v>86.8401</v>
      </c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3"/>
      <c r="B115" s="6"/>
      <c r="C115" s="23"/>
      <c r="D115" s="23"/>
      <c r="E115" s="4"/>
      <c r="F115" s="5"/>
      <c r="G115" s="24"/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3"/>
      <c r="B116" s="19" t="s">
        <v>103</v>
      </c>
      <c r="C116" s="23"/>
      <c r="D116" s="23"/>
      <c r="E116" s="2"/>
      <c r="F116" s="20"/>
      <c r="G116" s="2"/>
      <c r="H116" s="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3">
        <v>2670.0</v>
      </c>
      <c r="B117" s="6" t="s">
        <v>104</v>
      </c>
      <c r="C117" s="23" t="s">
        <v>17</v>
      </c>
      <c r="D117" s="23" t="s">
        <v>34</v>
      </c>
      <c r="E117" s="4">
        <v>151.32</v>
      </c>
      <c r="F117" s="5">
        <v>0.065</v>
      </c>
      <c r="G117" s="24">
        <v>161.1558</v>
      </c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6">
        <v>2853.0</v>
      </c>
      <c r="B118" s="35" t="s">
        <v>105</v>
      </c>
      <c r="C118" s="27" t="s">
        <v>17</v>
      </c>
      <c r="D118" s="27" t="s">
        <v>34</v>
      </c>
      <c r="E118" s="28">
        <v>248.87</v>
      </c>
      <c r="F118" s="29">
        <v>0.065</v>
      </c>
      <c r="G118" s="30">
        <v>265.04655</v>
      </c>
      <c r="H118" s="31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3"/>
      <c r="B119" s="6"/>
      <c r="C119" s="23"/>
      <c r="D119" s="23"/>
      <c r="E119" s="2"/>
      <c r="F119" s="20"/>
      <c r="G119" s="2"/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3"/>
      <c r="B120" s="19" t="s">
        <v>106</v>
      </c>
      <c r="C120" s="23"/>
      <c r="D120" s="23"/>
      <c r="E120" s="4"/>
      <c r="F120" s="5"/>
      <c r="G120" s="24"/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3">
        <v>644.0</v>
      </c>
      <c r="B121" s="6" t="s">
        <v>107</v>
      </c>
      <c r="C121" s="23" t="s">
        <v>10</v>
      </c>
      <c r="D121" s="23" t="s">
        <v>58</v>
      </c>
      <c r="E121" s="4">
        <v>460.27</v>
      </c>
      <c r="F121" s="5">
        <v>0.065</v>
      </c>
      <c r="G121" s="24">
        <v>490.18755</v>
      </c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6">
        <v>645.0</v>
      </c>
      <c r="B122" s="35" t="s">
        <v>108</v>
      </c>
      <c r="C122" s="27" t="s">
        <v>10</v>
      </c>
      <c r="D122" s="27" t="s">
        <v>58</v>
      </c>
      <c r="E122" s="28">
        <v>460.27</v>
      </c>
      <c r="F122" s="29">
        <v>0.065</v>
      </c>
      <c r="G122" s="30">
        <v>490.18755</v>
      </c>
      <c r="H122" s="31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3">
        <v>646.0</v>
      </c>
      <c r="B123" s="6" t="s">
        <v>109</v>
      </c>
      <c r="C123" s="23" t="s">
        <v>10</v>
      </c>
      <c r="D123" s="23" t="s">
        <v>58</v>
      </c>
      <c r="E123" s="4">
        <v>465.23</v>
      </c>
      <c r="F123" s="5">
        <v>0.065</v>
      </c>
      <c r="G123" s="24">
        <v>495.46995000000004</v>
      </c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3"/>
      <c r="B124" s="6"/>
      <c r="C124" s="23"/>
      <c r="D124" s="23"/>
      <c r="E124" s="4"/>
      <c r="F124" s="5"/>
      <c r="G124" s="24"/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3"/>
      <c r="B125" s="19" t="s">
        <v>110</v>
      </c>
      <c r="C125" s="23"/>
      <c r="D125" s="23"/>
      <c r="E125" s="4"/>
      <c r="F125" s="5"/>
      <c r="G125" s="38"/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3">
        <v>2732.0</v>
      </c>
      <c r="B126" s="6" t="s">
        <v>111</v>
      </c>
      <c r="C126" s="23" t="s">
        <v>112</v>
      </c>
      <c r="D126" s="23" t="s">
        <v>22</v>
      </c>
      <c r="E126" s="4">
        <v>103.92</v>
      </c>
      <c r="F126" s="5">
        <v>0.065</v>
      </c>
      <c r="G126" s="24">
        <v>110.6748</v>
      </c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6">
        <v>2733.0</v>
      </c>
      <c r="B127" s="35" t="s">
        <v>113</v>
      </c>
      <c r="C127" s="27" t="s">
        <v>114</v>
      </c>
      <c r="D127" s="27" t="s">
        <v>58</v>
      </c>
      <c r="E127" s="28">
        <v>116.83</v>
      </c>
      <c r="F127" s="29">
        <v>0.065</v>
      </c>
      <c r="G127" s="30">
        <v>124.42395</v>
      </c>
      <c r="H127" s="31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3">
        <v>1484.0</v>
      </c>
      <c r="B128" s="6" t="s">
        <v>115</v>
      </c>
      <c r="C128" s="23" t="s">
        <v>17</v>
      </c>
      <c r="D128" s="23" t="s">
        <v>34</v>
      </c>
      <c r="E128" s="4">
        <v>60.54</v>
      </c>
      <c r="F128" s="5">
        <v>0.065</v>
      </c>
      <c r="G128" s="24">
        <v>64.4751</v>
      </c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6">
        <v>1544.0</v>
      </c>
      <c r="B129" s="35" t="s">
        <v>116</v>
      </c>
      <c r="C129" s="27" t="s">
        <v>10</v>
      </c>
      <c r="D129" s="27" t="s">
        <v>34</v>
      </c>
      <c r="E129" s="28">
        <v>76.69</v>
      </c>
      <c r="F129" s="29">
        <v>0.065</v>
      </c>
      <c r="G129" s="30">
        <v>81.67484999999999</v>
      </c>
      <c r="H129" s="31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3">
        <v>1543.0</v>
      </c>
      <c r="B130" s="6" t="s">
        <v>117</v>
      </c>
      <c r="C130" s="23" t="s">
        <v>10</v>
      </c>
      <c r="D130" s="23" t="s">
        <v>34</v>
      </c>
      <c r="E130" s="4">
        <v>101.17</v>
      </c>
      <c r="F130" s="5">
        <v>0.065</v>
      </c>
      <c r="G130" s="24">
        <v>107.74605</v>
      </c>
      <c r="H130" s="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6">
        <v>2350.0</v>
      </c>
      <c r="B131" s="35" t="s">
        <v>118</v>
      </c>
      <c r="C131" s="27" t="s">
        <v>10</v>
      </c>
      <c r="D131" s="27" t="s">
        <v>34</v>
      </c>
      <c r="E131" s="28">
        <v>86.89</v>
      </c>
      <c r="F131" s="29">
        <v>0.065</v>
      </c>
      <c r="G131" s="30">
        <v>92.53785</v>
      </c>
      <c r="H131" s="31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9">
        <v>2875.0</v>
      </c>
      <c r="B132" s="6" t="s">
        <v>119</v>
      </c>
      <c r="C132" s="23" t="s">
        <v>10</v>
      </c>
      <c r="D132" s="23" t="s">
        <v>34</v>
      </c>
      <c r="E132" s="4">
        <v>157.53</v>
      </c>
      <c r="F132" s="5">
        <v>0.065</v>
      </c>
      <c r="G132" s="24">
        <v>167.76945</v>
      </c>
      <c r="H132" s="40" t="s">
        <v>120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6">
        <v>2543.0</v>
      </c>
      <c r="B133" s="35" t="s">
        <v>121</v>
      </c>
      <c r="C133" s="27" t="s">
        <v>10</v>
      </c>
      <c r="D133" s="27" t="s">
        <v>102</v>
      </c>
      <c r="E133" s="28">
        <v>136.97</v>
      </c>
      <c r="F133" s="29">
        <v>0.065</v>
      </c>
      <c r="G133" s="30">
        <v>145.87305</v>
      </c>
      <c r="H133" s="31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3">
        <v>1550.0</v>
      </c>
      <c r="B134" s="6" t="s">
        <v>122</v>
      </c>
      <c r="C134" s="23" t="s">
        <v>17</v>
      </c>
      <c r="D134" s="23" t="s">
        <v>102</v>
      </c>
      <c r="E134" s="4">
        <v>60.54</v>
      </c>
      <c r="F134" s="5">
        <v>0.065</v>
      </c>
      <c r="G134" s="24">
        <v>64.4751</v>
      </c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6">
        <v>2249.0</v>
      </c>
      <c r="B135" s="35" t="s">
        <v>123</v>
      </c>
      <c r="C135" s="27" t="s">
        <v>124</v>
      </c>
      <c r="D135" s="27" t="s">
        <v>102</v>
      </c>
      <c r="E135" s="28">
        <v>137.17</v>
      </c>
      <c r="F135" s="29">
        <v>0.065</v>
      </c>
      <c r="G135" s="30">
        <v>146.08605</v>
      </c>
      <c r="H135" s="31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3">
        <v>1498.0</v>
      </c>
      <c r="B136" s="6" t="s">
        <v>125</v>
      </c>
      <c r="C136" s="23" t="s">
        <v>17</v>
      </c>
      <c r="D136" s="23" t="s">
        <v>11</v>
      </c>
      <c r="E136" s="4">
        <v>60.54</v>
      </c>
      <c r="F136" s="5">
        <v>0.065</v>
      </c>
      <c r="G136" s="24">
        <v>64.4751</v>
      </c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6">
        <v>1491.0</v>
      </c>
      <c r="B137" s="35" t="s">
        <v>126</v>
      </c>
      <c r="C137" s="27" t="s">
        <v>10</v>
      </c>
      <c r="D137" s="27" t="s">
        <v>11</v>
      </c>
      <c r="E137" s="28">
        <v>76.58</v>
      </c>
      <c r="F137" s="29">
        <v>0.065</v>
      </c>
      <c r="G137" s="30">
        <v>81.5577</v>
      </c>
      <c r="H137" s="31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3">
        <v>1492.0</v>
      </c>
      <c r="B138" s="6" t="s">
        <v>127</v>
      </c>
      <c r="C138" s="23" t="s">
        <v>17</v>
      </c>
      <c r="D138" s="23" t="s">
        <v>11</v>
      </c>
      <c r="E138" s="4">
        <v>76.58</v>
      </c>
      <c r="F138" s="5">
        <v>0.065</v>
      </c>
      <c r="G138" s="24">
        <v>81.5577</v>
      </c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6">
        <v>1490.0</v>
      </c>
      <c r="B139" s="35" t="s">
        <v>128</v>
      </c>
      <c r="C139" s="27" t="s">
        <v>10</v>
      </c>
      <c r="D139" s="27" t="s">
        <v>11</v>
      </c>
      <c r="E139" s="28">
        <v>101.18</v>
      </c>
      <c r="F139" s="29">
        <v>0.065</v>
      </c>
      <c r="G139" s="30">
        <v>107.75670000000001</v>
      </c>
      <c r="H139" s="31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9">
        <v>2874.0</v>
      </c>
      <c r="B140" s="6" t="s">
        <v>129</v>
      </c>
      <c r="C140" s="23" t="s">
        <v>10</v>
      </c>
      <c r="D140" s="23" t="s">
        <v>11</v>
      </c>
      <c r="E140" s="4">
        <v>152.4</v>
      </c>
      <c r="F140" s="5">
        <v>0.065</v>
      </c>
      <c r="G140" s="24">
        <v>162.306</v>
      </c>
      <c r="H140" s="40" t="s">
        <v>120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6">
        <v>1488.0</v>
      </c>
      <c r="B141" s="35" t="s">
        <v>130</v>
      </c>
      <c r="C141" s="27" t="s">
        <v>10</v>
      </c>
      <c r="D141" s="27" t="s">
        <v>11</v>
      </c>
      <c r="E141" s="28">
        <v>156.77</v>
      </c>
      <c r="F141" s="29">
        <v>0.065</v>
      </c>
      <c r="G141" s="30">
        <v>166.96005000000002</v>
      </c>
      <c r="H141" s="31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9">
        <v>2876.0</v>
      </c>
      <c r="B142" s="6" t="s">
        <v>131</v>
      </c>
      <c r="C142" s="23" t="s">
        <v>10</v>
      </c>
      <c r="D142" s="23" t="s">
        <v>11</v>
      </c>
      <c r="E142" s="4">
        <v>204.74</v>
      </c>
      <c r="F142" s="5">
        <v>0.065</v>
      </c>
      <c r="G142" s="24">
        <v>218.0481</v>
      </c>
      <c r="H142" s="40" t="s">
        <v>120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3"/>
      <c r="B143" s="6"/>
      <c r="C143" s="23"/>
      <c r="D143" s="23"/>
      <c r="E143" s="4"/>
      <c r="F143" s="5"/>
      <c r="G143" s="24"/>
      <c r="H143" s="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3"/>
      <c r="B144" s="19" t="s">
        <v>132</v>
      </c>
      <c r="C144" s="23"/>
      <c r="D144" s="23"/>
      <c r="E144" s="4"/>
      <c r="F144" s="5"/>
      <c r="G144" s="38"/>
      <c r="H144" s="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3">
        <v>1483.0</v>
      </c>
      <c r="B145" s="6" t="s">
        <v>133</v>
      </c>
      <c r="C145" s="23" t="s">
        <v>10</v>
      </c>
      <c r="D145" s="23" t="s">
        <v>34</v>
      </c>
      <c r="E145" s="4">
        <v>69.52</v>
      </c>
      <c r="F145" s="5">
        <v>0.065</v>
      </c>
      <c r="G145" s="24">
        <v>74.0388</v>
      </c>
      <c r="H145" s="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6">
        <v>1549.0</v>
      </c>
      <c r="B146" s="35" t="s">
        <v>134</v>
      </c>
      <c r="C146" s="27" t="s">
        <v>10</v>
      </c>
      <c r="D146" s="27" t="s">
        <v>34</v>
      </c>
      <c r="E146" s="28">
        <v>84.07</v>
      </c>
      <c r="F146" s="29">
        <v>0.065</v>
      </c>
      <c r="G146" s="30">
        <v>89.53455</v>
      </c>
      <c r="H146" s="31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3">
        <v>2570.0</v>
      </c>
      <c r="B147" s="6" t="s">
        <v>135</v>
      </c>
      <c r="C147" s="23" t="s">
        <v>10</v>
      </c>
      <c r="D147" s="23" t="s">
        <v>102</v>
      </c>
      <c r="E147" s="4">
        <v>69.52</v>
      </c>
      <c r="F147" s="5">
        <v>0.065</v>
      </c>
      <c r="G147" s="24">
        <v>74.0388</v>
      </c>
      <c r="H147" s="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6">
        <v>2792.0</v>
      </c>
      <c r="B148" s="35" t="s">
        <v>136</v>
      </c>
      <c r="C148" s="27" t="s">
        <v>10</v>
      </c>
      <c r="D148" s="27" t="s">
        <v>137</v>
      </c>
      <c r="E148" s="28">
        <v>103.21</v>
      </c>
      <c r="F148" s="29">
        <v>0.065</v>
      </c>
      <c r="G148" s="30">
        <v>109.91865</v>
      </c>
      <c r="H148" s="31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3">
        <v>1496.0</v>
      </c>
      <c r="B149" s="6" t="s">
        <v>138</v>
      </c>
      <c r="C149" s="23" t="s">
        <v>10</v>
      </c>
      <c r="D149" s="23" t="s">
        <v>11</v>
      </c>
      <c r="E149" s="4">
        <v>69.52</v>
      </c>
      <c r="F149" s="5">
        <v>0.065</v>
      </c>
      <c r="G149" s="24">
        <v>74.0388</v>
      </c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6">
        <v>1548.0</v>
      </c>
      <c r="B150" s="35" t="s">
        <v>139</v>
      </c>
      <c r="C150" s="27" t="s">
        <v>10</v>
      </c>
      <c r="D150" s="27" t="s">
        <v>11</v>
      </c>
      <c r="E150" s="28">
        <v>84.07</v>
      </c>
      <c r="F150" s="29">
        <v>0.065</v>
      </c>
      <c r="G150" s="30">
        <v>89.53455</v>
      </c>
      <c r="H150" s="31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3">
        <v>1495.0</v>
      </c>
      <c r="B151" s="6" t="s">
        <v>140</v>
      </c>
      <c r="C151" s="23" t="s">
        <v>10</v>
      </c>
      <c r="D151" s="23" t="s">
        <v>11</v>
      </c>
      <c r="E151" s="4">
        <v>84.07</v>
      </c>
      <c r="F151" s="5">
        <v>0.065</v>
      </c>
      <c r="G151" s="24">
        <v>89.53455</v>
      </c>
      <c r="H151" s="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6">
        <v>1547.0</v>
      </c>
      <c r="B152" s="35" t="s">
        <v>141</v>
      </c>
      <c r="C152" s="27" t="s">
        <v>10</v>
      </c>
      <c r="D152" s="27" t="s">
        <v>11</v>
      </c>
      <c r="E152" s="28">
        <v>94.55</v>
      </c>
      <c r="F152" s="29">
        <v>0.065</v>
      </c>
      <c r="G152" s="30">
        <v>100.69575</v>
      </c>
      <c r="H152" s="31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3">
        <v>1497.0</v>
      </c>
      <c r="B153" s="6" t="s">
        <v>142</v>
      </c>
      <c r="C153" s="23" t="s">
        <v>10</v>
      </c>
      <c r="D153" s="23" t="s">
        <v>11</v>
      </c>
      <c r="E153" s="4">
        <v>94.55</v>
      </c>
      <c r="F153" s="5">
        <v>0.065</v>
      </c>
      <c r="G153" s="24">
        <v>100.69575</v>
      </c>
      <c r="H153" s="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3"/>
      <c r="B154" s="6"/>
      <c r="C154" s="23"/>
      <c r="D154" s="23"/>
      <c r="E154" s="4"/>
      <c r="F154" s="5"/>
      <c r="G154" s="24"/>
      <c r="H154" s="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3"/>
      <c r="B155" s="19" t="s">
        <v>143</v>
      </c>
      <c r="C155" s="23"/>
      <c r="D155" s="23"/>
      <c r="E155" s="2"/>
      <c r="F155" s="20"/>
      <c r="G155" s="2"/>
      <c r="H155" s="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3">
        <v>2724.0</v>
      </c>
      <c r="B156" s="6" t="s">
        <v>144</v>
      </c>
      <c r="C156" s="23" t="s">
        <v>10</v>
      </c>
      <c r="D156" s="23" t="s">
        <v>34</v>
      </c>
      <c r="E156" s="4">
        <v>98.38</v>
      </c>
      <c r="F156" s="5">
        <v>0.065</v>
      </c>
      <c r="G156" s="24">
        <v>104.7747</v>
      </c>
      <c r="H156" s="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6">
        <v>2726.0</v>
      </c>
      <c r="B157" s="35" t="s">
        <v>145</v>
      </c>
      <c r="C157" s="27" t="s">
        <v>10</v>
      </c>
      <c r="D157" s="27" t="s">
        <v>11</v>
      </c>
      <c r="E157" s="28">
        <v>98.38</v>
      </c>
      <c r="F157" s="29">
        <v>0.065</v>
      </c>
      <c r="G157" s="30">
        <v>104.7747</v>
      </c>
      <c r="H157" s="31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3">
        <v>2727.0</v>
      </c>
      <c r="B158" s="6" t="s">
        <v>146</v>
      </c>
      <c r="C158" s="23" t="s">
        <v>10</v>
      </c>
      <c r="D158" s="23" t="s">
        <v>11</v>
      </c>
      <c r="E158" s="4">
        <v>98.38</v>
      </c>
      <c r="F158" s="5">
        <v>0.065</v>
      </c>
      <c r="G158" s="24">
        <v>104.7747</v>
      </c>
      <c r="H158" s="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3"/>
      <c r="B159" s="6"/>
      <c r="C159" s="23"/>
      <c r="D159" s="23"/>
      <c r="E159" s="4"/>
      <c r="F159" s="5"/>
      <c r="G159" s="24"/>
      <c r="H159" s="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3"/>
      <c r="B160" s="19" t="s">
        <v>147</v>
      </c>
      <c r="C160" s="23"/>
      <c r="D160" s="23"/>
      <c r="E160" s="2"/>
      <c r="F160" s="2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3">
        <v>2780.0</v>
      </c>
      <c r="B161" s="6" t="s">
        <v>148</v>
      </c>
      <c r="C161" s="23" t="s">
        <v>114</v>
      </c>
      <c r="D161" s="23" t="s">
        <v>102</v>
      </c>
      <c r="E161" s="4">
        <v>119.69</v>
      </c>
      <c r="F161" s="5">
        <v>0.065</v>
      </c>
      <c r="G161" s="24">
        <v>127.46985</v>
      </c>
      <c r="H161" s="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6">
        <v>2781.0</v>
      </c>
      <c r="B162" s="35" t="s">
        <v>149</v>
      </c>
      <c r="C162" s="27" t="s">
        <v>114</v>
      </c>
      <c r="D162" s="27" t="s">
        <v>102</v>
      </c>
      <c r="E162" s="28">
        <v>172.26</v>
      </c>
      <c r="F162" s="29">
        <v>0.065</v>
      </c>
      <c r="G162" s="30">
        <v>183.4569</v>
      </c>
      <c r="H162" s="31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3">
        <v>2782.0</v>
      </c>
      <c r="B163" s="6" t="s">
        <v>150</v>
      </c>
      <c r="C163" s="23" t="s">
        <v>114</v>
      </c>
      <c r="D163" s="23" t="s">
        <v>102</v>
      </c>
      <c r="E163" s="4">
        <v>252.25</v>
      </c>
      <c r="F163" s="5">
        <v>0.065</v>
      </c>
      <c r="G163" s="24">
        <v>268.64625</v>
      </c>
      <c r="H163" s="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3"/>
      <c r="B164" s="6"/>
      <c r="C164" s="23"/>
      <c r="D164" s="23"/>
      <c r="E164" s="2"/>
      <c r="F164" s="2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4"/>
      <c r="B165" s="37" t="s">
        <v>151</v>
      </c>
      <c r="C165" s="23"/>
      <c r="D165" s="23"/>
      <c r="E165" s="4"/>
      <c r="F165" s="5"/>
      <c r="G165" s="38"/>
      <c r="H165" s="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3">
        <v>2425.0</v>
      </c>
      <c r="B166" s="6" t="s">
        <v>152</v>
      </c>
      <c r="C166" s="23" t="s">
        <v>17</v>
      </c>
      <c r="D166" s="23" t="s">
        <v>102</v>
      </c>
      <c r="E166" s="4">
        <v>97.83</v>
      </c>
      <c r="F166" s="5">
        <v>0.065</v>
      </c>
      <c r="G166" s="24">
        <v>104.18895</v>
      </c>
      <c r="H166" s="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6">
        <v>2268.0</v>
      </c>
      <c r="B167" s="35" t="s">
        <v>153</v>
      </c>
      <c r="C167" s="27" t="s">
        <v>124</v>
      </c>
      <c r="D167" s="27" t="s">
        <v>102</v>
      </c>
      <c r="E167" s="28">
        <v>227.48</v>
      </c>
      <c r="F167" s="29">
        <v>0.065</v>
      </c>
      <c r="G167" s="30">
        <v>242.2662</v>
      </c>
      <c r="H167" s="31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3"/>
      <c r="B168" s="6"/>
      <c r="C168" s="23"/>
      <c r="D168" s="23"/>
      <c r="E168" s="4"/>
      <c r="F168" s="5"/>
      <c r="G168" s="24"/>
      <c r="H168" s="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3"/>
      <c r="B169" s="19" t="s">
        <v>154</v>
      </c>
      <c r="C169" s="23"/>
      <c r="D169" s="23"/>
      <c r="E169" s="4"/>
      <c r="F169" s="5"/>
      <c r="G169" s="38"/>
      <c r="H169" s="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3">
        <v>622.0</v>
      </c>
      <c r="B170" s="6" t="s">
        <v>155</v>
      </c>
      <c r="C170" s="23" t="s">
        <v>10</v>
      </c>
      <c r="D170" s="23" t="s">
        <v>11</v>
      </c>
      <c r="E170" s="4">
        <v>193.53</v>
      </c>
      <c r="F170" s="5">
        <v>0.065</v>
      </c>
      <c r="G170" s="24">
        <v>206.10945</v>
      </c>
      <c r="H170" s="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6">
        <v>624.0</v>
      </c>
      <c r="B171" s="35" t="s">
        <v>156</v>
      </c>
      <c r="C171" s="27" t="s">
        <v>10</v>
      </c>
      <c r="D171" s="27" t="s">
        <v>11</v>
      </c>
      <c r="E171" s="28">
        <v>421.52</v>
      </c>
      <c r="F171" s="29">
        <v>0.065</v>
      </c>
      <c r="G171" s="30">
        <v>448.9188</v>
      </c>
      <c r="H171" s="31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3"/>
      <c r="B172" s="6"/>
      <c r="C172" s="23"/>
      <c r="D172" s="23"/>
      <c r="E172" s="4"/>
      <c r="F172" s="5"/>
      <c r="G172" s="24"/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3"/>
      <c r="B173" s="19" t="s">
        <v>157</v>
      </c>
      <c r="C173" s="23"/>
      <c r="D173" s="23"/>
      <c r="E173" s="4"/>
      <c r="F173" s="5"/>
      <c r="G173" s="38"/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3">
        <v>2491.0</v>
      </c>
      <c r="B174" s="6" t="s">
        <v>158</v>
      </c>
      <c r="C174" s="23" t="s">
        <v>10</v>
      </c>
      <c r="D174" s="23" t="s">
        <v>34</v>
      </c>
      <c r="E174" s="4">
        <v>102.15</v>
      </c>
      <c r="F174" s="5">
        <v>0.065</v>
      </c>
      <c r="G174" s="24">
        <v>108.78975000000001</v>
      </c>
      <c r="H174" s="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6">
        <v>2492.0</v>
      </c>
      <c r="B175" s="35" t="s">
        <v>159</v>
      </c>
      <c r="C175" s="27" t="s">
        <v>10</v>
      </c>
      <c r="D175" s="27" t="s">
        <v>11</v>
      </c>
      <c r="E175" s="28">
        <v>102.15</v>
      </c>
      <c r="F175" s="29">
        <v>0.065</v>
      </c>
      <c r="G175" s="30">
        <v>108.78975000000001</v>
      </c>
      <c r="H175" s="31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3">
        <v>1189.0</v>
      </c>
      <c r="B176" s="6" t="s">
        <v>160</v>
      </c>
      <c r="C176" s="23" t="s">
        <v>10</v>
      </c>
      <c r="D176" s="23" t="s">
        <v>11</v>
      </c>
      <c r="E176" s="4">
        <v>133.75</v>
      </c>
      <c r="F176" s="5">
        <v>0.065</v>
      </c>
      <c r="G176" s="24">
        <v>142.44375</v>
      </c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6">
        <v>2572.0</v>
      </c>
      <c r="B177" s="35" t="s">
        <v>161</v>
      </c>
      <c r="C177" s="27" t="s">
        <v>10</v>
      </c>
      <c r="D177" s="27" t="s">
        <v>11</v>
      </c>
      <c r="E177" s="28">
        <v>201.28</v>
      </c>
      <c r="F177" s="29">
        <v>0.065</v>
      </c>
      <c r="G177" s="30">
        <v>214.3632</v>
      </c>
      <c r="H177" s="31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3">
        <v>1190.0</v>
      </c>
      <c r="B178" s="6" t="s">
        <v>162</v>
      </c>
      <c r="C178" s="23" t="s">
        <v>10</v>
      </c>
      <c r="D178" s="23" t="s">
        <v>11</v>
      </c>
      <c r="E178" s="4">
        <v>239.4</v>
      </c>
      <c r="F178" s="5">
        <v>0.065</v>
      </c>
      <c r="G178" s="24">
        <v>254.961</v>
      </c>
      <c r="H178" s="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6">
        <v>1191.0</v>
      </c>
      <c r="B179" s="35" t="s">
        <v>163</v>
      </c>
      <c r="C179" s="27" t="s">
        <v>10</v>
      </c>
      <c r="D179" s="27" t="s">
        <v>11</v>
      </c>
      <c r="E179" s="28">
        <v>258.26</v>
      </c>
      <c r="F179" s="29">
        <v>0.065</v>
      </c>
      <c r="G179" s="30">
        <v>275.0469</v>
      </c>
      <c r="H179" s="31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3"/>
      <c r="B180" s="6"/>
      <c r="C180" s="23"/>
      <c r="D180" s="23"/>
      <c r="E180" s="4"/>
      <c r="F180" s="5"/>
      <c r="G180" s="24"/>
      <c r="H180" s="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1"/>
      <c r="B181" s="42" t="s">
        <v>164</v>
      </c>
      <c r="C181" s="23"/>
      <c r="D181" s="23"/>
      <c r="E181" s="4"/>
      <c r="F181" s="5"/>
      <c r="G181" s="38"/>
      <c r="H181" s="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1"/>
      <c r="B182" s="19" t="s">
        <v>165</v>
      </c>
      <c r="C182" s="23"/>
      <c r="D182" s="23"/>
      <c r="E182" s="4"/>
      <c r="F182" s="5"/>
      <c r="G182" s="38"/>
      <c r="H182" s="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3">
        <v>2477.0</v>
      </c>
      <c r="B183" s="6" t="s">
        <v>166</v>
      </c>
      <c r="C183" s="23" t="s">
        <v>10</v>
      </c>
      <c r="D183" s="23" t="s">
        <v>22</v>
      </c>
      <c r="E183" s="4">
        <v>771.3</v>
      </c>
      <c r="F183" s="43">
        <v>0.0975</v>
      </c>
      <c r="G183" s="24">
        <v>846.5017499999999</v>
      </c>
      <c r="H183" s="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6">
        <v>444.0</v>
      </c>
      <c r="B184" s="35" t="s">
        <v>167</v>
      </c>
      <c r="C184" s="27" t="s">
        <v>17</v>
      </c>
      <c r="D184" s="27" t="s">
        <v>34</v>
      </c>
      <c r="E184" s="28">
        <v>209.6</v>
      </c>
      <c r="F184" s="29">
        <v>0.065</v>
      </c>
      <c r="G184" s="30">
        <v>223.224</v>
      </c>
      <c r="H184" s="31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3">
        <v>445.0</v>
      </c>
      <c r="B185" s="6" t="s">
        <v>168</v>
      </c>
      <c r="C185" s="23" t="s">
        <v>17</v>
      </c>
      <c r="D185" s="23" t="s">
        <v>34</v>
      </c>
      <c r="E185" s="4">
        <v>472.8</v>
      </c>
      <c r="F185" s="5">
        <v>0.065</v>
      </c>
      <c r="G185" s="24">
        <v>503.53200000000004</v>
      </c>
      <c r="H185" s="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6">
        <v>2842.0</v>
      </c>
      <c r="B186" s="35" t="s">
        <v>169</v>
      </c>
      <c r="C186" s="27" t="s">
        <v>17</v>
      </c>
      <c r="D186" s="27" t="s">
        <v>34</v>
      </c>
      <c r="E186" s="28">
        <v>342.77</v>
      </c>
      <c r="F186" s="29">
        <v>0.065</v>
      </c>
      <c r="G186" s="30">
        <v>365.05005</v>
      </c>
      <c r="H186" s="31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3">
        <v>461.0</v>
      </c>
      <c r="B187" s="6" t="s">
        <v>170</v>
      </c>
      <c r="C187" s="23" t="s">
        <v>17</v>
      </c>
      <c r="D187" s="23" t="s">
        <v>11</v>
      </c>
      <c r="E187" s="4">
        <v>220.65</v>
      </c>
      <c r="F187" s="5">
        <v>0.065</v>
      </c>
      <c r="G187" s="24">
        <v>234.99225</v>
      </c>
      <c r="H187" s="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6">
        <v>423.0</v>
      </c>
      <c r="B188" s="35" t="s">
        <v>171</v>
      </c>
      <c r="C188" s="27" t="s">
        <v>124</v>
      </c>
      <c r="D188" s="27" t="s">
        <v>11</v>
      </c>
      <c r="E188" s="28">
        <v>427.61</v>
      </c>
      <c r="F188" s="29">
        <v>0.065</v>
      </c>
      <c r="G188" s="30">
        <v>455.40465</v>
      </c>
      <c r="H188" s="31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3">
        <v>488.0</v>
      </c>
      <c r="B189" s="6" t="s">
        <v>172</v>
      </c>
      <c r="C189" s="23" t="s">
        <v>17</v>
      </c>
      <c r="D189" s="23" t="s">
        <v>11</v>
      </c>
      <c r="E189" s="4">
        <v>401.44</v>
      </c>
      <c r="F189" s="5">
        <v>0.065</v>
      </c>
      <c r="G189" s="24">
        <v>427.5336</v>
      </c>
      <c r="H189" s="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6">
        <v>1703.0</v>
      </c>
      <c r="B190" s="35" t="s">
        <v>173</v>
      </c>
      <c r="C190" s="27" t="s">
        <v>17</v>
      </c>
      <c r="D190" s="27" t="s">
        <v>11</v>
      </c>
      <c r="E190" s="28">
        <v>285.55</v>
      </c>
      <c r="F190" s="29">
        <v>0.065</v>
      </c>
      <c r="G190" s="30">
        <v>304.11075</v>
      </c>
      <c r="H190" s="31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3">
        <v>1960.0</v>
      </c>
      <c r="B191" s="6" t="s">
        <v>174</v>
      </c>
      <c r="C191" s="23" t="s">
        <v>17</v>
      </c>
      <c r="D191" s="23" t="s">
        <v>11</v>
      </c>
      <c r="E191" s="4">
        <v>333.26</v>
      </c>
      <c r="F191" s="5">
        <v>0.065</v>
      </c>
      <c r="G191" s="24">
        <v>354.9219</v>
      </c>
      <c r="H191" s="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6">
        <v>197.0</v>
      </c>
      <c r="B192" s="35" t="s">
        <v>175</v>
      </c>
      <c r="C192" s="27" t="s">
        <v>17</v>
      </c>
      <c r="D192" s="27" t="s">
        <v>11</v>
      </c>
      <c r="E192" s="28">
        <v>761.32</v>
      </c>
      <c r="F192" s="29">
        <v>0.065</v>
      </c>
      <c r="G192" s="30">
        <v>810.8058000000001</v>
      </c>
      <c r="H192" s="31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3">
        <v>2031.0</v>
      </c>
      <c r="B193" s="6" t="s">
        <v>176</v>
      </c>
      <c r="C193" s="23" t="s">
        <v>124</v>
      </c>
      <c r="D193" s="23" t="s">
        <v>11</v>
      </c>
      <c r="E193" s="4">
        <v>1686.32</v>
      </c>
      <c r="F193" s="5">
        <v>0.065</v>
      </c>
      <c r="G193" s="24">
        <v>1795.9307999999999</v>
      </c>
      <c r="H193" s="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6">
        <v>696.0</v>
      </c>
      <c r="B194" s="35" t="s">
        <v>177</v>
      </c>
      <c r="C194" s="27" t="s">
        <v>17</v>
      </c>
      <c r="D194" s="27" t="s">
        <v>11</v>
      </c>
      <c r="E194" s="28">
        <v>768.5</v>
      </c>
      <c r="F194" s="29">
        <v>0.065</v>
      </c>
      <c r="G194" s="30">
        <v>818.4525</v>
      </c>
      <c r="H194" s="31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3">
        <v>697.0</v>
      </c>
      <c r="B195" s="6" t="s">
        <v>178</v>
      </c>
      <c r="C195" s="23" t="s">
        <v>17</v>
      </c>
      <c r="D195" s="23" t="s">
        <v>11</v>
      </c>
      <c r="E195" s="4">
        <v>1072.09</v>
      </c>
      <c r="F195" s="5">
        <v>0.065</v>
      </c>
      <c r="G195" s="24">
        <v>1141.77585</v>
      </c>
      <c r="H195" s="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6">
        <v>698.0</v>
      </c>
      <c r="B196" s="35" t="s">
        <v>179</v>
      </c>
      <c r="C196" s="27" t="s">
        <v>17</v>
      </c>
      <c r="D196" s="27" t="s">
        <v>11</v>
      </c>
      <c r="E196" s="28">
        <v>1191.88</v>
      </c>
      <c r="F196" s="29">
        <v>0.065</v>
      </c>
      <c r="G196" s="30">
        <v>1269.3522</v>
      </c>
      <c r="H196" s="31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3">
        <v>2684.0</v>
      </c>
      <c r="B197" s="6" t="s">
        <v>180</v>
      </c>
      <c r="C197" s="23" t="s">
        <v>181</v>
      </c>
      <c r="D197" s="23" t="s">
        <v>11</v>
      </c>
      <c r="E197" s="4">
        <v>1475.28</v>
      </c>
      <c r="F197" s="5">
        <v>0.065</v>
      </c>
      <c r="G197" s="24">
        <v>1571.1732</v>
      </c>
      <c r="H197" s="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3"/>
      <c r="B198" s="6"/>
      <c r="C198" s="23"/>
      <c r="D198" s="23"/>
      <c r="E198" s="4"/>
      <c r="F198" s="5"/>
      <c r="G198" s="24"/>
      <c r="H198" s="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1"/>
      <c r="B199" s="19" t="s">
        <v>182</v>
      </c>
      <c r="C199" s="23"/>
      <c r="D199" s="23"/>
      <c r="E199" s="4"/>
      <c r="F199" s="5"/>
      <c r="G199" s="38"/>
      <c r="H199" s="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3">
        <v>2342.0</v>
      </c>
      <c r="B200" s="6" t="s">
        <v>183</v>
      </c>
      <c r="C200" s="23" t="s">
        <v>10</v>
      </c>
      <c r="D200" s="23" t="s">
        <v>11</v>
      </c>
      <c r="E200" s="4">
        <v>344.23</v>
      </c>
      <c r="F200" s="5">
        <v>0.065</v>
      </c>
      <c r="G200" s="24">
        <v>366.60495000000003</v>
      </c>
      <c r="H200" s="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6">
        <v>2343.0</v>
      </c>
      <c r="B201" s="35" t="s">
        <v>184</v>
      </c>
      <c r="C201" s="27" t="s">
        <v>10</v>
      </c>
      <c r="D201" s="27" t="s">
        <v>11</v>
      </c>
      <c r="E201" s="28">
        <v>615.85</v>
      </c>
      <c r="F201" s="29">
        <v>0.065</v>
      </c>
      <c r="G201" s="30">
        <v>655.88025</v>
      </c>
      <c r="H201" s="31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3"/>
      <c r="B202" s="6"/>
      <c r="C202" s="23"/>
      <c r="D202" s="23"/>
      <c r="E202" s="4"/>
      <c r="F202" s="5"/>
      <c r="G202" s="24"/>
      <c r="H202" s="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3"/>
      <c r="B203" s="19" t="s">
        <v>185</v>
      </c>
      <c r="C203" s="23"/>
      <c r="D203" s="23"/>
      <c r="E203" s="4"/>
      <c r="F203" s="5"/>
      <c r="G203" s="24"/>
      <c r="H203" s="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3">
        <v>2638.0</v>
      </c>
      <c r="B204" s="6" t="s">
        <v>186</v>
      </c>
      <c r="C204" s="23" t="s">
        <v>10</v>
      </c>
      <c r="D204" s="23" t="s">
        <v>58</v>
      </c>
      <c r="E204" s="4">
        <v>87.67</v>
      </c>
      <c r="F204" s="5">
        <v>0.065</v>
      </c>
      <c r="G204" s="24">
        <v>93.36855</v>
      </c>
      <c r="H204" s="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6">
        <v>2754.0</v>
      </c>
      <c r="B205" s="35" t="s">
        <v>187</v>
      </c>
      <c r="C205" s="27" t="s">
        <v>10</v>
      </c>
      <c r="D205" s="27" t="s">
        <v>34</v>
      </c>
      <c r="E205" s="28">
        <v>123.0</v>
      </c>
      <c r="F205" s="29">
        <v>0.065</v>
      </c>
      <c r="G205" s="30">
        <v>130.995</v>
      </c>
      <c r="H205" s="31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3">
        <v>2633.0</v>
      </c>
      <c r="B206" s="6" t="s">
        <v>188</v>
      </c>
      <c r="C206" s="23" t="s">
        <v>10</v>
      </c>
      <c r="D206" s="23" t="s">
        <v>11</v>
      </c>
      <c r="E206" s="4">
        <v>78.56</v>
      </c>
      <c r="F206" s="5">
        <v>0.065</v>
      </c>
      <c r="G206" s="24">
        <v>83.66640000000001</v>
      </c>
      <c r="H206" s="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6">
        <v>2590.0</v>
      </c>
      <c r="B207" s="35" t="s">
        <v>189</v>
      </c>
      <c r="C207" s="27" t="s">
        <v>10</v>
      </c>
      <c r="D207" s="27" t="s">
        <v>11</v>
      </c>
      <c r="E207" s="28">
        <v>170.42</v>
      </c>
      <c r="F207" s="29">
        <v>0.065</v>
      </c>
      <c r="G207" s="30">
        <v>181.4973</v>
      </c>
      <c r="H207" s="31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3">
        <v>2634.0</v>
      </c>
      <c r="B208" s="6" t="s">
        <v>190</v>
      </c>
      <c r="C208" s="23" t="s">
        <v>10</v>
      </c>
      <c r="D208" s="23" t="s">
        <v>11</v>
      </c>
      <c r="E208" s="4">
        <v>209.35</v>
      </c>
      <c r="F208" s="5">
        <v>0.065</v>
      </c>
      <c r="G208" s="24">
        <v>222.95775</v>
      </c>
      <c r="H208" s="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6">
        <v>2587.0</v>
      </c>
      <c r="B209" s="35" t="s">
        <v>191</v>
      </c>
      <c r="C209" s="27" t="s">
        <v>10</v>
      </c>
      <c r="D209" s="27" t="s">
        <v>11</v>
      </c>
      <c r="E209" s="28">
        <v>412.28</v>
      </c>
      <c r="F209" s="29">
        <v>0.065</v>
      </c>
      <c r="G209" s="30">
        <v>439.0782</v>
      </c>
      <c r="H209" s="31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3">
        <v>2636.0</v>
      </c>
      <c r="B210" s="6" t="s">
        <v>192</v>
      </c>
      <c r="C210" s="23" t="s">
        <v>10</v>
      </c>
      <c r="D210" s="23" t="s">
        <v>11</v>
      </c>
      <c r="E210" s="4">
        <v>136.61</v>
      </c>
      <c r="F210" s="5">
        <v>0.065</v>
      </c>
      <c r="G210" s="24">
        <v>145.48965</v>
      </c>
      <c r="H210" s="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6">
        <v>2635.0</v>
      </c>
      <c r="B211" s="35" t="s">
        <v>193</v>
      </c>
      <c r="C211" s="27" t="s">
        <v>10</v>
      </c>
      <c r="D211" s="27" t="s">
        <v>11</v>
      </c>
      <c r="E211" s="28">
        <v>273.62</v>
      </c>
      <c r="F211" s="29">
        <v>0.065</v>
      </c>
      <c r="G211" s="30">
        <v>291.4053</v>
      </c>
      <c r="H211" s="31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3">
        <v>2637.0</v>
      </c>
      <c r="B212" s="6" t="s">
        <v>194</v>
      </c>
      <c r="C212" s="23" t="s">
        <v>10</v>
      </c>
      <c r="D212" s="23" t="s">
        <v>11</v>
      </c>
      <c r="E212" s="4">
        <v>335.02</v>
      </c>
      <c r="F212" s="5">
        <v>0.065</v>
      </c>
      <c r="G212" s="24">
        <v>356.7963</v>
      </c>
      <c r="H212" s="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6">
        <v>2681.0</v>
      </c>
      <c r="B213" s="35" t="s">
        <v>195</v>
      </c>
      <c r="C213" s="27" t="s">
        <v>10</v>
      </c>
      <c r="D213" s="27" t="s">
        <v>11</v>
      </c>
      <c r="E213" s="28">
        <v>412.28</v>
      </c>
      <c r="F213" s="29">
        <v>0.065</v>
      </c>
      <c r="G213" s="30">
        <v>439.0782</v>
      </c>
      <c r="H213" s="31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3">
        <v>2589.0</v>
      </c>
      <c r="B214" s="6" t="s">
        <v>196</v>
      </c>
      <c r="C214" s="23" t="s">
        <v>10</v>
      </c>
      <c r="D214" s="23" t="s">
        <v>11</v>
      </c>
      <c r="E214" s="4">
        <v>426.95</v>
      </c>
      <c r="F214" s="5">
        <v>0.065</v>
      </c>
      <c r="G214" s="24">
        <v>454.70175</v>
      </c>
      <c r="H214" s="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3"/>
      <c r="B215" s="6"/>
      <c r="C215" s="23"/>
      <c r="D215" s="23"/>
      <c r="E215" s="4"/>
      <c r="F215" s="5"/>
      <c r="G215" s="24"/>
      <c r="H215" s="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3"/>
      <c r="B216" s="19" t="s">
        <v>197</v>
      </c>
      <c r="C216" s="23"/>
      <c r="D216" s="23"/>
      <c r="E216" s="4"/>
      <c r="F216" s="5"/>
      <c r="G216" s="38"/>
      <c r="H216" s="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1">
        <v>1012.0</v>
      </c>
      <c r="B217" s="6" t="s">
        <v>198</v>
      </c>
      <c r="C217" s="23" t="s">
        <v>10</v>
      </c>
      <c r="D217" s="23" t="s">
        <v>11</v>
      </c>
      <c r="E217" s="4">
        <v>114.66</v>
      </c>
      <c r="F217" s="5">
        <v>0.065</v>
      </c>
      <c r="G217" s="24">
        <v>122.1129</v>
      </c>
      <c r="H217" s="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6">
        <v>1534.0</v>
      </c>
      <c r="B218" s="35" t="s">
        <v>199</v>
      </c>
      <c r="C218" s="27" t="s">
        <v>10</v>
      </c>
      <c r="D218" s="27" t="s">
        <v>11</v>
      </c>
      <c r="E218" s="28">
        <v>207.08</v>
      </c>
      <c r="F218" s="29">
        <v>0.065</v>
      </c>
      <c r="G218" s="30">
        <v>220.54020000000003</v>
      </c>
      <c r="H218" s="31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3"/>
      <c r="B219" s="6"/>
      <c r="C219" s="23"/>
      <c r="D219" s="23"/>
      <c r="E219" s="4"/>
      <c r="F219" s="5"/>
      <c r="G219" s="24"/>
      <c r="H219" s="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3"/>
      <c r="B220" s="19" t="s">
        <v>200</v>
      </c>
      <c r="C220" s="23"/>
      <c r="D220" s="23"/>
      <c r="E220" s="4"/>
      <c r="F220" s="5"/>
      <c r="G220" s="38"/>
      <c r="H220" s="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1">
        <v>408.0</v>
      </c>
      <c r="B221" s="6" t="s">
        <v>201</v>
      </c>
      <c r="C221" s="23" t="s">
        <v>10</v>
      </c>
      <c r="D221" s="23" t="s">
        <v>58</v>
      </c>
      <c r="E221" s="4">
        <v>239.89</v>
      </c>
      <c r="F221" s="5">
        <v>0.065</v>
      </c>
      <c r="G221" s="24">
        <v>255.48284999999998</v>
      </c>
      <c r="H221" s="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6">
        <v>409.0</v>
      </c>
      <c r="B222" s="35" t="s">
        <v>202</v>
      </c>
      <c r="C222" s="27" t="s">
        <v>124</v>
      </c>
      <c r="D222" s="27" t="s">
        <v>58</v>
      </c>
      <c r="E222" s="28">
        <v>521.66</v>
      </c>
      <c r="F222" s="29">
        <v>0.065</v>
      </c>
      <c r="G222" s="30">
        <v>555.5679</v>
      </c>
      <c r="H222" s="31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21">
        <v>1686.0</v>
      </c>
      <c r="B223" s="6" t="s">
        <v>203</v>
      </c>
      <c r="C223" s="23" t="s">
        <v>10</v>
      </c>
      <c r="D223" s="23" t="s">
        <v>58</v>
      </c>
      <c r="E223" s="4">
        <v>278.03</v>
      </c>
      <c r="F223" s="5">
        <v>0.065</v>
      </c>
      <c r="G223" s="24">
        <v>296.10195</v>
      </c>
      <c r="H223" s="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6">
        <v>410.0</v>
      </c>
      <c r="B224" s="35" t="s">
        <v>204</v>
      </c>
      <c r="C224" s="27" t="s">
        <v>10</v>
      </c>
      <c r="D224" s="27" t="s">
        <v>58</v>
      </c>
      <c r="E224" s="28">
        <v>328.43</v>
      </c>
      <c r="F224" s="29">
        <v>0.065</v>
      </c>
      <c r="G224" s="30">
        <v>349.77795000000003</v>
      </c>
      <c r="H224" s="31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21">
        <v>470.0</v>
      </c>
      <c r="B225" s="6" t="s">
        <v>205</v>
      </c>
      <c r="C225" s="23" t="s">
        <v>10</v>
      </c>
      <c r="D225" s="23" t="s">
        <v>58</v>
      </c>
      <c r="E225" s="4">
        <v>794.22</v>
      </c>
      <c r="F225" s="5">
        <v>0.065</v>
      </c>
      <c r="G225" s="24">
        <v>845.8443</v>
      </c>
      <c r="H225" s="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6">
        <v>413.0</v>
      </c>
      <c r="B226" s="35" t="s">
        <v>206</v>
      </c>
      <c r="C226" s="27" t="s">
        <v>10</v>
      </c>
      <c r="D226" s="27" t="s">
        <v>58</v>
      </c>
      <c r="E226" s="28">
        <v>1508.11</v>
      </c>
      <c r="F226" s="29">
        <v>0.065</v>
      </c>
      <c r="G226" s="30">
        <v>1606.1371499999998</v>
      </c>
      <c r="H226" s="31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21">
        <v>2600.0</v>
      </c>
      <c r="B227" s="6" t="s">
        <v>207</v>
      </c>
      <c r="C227" s="23" t="s">
        <v>208</v>
      </c>
      <c r="D227" s="23" t="s">
        <v>58</v>
      </c>
      <c r="E227" s="4">
        <v>2001.37</v>
      </c>
      <c r="F227" s="5">
        <v>0.065</v>
      </c>
      <c r="G227" s="24">
        <v>2131.45905</v>
      </c>
      <c r="H227" s="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3"/>
      <c r="B228" s="6"/>
      <c r="C228" s="23"/>
      <c r="D228" s="23"/>
      <c r="E228" s="4"/>
      <c r="F228" s="5"/>
      <c r="G228" s="24"/>
      <c r="H228" s="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3"/>
      <c r="B229" s="19" t="s">
        <v>209</v>
      </c>
      <c r="C229" s="23"/>
      <c r="D229" s="23"/>
      <c r="E229" s="2"/>
      <c r="F229" s="2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1">
        <v>2783.0</v>
      </c>
      <c r="B230" s="6" t="s">
        <v>210</v>
      </c>
      <c r="C230" s="23" t="s">
        <v>10</v>
      </c>
      <c r="D230" s="23" t="s">
        <v>137</v>
      </c>
      <c r="E230" s="4">
        <v>663.9</v>
      </c>
      <c r="F230" s="5">
        <v>0.065</v>
      </c>
      <c r="G230" s="24">
        <v>707.0535</v>
      </c>
      <c r="H230" s="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6">
        <v>2172.0</v>
      </c>
      <c r="B231" s="35" t="s">
        <v>211</v>
      </c>
      <c r="C231" s="27" t="s">
        <v>10</v>
      </c>
      <c r="D231" s="27" t="s">
        <v>137</v>
      </c>
      <c r="E231" s="28">
        <v>663.9</v>
      </c>
      <c r="F231" s="29">
        <v>0.065</v>
      </c>
      <c r="G231" s="30">
        <v>707.0535</v>
      </c>
      <c r="H231" s="31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21">
        <v>2174.0</v>
      </c>
      <c r="B232" s="6" t="s">
        <v>212</v>
      </c>
      <c r="C232" s="23" t="s">
        <v>10</v>
      </c>
      <c r="D232" s="23" t="s">
        <v>11</v>
      </c>
      <c r="E232" s="4">
        <v>663.9</v>
      </c>
      <c r="F232" s="5">
        <v>0.065</v>
      </c>
      <c r="G232" s="24">
        <v>707.0535</v>
      </c>
      <c r="H232" s="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3"/>
      <c r="B233" s="6"/>
      <c r="C233" s="23"/>
      <c r="D233" s="23"/>
      <c r="E233" s="2"/>
      <c r="F233" s="2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3"/>
      <c r="B234" s="19" t="s">
        <v>213</v>
      </c>
      <c r="C234" s="23"/>
      <c r="D234" s="23"/>
      <c r="E234" s="4"/>
      <c r="F234" s="5"/>
      <c r="G234" s="38"/>
      <c r="H234" s="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3">
        <v>336.0</v>
      </c>
      <c r="B235" s="6" t="s">
        <v>214</v>
      </c>
      <c r="C235" s="23" t="s">
        <v>10</v>
      </c>
      <c r="D235" s="23" t="s">
        <v>34</v>
      </c>
      <c r="E235" s="4">
        <v>100.39</v>
      </c>
      <c r="F235" s="5">
        <v>0.065</v>
      </c>
      <c r="G235" s="24">
        <v>106.91535</v>
      </c>
      <c r="H235" s="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6">
        <v>330.0</v>
      </c>
      <c r="B236" s="35" t="s">
        <v>215</v>
      </c>
      <c r="C236" s="27" t="s">
        <v>114</v>
      </c>
      <c r="D236" s="27" t="s">
        <v>34</v>
      </c>
      <c r="E236" s="28">
        <v>100.39</v>
      </c>
      <c r="F236" s="29">
        <v>0.065</v>
      </c>
      <c r="G236" s="30">
        <v>106.91535</v>
      </c>
      <c r="H236" s="31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3">
        <v>2648.0</v>
      </c>
      <c r="B237" s="6" t="s">
        <v>216</v>
      </c>
      <c r="C237" s="23" t="s">
        <v>10</v>
      </c>
      <c r="D237" s="23" t="s">
        <v>34</v>
      </c>
      <c r="E237" s="4">
        <v>106.47</v>
      </c>
      <c r="F237" s="5">
        <v>0.065</v>
      </c>
      <c r="G237" s="24">
        <v>113.39055</v>
      </c>
      <c r="H237" s="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6">
        <v>2738.0</v>
      </c>
      <c r="B238" s="35" t="s">
        <v>217</v>
      </c>
      <c r="C238" s="27" t="s">
        <v>17</v>
      </c>
      <c r="D238" s="27" t="s">
        <v>137</v>
      </c>
      <c r="E238" s="28">
        <v>166.87</v>
      </c>
      <c r="F238" s="29">
        <v>0.065</v>
      </c>
      <c r="G238" s="30">
        <v>177.71655</v>
      </c>
      <c r="H238" s="31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3">
        <v>2272.0</v>
      </c>
      <c r="B239" s="6" t="s">
        <v>218</v>
      </c>
      <c r="C239" s="23" t="s">
        <v>10</v>
      </c>
      <c r="D239" s="23" t="s">
        <v>11</v>
      </c>
      <c r="E239" s="4">
        <v>100.39</v>
      </c>
      <c r="F239" s="5">
        <v>0.065</v>
      </c>
      <c r="G239" s="24">
        <v>106.91535</v>
      </c>
      <c r="H239" s="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6">
        <v>337.0</v>
      </c>
      <c r="B240" s="35" t="s">
        <v>219</v>
      </c>
      <c r="C240" s="27" t="s">
        <v>10</v>
      </c>
      <c r="D240" s="27" t="s">
        <v>11</v>
      </c>
      <c r="E240" s="28">
        <v>155.39</v>
      </c>
      <c r="F240" s="29">
        <v>0.065</v>
      </c>
      <c r="G240" s="30">
        <v>165.49034999999998</v>
      </c>
      <c r="H240" s="31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3">
        <v>2713.0</v>
      </c>
      <c r="B241" s="6" t="s">
        <v>220</v>
      </c>
      <c r="C241" s="23" t="s">
        <v>10</v>
      </c>
      <c r="D241" s="23" t="s">
        <v>11</v>
      </c>
      <c r="E241" s="4">
        <v>405.99</v>
      </c>
      <c r="F241" s="5">
        <v>0.065</v>
      </c>
      <c r="G241" s="24">
        <v>432.37935</v>
      </c>
      <c r="H241" s="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3"/>
      <c r="B242" s="6"/>
      <c r="C242" s="23"/>
      <c r="D242" s="23"/>
      <c r="E242" s="4"/>
      <c r="F242" s="5"/>
      <c r="G242" s="24"/>
      <c r="H242" s="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3"/>
      <c r="B243" s="19" t="s">
        <v>221</v>
      </c>
      <c r="C243" s="23"/>
      <c r="D243" s="23"/>
      <c r="E243" s="4"/>
      <c r="F243" s="5"/>
      <c r="G243" s="38"/>
      <c r="H243" s="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3">
        <v>401.0</v>
      </c>
      <c r="B244" s="6" t="s">
        <v>222</v>
      </c>
      <c r="C244" s="23" t="s">
        <v>10</v>
      </c>
      <c r="D244" s="23" t="s">
        <v>11</v>
      </c>
      <c r="E244" s="4">
        <v>123.13</v>
      </c>
      <c r="F244" s="5">
        <v>0.065</v>
      </c>
      <c r="G244" s="24">
        <v>131.13344999999998</v>
      </c>
      <c r="H244" s="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6">
        <v>412.0</v>
      </c>
      <c r="B245" s="35" t="s">
        <v>223</v>
      </c>
      <c r="C245" s="27" t="s">
        <v>10</v>
      </c>
      <c r="D245" s="27" t="s">
        <v>11</v>
      </c>
      <c r="E245" s="28">
        <v>165.05</v>
      </c>
      <c r="F245" s="29">
        <v>0.065</v>
      </c>
      <c r="G245" s="30">
        <v>175.77825</v>
      </c>
      <c r="H245" s="31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3">
        <v>426.0</v>
      </c>
      <c r="B246" s="6" t="s">
        <v>224</v>
      </c>
      <c r="C246" s="23" t="s">
        <v>10</v>
      </c>
      <c r="D246" s="23" t="s">
        <v>11</v>
      </c>
      <c r="E246" s="4">
        <v>359.55</v>
      </c>
      <c r="F246" s="5">
        <v>0.065</v>
      </c>
      <c r="G246" s="24">
        <v>382.92075</v>
      </c>
      <c r="H246" s="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6">
        <v>425.0</v>
      </c>
      <c r="B247" s="35" t="s">
        <v>225</v>
      </c>
      <c r="C247" s="27" t="s">
        <v>10</v>
      </c>
      <c r="D247" s="27" t="s">
        <v>11</v>
      </c>
      <c r="E247" s="28">
        <v>380.63</v>
      </c>
      <c r="F247" s="29">
        <v>0.065</v>
      </c>
      <c r="G247" s="30">
        <v>405.37095</v>
      </c>
      <c r="H247" s="31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3">
        <v>578.0</v>
      </c>
      <c r="B248" s="6" t="s">
        <v>226</v>
      </c>
      <c r="C248" s="23" t="s">
        <v>10</v>
      </c>
      <c r="D248" s="23" t="s">
        <v>11</v>
      </c>
      <c r="E248" s="4">
        <v>523.6</v>
      </c>
      <c r="F248" s="5">
        <v>0.065</v>
      </c>
      <c r="G248" s="24">
        <v>557.634</v>
      </c>
      <c r="H248" s="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3"/>
      <c r="B249" s="6"/>
      <c r="C249" s="23"/>
      <c r="D249" s="23"/>
      <c r="E249" s="4"/>
      <c r="F249" s="5"/>
      <c r="G249" s="24"/>
      <c r="H249" s="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3"/>
      <c r="B250" s="19" t="s">
        <v>227</v>
      </c>
      <c r="C250" s="23"/>
      <c r="D250" s="23"/>
      <c r="E250" s="4"/>
      <c r="F250" s="5"/>
      <c r="G250" s="38"/>
      <c r="H250" s="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1">
        <v>2434.0</v>
      </c>
      <c r="B251" s="6" t="s">
        <v>228</v>
      </c>
      <c r="C251" s="23" t="s">
        <v>10</v>
      </c>
      <c r="D251" s="23" t="s">
        <v>11</v>
      </c>
      <c r="E251" s="4">
        <v>169.1</v>
      </c>
      <c r="F251" s="5">
        <v>0.065</v>
      </c>
      <c r="G251" s="24">
        <v>180.0915</v>
      </c>
      <c r="H251" s="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5">
        <v>2435.0</v>
      </c>
      <c r="B252" s="35" t="s">
        <v>229</v>
      </c>
      <c r="C252" s="27" t="s">
        <v>10</v>
      </c>
      <c r="D252" s="27" t="s">
        <v>11</v>
      </c>
      <c r="E252" s="28">
        <v>279.65</v>
      </c>
      <c r="F252" s="29">
        <v>0.065</v>
      </c>
      <c r="G252" s="30">
        <v>297.82725</v>
      </c>
      <c r="H252" s="31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21">
        <v>2436.0</v>
      </c>
      <c r="B253" s="6" t="s">
        <v>230</v>
      </c>
      <c r="C253" s="23" t="s">
        <v>10</v>
      </c>
      <c r="D253" s="23" t="s">
        <v>11</v>
      </c>
      <c r="E253" s="4">
        <v>478.72</v>
      </c>
      <c r="F253" s="5">
        <v>0.065</v>
      </c>
      <c r="G253" s="24">
        <v>509.83680000000004</v>
      </c>
      <c r="H253" s="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5">
        <v>2739.0</v>
      </c>
      <c r="B254" s="35" t="s">
        <v>231</v>
      </c>
      <c r="C254" s="27" t="s">
        <v>10</v>
      </c>
      <c r="D254" s="27" t="s">
        <v>11</v>
      </c>
      <c r="E254" s="28">
        <v>939.41</v>
      </c>
      <c r="F254" s="29">
        <v>0.065</v>
      </c>
      <c r="G254" s="30">
        <v>1000.47165</v>
      </c>
      <c r="H254" s="31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3"/>
      <c r="B255" s="6"/>
      <c r="C255" s="23"/>
      <c r="D255" s="23"/>
      <c r="E255" s="4"/>
      <c r="F255" s="5"/>
      <c r="G255" s="24"/>
      <c r="H255" s="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3"/>
      <c r="B256" s="19" t="s">
        <v>232</v>
      </c>
      <c r="C256" s="23"/>
      <c r="D256" s="23"/>
      <c r="E256" s="4"/>
      <c r="F256" s="5"/>
      <c r="G256" s="38"/>
      <c r="H256" s="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1">
        <v>2175.0</v>
      </c>
      <c r="B257" s="6" t="s">
        <v>233</v>
      </c>
      <c r="C257" s="23" t="s">
        <v>10</v>
      </c>
      <c r="D257" s="23" t="s">
        <v>34</v>
      </c>
      <c r="E257" s="4">
        <v>183.17</v>
      </c>
      <c r="F257" s="5">
        <v>0.065</v>
      </c>
      <c r="G257" s="24">
        <v>195.07604999999998</v>
      </c>
      <c r="H257" s="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5">
        <v>2176.0</v>
      </c>
      <c r="B258" s="35" t="s">
        <v>234</v>
      </c>
      <c r="C258" s="27" t="s">
        <v>10</v>
      </c>
      <c r="D258" s="27" t="s">
        <v>34</v>
      </c>
      <c r="E258" s="28">
        <v>299.15</v>
      </c>
      <c r="F258" s="29">
        <v>0.065</v>
      </c>
      <c r="G258" s="30">
        <v>318.59475</v>
      </c>
      <c r="H258" s="31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3"/>
      <c r="B259" s="6"/>
      <c r="C259" s="23"/>
      <c r="D259" s="23"/>
      <c r="E259" s="4"/>
      <c r="F259" s="5"/>
      <c r="G259" s="24"/>
      <c r="H259" s="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3"/>
      <c r="B260" s="19" t="s">
        <v>235</v>
      </c>
      <c r="C260" s="23"/>
      <c r="D260" s="23"/>
      <c r="E260" s="4"/>
      <c r="F260" s="5"/>
      <c r="G260" s="38"/>
      <c r="H260" s="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1">
        <v>325.0</v>
      </c>
      <c r="B261" s="6" t="s">
        <v>236</v>
      </c>
      <c r="C261" s="23" t="s">
        <v>10</v>
      </c>
      <c r="D261" s="23" t="s">
        <v>58</v>
      </c>
      <c r="E261" s="4">
        <v>101.21</v>
      </c>
      <c r="F261" s="5">
        <v>0.065</v>
      </c>
      <c r="G261" s="24">
        <v>107.78864999999999</v>
      </c>
      <c r="H261" s="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3"/>
      <c r="B262" s="6"/>
      <c r="C262" s="23"/>
      <c r="D262" s="23"/>
      <c r="E262" s="4"/>
      <c r="F262" s="5"/>
      <c r="G262" s="24"/>
      <c r="H262" s="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3"/>
      <c r="B263" s="19" t="s">
        <v>237</v>
      </c>
      <c r="C263" s="23"/>
      <c r="D263" s="23"/>
      <c r="E263" s="4"/>
      <c r="F263" s="5"/>
      <c r="G263" s="38"/>
      <c r="H263" s="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3">
        <v>1452.0</v>
      </c>
      <c r="B264" s="6" t="s">
        <v>238</v>
      </c>
      <c r="C264" s="23" t="s">
        <v>17</v>
      </c>
      <c r="D264" s="23" t="s">
        <v>58</v>
      </c>
      <c r="E264" s="4">
        <v>42.39</v>
      </c>
      <c r="F264" s="5">
        <v>0.065</v>
      </c>
      <c r="G264" s="24">
        <v>45.14535</v>
      </c>
      <c r="H264" s="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6">
        <v>1455.0</v>
      </c>
      <c r="B265" s="35" t="s">
        <v>239</v>
      </c>
      <c r="C265" s="27" t="s">
        <v>17</v>
      </c>
      <c r="D265" s="27" t="s">
        <v>58</v>
      </c>
      <c r="E265" s="28">
        <v>42.39</v>
      </c>
      <c r="F265" s="29">
        <v>0.065</v>
      </c>
      <c r="G265" s="30">
        <v>45.14535</v>
      </c>
      <c r="H265" s="31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3">
        <v>1458.0</v>
      </c>
      <c r="B266" s="6" t="s">
        <v>240</v>
      </c>
      <c r="C266" s="23" t="s">
        <v>10</v>
      </c>
      <c r="D266" s="23" t="s">
        <v>58</v>
      </c>
      <c r="E266" s="4">
        <v>137.14</v>
      </c>
      <c r="F266" s="5">
        <v>0.065</v>
      </c>
      <c r="G266" s="24">
        <v>146.05409999999998</v>
      </c>
      <c r="H266" s="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6">
        <v>2743.0</v>
      </c>
      <c r="B267" s="35" t="s">
        <v>241</v>
      </c>
      <c r="C267" s="27" t="s">
        <v>10</v>
      </c>
      <c r="D267" s="27" t="s">
        <v>58</v>
      </c>
      <c r="E267" s="28">
        <v>137.14</v>
      </c>
      <c r="F267" s="29">
        <v>0.065</v>
      </c>
      <c r="G267" s="30">
        <v>146.05409999999998</v>
      </c>
      <c r="H267" s="31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3"/>
      <c r="B268" s="6"/>
      <c r="C268" s="3"/>
      <c r="D268" s="3"/>
      <c r="E268" s="4"/>
      <c r="F268" s="5"/>
      <c r="G268" s="6"/>
      <c r="H268" s="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3"/>
      <c r="B269" s="19" t="s">
        <v>242</v>
      </c>
      <c r="C269" s="23"/>
      <c r="D269" s="23"/>
      <c r="E269" s="4"/>
      <c r="F269" s="5"/>
      <c r="G269" s="38"/>
      <c r="H269" s="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3">
        <v>472.0</v>
      </c>
      <c r="B270" s="6" t="s">
        <v>243</v>
      </c>
      <c r="C270" s="23" t="s">
        <v>10</v>
      </c>
      <c r="D270" s="23" t="s">
        <v>11</v>
      </c>
      <c r="E270" s="4">
        <v>185.79</v>
      </c>
      <c r="F270" s="5">
        <v>0.065</v>
      </c>
      <c r="G270" s="24">
        <v>197.86634999999998</v>
      </c>
      <c r="H270" s="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6">
        <v>475.0</v>
      </c>
      <c r="B271" s="35" t="s">
        <v>244</v>
      </c>
      <c r="C271" s="27" t="s">
        <v>10</v>
      </c>
      <c r="D271" s="27" t="s">
        <v>11</v>
      </c>
      <c r="E271" s="28">
        <v>443.35</v>
      </c>
      <c r="F271" s="29">
        <v>0.065</v>
      </c>
      <c r="G271" s="30">
        <v>472.16775</v>
      </c>
      <c r="H271" s="31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3">
        <v>2184.0</v>
      </c>
      <c r="B272" s="6" t="s">
        <v>245</v>
      </c>
      <c r="C272" s="23" t="s">
        <v>10</v>
      </c>
      <c r="D272" s="23" t="s">
        <v>11</v>
      </c>
      <c r="E272" s="4">
        <v>335.71</v>
      </c>
      <c r="F272" s="5">
        <v>0.065</v>
      </c>
      <c r="G272" s="24">
        <v>357.53114999999997</v>
      </c>
      <c r="H272" s="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3"/>
      <c r="B273" s="6"/>
      <c r="C273" s="23"/>
      <c r="D273" s="23"/>
      <c r="E273" s="4"/>
      <c r="F273" s="5"/>
      <c r="G273" s="24"/>
      <c r="H273" s="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3"/>
      <c r="B274" s="19" t="s">
        <v>246</v>
      </c>
      <c r="C274" s="23"/>
      <c r="D274" s="23"/>
      <c r="E274" s="2"/>
      <c r="F274" s="20"/>
      <c r="G274" s="2"/>
      <c r="H274" s="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3">
        <v>2715.0</v>
      </c>
      <c r="B275" s="6" t="s">
        <v>247</v>
      </c>
      <c r="C275" s="23" t="s">
        <v>17</v>
      </c>
      <c r="D275" s="23" t="s">
        <v>34</v>
      </c>
      <c r="E275" s="4">
        <v>71.31</v>
      </c>
      <c r="F275" s="5">
        <v>0.065</v>
      </c>
      <c r="G275" s="24">
        <v>75.94515</v>
      </c>
      <c r="H275" s="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6">
        <v>2856.0</v>
      </c>
      <c r="B276" s="35" t="s">
        <v>248</v>
      </c>
      <c r="C276" s="27" t="s">
        <v>10</v>
      </c>
      <c r="D276" s="27" t="s">
        <v>34</v>
      </c>
      <c r="E276" s="28">
        <v>63.63</v>
      </c>
      <c r="F276" s="29">
        <v>0.065</v>
      </c>
      <c r="G276" s="30">
        <v>67.76595</v>
      </c>
      <c r="H276" s="31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3">
        <v>2857.0</v>
      </c>
      <c r="B277" s="6" t="s">
        <v>249</v>
      </c>
      <c r="C277" s="23" t="s">
        <v>10</v>
      </c>
      <c r="D277" s="23" t="s">
        <v>11</v>
      </c>
      <c r="E277" s="4">
        <v>63.63</v>
      </c>
      <c r="F277" s="5">
        <v>0.065</v>
      </c>
      <c r="G277" s="24">
        <v>67.76595</v>
      </c>
      <c r="H277" s="40" t="s">
        <v>120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6">
        <v>2652.0</v>
      </c>
      <c r="B278" s="35" t="s">
        <v>250</v>
      </c>
      <c r="C278" s="27" t="s">
        <v>17</v>
      </c>
      <c r="D278" s="27" t="s">
        <v>11</v>
      </c>
      <c r="E278" s="28">
        <v>70.88</v>
      </c>
      <c r="F278" s="29">
        <v>0.065</v>
      </c>
      <c r="G278" s="30">
        <v>75.4872</v>
      </c>
      <c r="H278" s="40" t="s">
        <v>120</v>
      </c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3">
        <v>2858.0</v>
      </c>
      <c r="B279" s="6" t="s">
        <v>251</v>
      </c>
      <c r="C279" s="23" t="s">
        <v>17</v>
      </c>
      <c r="D279" s="23" t="s">
        <v>11</v>
      </c>
      <c r="E279" s="4">
        <v>90.82</v>
      </c>
      <c r="F279" s="5">
        <v>0.065</v>
      </c>
      <c r="G279" s="24">
        <v>96.7233</v>
      </c>
      <c r="H279" s="40" t="s">
        <v>120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6">
        <v>2859.0</v>
      </c>
      <c r="B280" s="35" t="s">
        <v>252</v>
      </c>
      <c r="C280" s="27" t="s">
        <v>10</v>
      </c>
      <c r="D280" s="27" t="s">
        <v>11</v>
      </c>
      <c r="E280" s="28">
        <v>157.02</v>
      </c>
      <c r="F280" s="29">
        <v>0.065</v>
      </c>
      <c r="G280" s="30">
        <v>167.2263</v>
      </c>
      <c r="H280" s="40" t="s">
        <v>120</v>
      </c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3"/>
      <c r="B281" s="6"/>
      <c r="C281" s="3"/>
      <c r="D281" s="3"/>
      <c r="E281" s="4"/>
      <c r="F281" s="5"/>
      <c r="G281" s="6"/>
      <c r="H281" s="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3"/>
      <c r="B282" s="19" t="s">
        <v>253</v>
      </c>
      <c r="C282" s="23"/>
      <c r="D282" s="23"/>
      <c r="E282" s="4"/>
      <c r="F282" s="5"/>
      <c r="G282" s="38"/>
      <c r="H282" s="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3">
        <v>2355.0</v>
      </c>
      <c r="B283" s="6" t="s">
        <v>254</v>
      </c>
      <c r="C283" s="23" t="s">
        <v>10</v>
      </c>
      <c r="D283" s="23" t="s">
        <v>11</v>
      </c>
      <c r="E283" s="4">
        <v>914.47</v>
      </c>
      <c r="F283" s="5">
        <v>0.065</v>
      </c>
      <c r="G283" s="24">
        <v>973.9105500000001</v>
      </c>
      <c r="H283" s="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6">
        <v>2357.0</v>
      </c>
      <c r="B284" s="35" t="s">
        <v>255</v>
      </c>
      <c r="C284" s="27" t="s">
        <v>10</v>
      </c>
      <c r="D284" s="27" t="s">
        <v>11</v>
      </c>
      <c r="E284" s="28">
        <v>2144.95</v>
      </c>
      <c r="F284" s="29">
        <v>0.065</v>
      </c>
      <c r="G284" s="30">
        <v>2284.37175</v>
      </c>
      <c r="H284" s="31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3"/>
      <c r="B285" s="6"/>
      <c r="C285" s="23"/>
      <c r="D285" s="23"/>
      <c r="E285" s="4"/>
      <c r="F285" s="5"/>
      <c r="G285" s="24"/>
      <c r="H285" s="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1"/>
      <c r="B286" s="19" t="s">
        <v>256</v>
      </c>
      <c r="C286" s="23"/>
      <c r="D286" s="23"/>
      <c r="E286" s="4"/>
      <c r="F286" s="5"/>
      <c r="G286" s="38"/>
      <c r="H286" s="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9">
        <v>2860.0</v>
      </c>
      <c r="B287" s="6" t="s">
        <v>257</v>
      </c>
      <c r="C287" s="23" t="s">
        <v>10</v>
      </c>
      <c r="D287" s="23" t="s">
        <v>34</v>
      </c>
      <c r="E287" s="4">
        <v>142.21</v>
      </c>
      <c r="F287" s="5">
        <v>0.065</v>
      </c>
      <c r="G287" s="24">
        <v>151.45365</v>
      </c>
      <c r="H287" s="40" t="s">
        <v>120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9">
        <v>2861.0</v>
      </c>
      <c r="B288" s="35" t="s">
        <v>258</v>
      </c>
      <c r="C288" s="27" t="s">
        <v>17</v>
      </c>
      <c r="D288" s="27" t="s">
        <v>11</v>
      </c>
      <c r="E288" s="28">
        <v>145.21</v>
      </c>
      <c r="F288" s="29">
        <v>0.065</v>
      </c>
      <c r="G288" s="30">
        <v>154.64865</v>
      </c>
      <c r="H288" s="40" t="s">
        <v>120</v>
      </c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9">
        <v>2862.0</v>
      </c>
      <c r="B289" s="6" t="s">
        <v>259</v>
      </c>
      <c r="C289" s="23" t="s">
        <v>17</v>
      </c>
      <c r="D289" s="23" t="s">
        <v>11</v>
      </c>
      <c r="E289" s="4">
        <v>192.42</v>
      </c>
      <c r="F289" s="5">
        <v>0.065</v>
      </c>
      <c r="G289" s="24">
        <v>204.92729999999997</v>
      </c>
      <c r="H289" s="40" t="s">
        <v>120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9">
        <v>2865.0</v>
      </c>
      <c r="B290" s="35" t="s">
        <v>260</v>
      </c>
      <c r="C290" s="27" t="s">
        <v>10</v>
      </c>
      <c r="D290" s="27" t="s">
        <v>11</v>
      </c>
      <c r="E290" s="28">
        <v>296.07</v>
      </c>
      <c r="F290" s="29">
        <v>0.065</v>
      </c>
      <c r="G290" s="30">
        <v>315.31455</v>
      </c>
      <c r="H290" s="40" t="s">
        <v>120</v>
      </c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9">
        <v>2863.0</v>
      </c>
      <c r="B291" s="6" t="s">
        <v>261</v>
      </c>
      <c r="C291" s="23" t="s">
        <v>10</v>
      </c>
      <c r="D291" s="23" t="s">
        <v>11</v>
      </c>
      <c r="E291" s="4">
        <v>296.07</v>
      </c>
      <c r="F291" s="5">
        <v>0.065</v>
      </c>
      <c r="G291" s="24">
        <v>315.31455</v>
      </c>
      <c r="H291" s="40" t="s">
        <v>120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9">
        <v>2864.0</v>
      </c>
      <c r="B292" s="35" t="s">
        <v>262</v>
      </c>
      <c r="C292" s="27" t="s">
        <v>10</v>
      </c>
      <c r="D292" s="27" t="s">
        <v>11</v>
      </c>
      <c r="E292" s="28">
        <v>533.14</v>
      </c>
      <c r="F292" s="29">
        <v>0.065</v>
      </c>
      <c r="G292" s="30">
        <v>567.7941</v>
      </c>
      <c r="H292" s="40" t="s">
        <v>120</v>
      </c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3"/>
      <c r="B293" s="6"/>
      <c r="C293" s="23"/>
      <c r="D293" s="23"/>
      <c r="E293" s="4"/>
      <c r="F293" s="5"/>
      <c r="G293" s="24"/>
      <c r="H293" s="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1"/>
      <c r="B294" s="19" t="s">
        <v>263</v>
      </c>
      <c r="C294" s="23"/>
      <c r="D294" s="23"/>
      <c r="E294" s="4"/>
      <c r="F294" s="5"/>
      <c r="G294" s="38"/>
      <c r="H294" s="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3">
        <v>2793.0</v>
      </c>
      <c r="B295" s="6" t="s">
        <v>264</v>
      </c>
      <c r="C295" s="23" t="s">
        <v>10</v>
      </c>
      <c r="D295" s="23" t="s">
        <v>34</v>
      </c>
      <c r="E295" s="4">
        <v>645.51</v>
      </c>
      <c r="F295" s="5">
        <v>0.065</v>
      </c>
      <c r="G295" s="24">
        <v>687.46815</v>
      </c>
      <c r="H295" s="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6">
        <v>2344.0</v>
      </c>
      <c r="B296" s="35" t="s">
        <v>265</v>
      </c>
      <c r="C296" s="27" t="s">
        <v>17</v>
      </c>
      <c r="D296" s="27" t="s">
        <v>11</v>
      </c>
      <c r="E296" s="28">
        <v>294.87</v>
      </c>
      <c r="F296" s="29">
        <v>0.065</v>
      </c>
      <c r="G296" s="30">
        <v>314.03655000000003</v>
      </c>
      <c r="H296" s="31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3">
        <v>2345.0</v>
      </c>
      <c r="B297" s="6" t="s">
        <v>266</v>
      </c>
      <c r="C297" s="23" t="s">
        <v>10</v>
      </c>
      <c r="D297" s="23" t="s">
        <v>11</v>
      </c>
      <c r="E297" s="4">
        <v>721.46</v>
      </c>
      <c r="F297" s="5">
        <v>0.065</v>
      </c>
      <c r="G297" s="24">
        <v>768.3549</v>
      </c>
      <c r="H297" s="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6">
        <v>2346.0</v>
      </c>
      <c r="B298" s="35" t="s">
        <v>267</v>
      </c>
      <c r="C298" s="27" t="s">
        <v>10</v>
      </c>
      <c r="D298" s="27" t="s">
        <v>11</v>
      </c>
      <c r="E298" s="28">
        <v>1285.38</v>
      </c>
      <c r="F298" s="29">
        <v>0.065</v>
      </c>
      <c r="G298" s="30">
        <v>1368.9297000000001</v>
      </c>
      <c r="H298" s="31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3"/>
      <c r="B299" s="6"/>
      <c r="C299" s="23"/>
      <c r="D299" s="23"/>
      <c r="E299" s="4"/>
      <c r="F299" s="5"/>
      <c r="G299" s="24"/>
      <c r="H299" s="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4"/>
      <c r="B300" s="19" t="s">
        <v>268</v>
      </c>
      <c r="C300" s="23"/>
      <c r="D300" s="23"/>
      <c r="E300" s="4"/>
      <c r="F300" s="5"/>
      <c r="G300" s="38"/>
      <c r="H300" s="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1">
        <v>2169.0</v>
      </c>
      <c r="B301" s="6" t="s">
        <v>269</v>
      </c>
      <c r="C301" s="23" t="s">
        <v>17</v>
      </c>
      <c r="D301" s="23" t="s">
        <v>11</v>
      </c>
      <c r="E301" s="4">
        <v>189.01</v>
      </c>
      <c r="F301" s="5">
        <v>0.065</v>
      </c>
      <c r="G301" s="24">
        <v>201.29565</v>
      </c>
      <c r="H301" s="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5">
        <v>512.0</v>
      </c>
      <c r="B302" s="35" t="s">
        <v>270</v>
      </c>
      <c r="C302" s="27" t="s">
        <v>17</v>
      </c>
      <c r="D302" s="27" t="s">
        <v>11</v>
      </c>
      <c r="E302" s="28">
        <v>442.17</v>
      </c>
      <c r="F302" s="29">
        <v>0.065</v>
      </c>
      <c r="G302" s="30">
        <v>470.91105000000005</v>
      </c>
      <c r="H302" s="31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3">
        <v>511.0</v>
      </c>
      <c r="B303" s="6" t="s">
        <v>271</v>
      </c>
      <c r="C303" s="23" t="s">
        <v>10</v>
      </c>
      <c r="D303" s="23" t="s">
        <v>11</v>
      </c>
      <c r="E303" s="4"/>
      <c r="F303" s="5">
        <v>0.065</v>
      </c>
      <c r="G303" s="24"/>
      <c r="H303" s="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5">
        <v>190.0</v>
      </c>
      <c r="B304" s="35" t="s">
        <v>272</v>
      </c>
      <c r="C304" s="27" t="s">
        <v>273</v>
      </c>
      <c r="D304" s="27" t="s">
        <v>11</v>
      </c>
      <c r="E304" s="28">
        <v>1090.65</v>
      </c>
      <c r="F304" s="29">
        <v>0.065</v>
      </c>
      <c r="G304" s="30">
        <v>1161.5422500000002</v>
      </c>
      <c r="H304" s="31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3"/>
      <c r="B305" s="6"/>
      <c r="C305" s="23"/>
      <c r="D305" s="23"/>
      <c r="E305" s="4"/>
      <c r="F305" s="5"/>
      <c r="G305" s="24"/>
      <c r="H305" s="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3"/>
      <c r="B306" s="19" t="s">
        <v>274</v>
      </c>
      <c r="C306" s="23"/>
      <c r="D306" s="23"/>
      <c r="E306" s="4"/>
      <c r="F306" s="5"/>
      <c r="G306" s="38"/>
      <c r="H306" s="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1">
        <v>1064.0</v>
      </c>
      <c r="B307" s="6" t="s">
        <v>275</v>
      </c>
      <c r="C307" s="23" t="s">
        <v>10</v>
      </c>
      <c r="D307" s="23" t="s">
        <v>11</v>
      </c>
      <c r="E307" s="4">
        <v>998.36</v>
      </c>
      <c r="F307" s="5">
        <v>0.065</v>
      </c>
      <c r="G307" s="24">
        <v>1063.2534</v>
      </c>
      <c r="H307" s="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6">
        <v>1013.0</v>
      </c>
      <c r="B308" s="35" t="s">
        <v>276</v>
      </c>
      <c r="C308" s="27" t="s">
        <v>10</v>
      </c>
      <c r="D308" s="27" t="s">
        <v>11</v>
      </c>
      <c r="E308" s="28">
        <v>1747.84</v>
      </c>
      <c r="F308" s="29">
        <v>0.065</v>
      </c>
      <c r="G308" s="30">
        <v>1861.4496</v>
      </c>
      <c r="H308" s="31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3"/>
      <c r="B309" s="6"/>
      <c r="C309" s="23"/>
      <c r="D309" s="23"/>
      <c r="E309" s="4"/>
      <c r="F309" s="5"/>
      <c r="G309" s="24"/>
      <c r="H309" s="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3"/>
      <c r="B310" s="19" t="s">
        <v>277</v>
      </c>
      <c r="C310" s="23"/>
      <c r="D310" s="23"/>
      <c r="E310" s="4"/>
      <c r="F310" s="5"/>
      <c r="G310" s="38"/>
      <c r="H310" s="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3">
        <v>1958.0</v>
      </c>
      <c r="B311" s="6" t="s">
        <v>278</v>
      </c>
      <c r="C311" s="23" t="s">
        <v>10</v>
      </c>
      <c r="D311" s="23" t="s">
        <v>34</v>
      </c>
      <c r="E311" s="4">
        <v>58.88</v>
      </c>
      <c r="F311" s="5">
        <v>0.065</v>
      </c>
      <c r="G311" s="24">
        <v>62.7072</v>
      </c>
      <c r="H311" s="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6">
        <v>1957.0</v>
      </c>
      <c r="B312" s="35" t="s">
        <v>279</v>
      </c>
      <c r="C312" s="27" t="s">
        <v>10</v>
      </c>
      <c r="D312" s="27" t="s">
        <v>11</v>
      </c>
      <c r="E312" s="28">
        <v>60.69</v>
      </c>
      <c r="F312" s="29">
        <v>0.065</v>
      </c>
      <c r="G312" s="30">
        <v>64.63485</v>
      </c>
      <c r="H312" s="31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3">
        <v>1976.0</v>
      </c>
      <c r="B313" s="6" t="s">
        <v>280</v>
      </c>
      <c r="C313" s="23" t="s">
        <v>112</v>
      </c>
      <c r="D313" s="23" t="s">
        <v>11</v>
      </c>
      <c r="E313" s="4">
        <v>37.74</v>
      </c>
      <c r="F313" s="5">
        <v>0.065</v>
      </c>
      <c r="G313" s="24">
        <v>40.1931</v>
      </c>
      <c r="H313" s="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3"/>
      <c r="B314" s="6"/>
      <c r="C314" s="23"/>
      <c r="D314" s="23"/>
      <c r="E314" s="4"/>
      <c r="F314" s="5"/>
      <c r="G314" s="24"/>
      <c r="H314" s="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3"/>
      <c r="B315" s="19" t="s">
        <v>281</v>
      </c>
      <c r="C315" s="23"/>
      <c r="D315" s="23"/>
      <c r="E315" s="4"/>
      <c r="F315" s="5"/>
      <c r="G315" s="38"/>
      <c r="H315" s="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1">
        <v>1020.0</v>
      </c>
      <c r="B316" s="6" t="s">
        <v>282</v>
      </c>
      <c r="C316" s="23" t="s">
        <v>10</v>
      </c>
      <c r="D316" s="23" t="s">
        <v>11</v>
      </c>
      <c r="E316" s="4">
        <v>152.77</v>
      </c>
      <c r="F316" s="5">
        <v>0.065</v>
      </c>
      <c r="G316" s="24">
        <v>162.70005</v>
      </c>
      <c r="H316" s="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5">
        <v>1091.0</v>
      </c>
      <c r="B317" s="35" t="s">
        <v>283</v>
      </c>
      <c r="C317" s="27" t="s">
        <v>10</v>
      </c>
      <c r="D317" s="27" t="s">
        <v>11</v>
      </c>
      <c r="E317" s="28">
        <v>305.52</v>
      </c>
      <c r="F317" s="29">
        <v>0.065</v>
      </c>
      <c r="G317" s="30">
        <v>325.37879999999996</v>
      </c>
      <c r="H317" s="31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3"/>
      <c r="B318" s="6"/>
      <c r="C318" s="23"/>
      <c r="D318" s="23"/>
      <c r="E318" s="4"/>
      <c r="F318" s="5"/>
      <c r="G318" s="24"/>
      <c r="H318" s="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3"/>
      <c r="B319" s="19" t="s">
        <v>284</v>
      </c>
      <c r="C319" s="23"/>
      <c r="D319" s="23"/>
      <c r="E319" s="4"/>
      <c r="F319" s="5"/>
      <c r="G319" s="38"/>
      <c r="H319" s="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3">
        <v>2155.0</v>
      </c>
      <c r="B320" s="6" t="s">
        <v>285</v>
      </c>
      <c r="C320" s="23" t="s">
        <v>10</v>
      </c>
      <c r="D320" s="23" t="s">
        <v>34</v>
      </c>
      <c r="E320" s="4">
        <v>84.53</v>
      </c>
      <c r="F320" s="5">
        <v>0.065</v>
      </c>
      <c r="G320" s="24">
        <v>90.02445</v>
      </c>
      <c r="H320" s="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6">
        <v>2156.0</v>
      </c>
      <c r="B321" s="35" t="s">
        <v>286</v>
      </c>
      <c r="C321" s="27" t="s">
        <v>10</v>
      </c>
      <c r="D321" s="27" t="s">
        <v>34</v>
      </c>
      <c r="E321" s="28">
        <v>127.42</v>
      </c>
      <c r="F321" s="29">
        <v>0.065</v>
      </c>
      <c r="G321" s="30">
        <v>135.7023</v>
      </c>
      <c r="H321" s="31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3">
        <v>2157.0</v>
      </c>
      <c r="B322" s="6" t="s">
        <v>287</v>
      </c>
      <c r="C322" s="23" t="s">
        <v>10</v>
      </c>
      <c r="D322" s="23" t="s">
        <v>11</v>
      </c>
      <c r="E322" s="4">
        <v>72.02</v>
      </c>
      <c r="F322" s="5">
        <v>0.065</v>
      </c>
      <c r="G322" s="24">
        <v>76.7013</v>
      </c>
      <c r="H322" s="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6">
        <v>2158.0</v>
      </c>
      <c r="B323" s="35" t="s">
        <v>288</v>
      </c>
      <c r="C323" s="27" t="s">
        <v>10</v>
      </c>
      <c r="D323" s="27" t="s">
        <v>11</v>
      </c>
      <c r="E323" s="28">
        <v>93.47</v>
      </c>
      <c r="F323" s="29">
        <v>0.065</v>
      </c>
      <c r="G323" s="30">
        <v>99.54554999999999</v>
      </c>
      <c r="H323" s="31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3">
        <v>2159.0</v>
      </c>
      <c r="B324" s="6" t="s">
        <v>289</v>
      </c>
      <c r="C324" s="23" t="s">
        <v>10</v>
      </c>
      <c r="D324" s="23" t="s">
        <v>11</v>
      </c>
      <c r="E324" s="4">
        <v>127.42</v>
      </c>
      <c r="F324" s="5">
        <v>0.065</v>
      </c>
      <c r="G324" s="24">
        <v>135.7023</v>
      </c>
      <c r="H324" s="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6">
        <v>2161.0</v>
      </c>
      <c r="B325" s="35" t="s">
        <v>290</v>
      </c>
      <c r="C325" s="27" t="s">
        <v>10</v>
      </c>
      <c r="D325" s="27" t="s">
        <v>11</v>
      </c>
      <c r="E325" s="28">
        <v>254.29</v>
      </c>
      <c r="F325" s="29">
        <v>0.065</v>
      </c>
      <c r="G325" s="30">
        <v>270.81885</v>
      </c>
      <c r="H325" s="31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3">
        <v>2162.0</v>
      </c>
      <c r="B326" s="45" t="s">
        <v>291</v>
      </c>
      <c r="C326" s="23" t="s">
        <v>10</v>
      </c>
      <c r="D326" s="23" t="s">
        <v>11</v>
      </c>
      <c r="E326" s="4">
        <v>401.41</v>
      </c>
      <c r="F326" s="5">
        <v>0.065</v>
      </c>
      <c r="G326" s="24">
        <v>427.50165000000004</v>
      </c>
      <c r="H326" s="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6">
        <v>2794.0</v>
      </c>
      <c r="B327" s="35" t="s">
        <v>292</v>
      </c>
      <c r="C327" s="27" t="s">
        <v>10</v>
      </c>
      <c r="D327" s="27" t="s">
        <v>11</v>
      </c>
      <c r="E327" s="28">
        <v>136.94</v>
      </c>
      <c r="F327" s="29">
        <v>0.065</v>
      </c>
      <c r="G327" s="30">
        <v>145.84109999999998</v>
      </c>
      <c r="H327" s="31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3"/>
      <c r="B328" s="6"/>
      <c r="C328" s="23"/>
      <c r="D328" s="23"/>
      <c r="E328" s="4"/>
      <c r="F328" s="5"/>
      <c r="G328" s="24"/>
      <c r="H328" s="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3"/>
      <c r="B329" s="19" t="s">
        <v>293</v>
      </c>
      <c r="C329" s="23"/>
      <c r="D329" s="23"/>
      <c r="E329" s="4"/>
      <c r="F329" s="5"/>
      <c r="G329" s="38"/>
      <c r="H329" s="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3">
        <v>2188.0</v>
      </c>
      <c r="B330" s="6" t="s">
        <v>294</v>
      </c>
      <c r="C330" s="23" t="s">
        <v>17</v>
      </c>
      <c r="D330" s="23" t="s">
        <v>34</v>
      </c>
      <c r="E330" s="4">
        <v>2101.25</v>
      </c>
      <c r="F330" s="5">
        <v>0.065</v>
      </c>
      <c r="G330" s="24">
        <v>2237.83125</v>
      </c>
      <c r="H330" s="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6" t="s">
        <v>295</v>
      </c>
      <c r="B331" s="35" t="s">
        <v>296</v>
      </c>
      <c r="C331" s="27" t="s">
        <v>10</v>
      </c>
      <c r="D331" s="27" t="s">
        <v>297</v>
      </c>
      <c r="E331" s="28">
        <v>218.59</v>
      </c>
      <c r="F331" s="29">
        <v>0.0</v>
      </c>
      <c r="G331" s="30">
        <v>218.59</v>
      </c>
      <c r="H331" s="31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3"/>
      <c r="B332" s="6"/>
      <c r="C332" s="23"/>
      <c r="D332" s="23"/>
      <c r="E332" s="4"/>
      <c r="F332" s="5"/>
      <c r="G332" s="24"/>
      <c r="H332" s="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3"/>
      <c r="B333" s="19" t="s">
        <v>298</v>
      </c>
      <c r="C333" s="23"/>
      <c r="D333" s="23"/>
      <c r="E333" s="4"/>
      <c r="F333" s="5"/>
      <c r="G333" s="38"/>
      <c r="H333" s="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3">
        <v>2627.0</v>
      </c>
      <c r="B334" s="6" t="s">
        <v>299</v>
      </c>
      <c r="C334" s="23" t="s">
        <v>114</v>
      </c>
      <c r="D334" s="23" t="s">
        <v>11</v>
      </c>
      <c r="E334" s="4">
        <v>169.75</v>
      </c>
      <c r="F334" s="5">
        <v>0.065</v>
      </c>
      <c r="G334" s="24">
        <v>180.78375</v>
      </c>
      <c r="H334" s="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6">
        <v>2628.0</v>
      </c>
      <c r="B335" s="35" t="s">
        <v>300</v>
      </c>
      <c r="C335" s="27" t="s">
        <v>114</v>
      </c>
      <c r="D335" s="27" t="s">
        <v>11</v>
      </c>
      <c r="E335" s="28">
        <v>105.76</v>
      </c>
      <c r="F335" s="29">
        <v>0.065</v>
      </c>
      <c r="G335" s="30">
        <v>112.6344</v>
      </c>
      <c r="H335" s="31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3">
        <v>2629.0</v>
      </c>
      <c r="B336" s="6" t="s">
        <v>301</v>
      </c>
      <c r="C336" s="23" t="s">
        <v>114</v>
      </c>
      <c r="D336" s="23" t="s">
        <v>11</v>
      </c>
      <c r="E336" s="4">
        <v>63.31</v>
      </c>
      <c r="F336" s="5">
        <v>0.065</v>
      </c>
      <c r="G336" s="24">
        <v>67.42515</v>
      </c>
      <c r="H336" s="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6">
        <v>2630.0</v>
      </c>
      <c r="B337" s="35" t="s">
        <v>302</v>
      </c>
      <c r="C337" s="27" t="s">
        <v>114</v>
      </c>
      <c r="D337" s="27" t="s">
        <v>11</v>
      </c>
      <c r="E337" s="28">
        <v>71.92</v>
      </c>
      <c r="F337" s="29">
        <v>0.065</v>
      </c>
      <c r="G337" s="30">
        <v>76.5948</v>
      </c>
      <c r="H337" s="31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3"/>
      <c r="B338" s="6"/>
      <c r="C338" s="23"/>
      <c r="D338" s="23"/>
      <c r="E338" s="4"/>
      <c r="F338" s="5"/>
      <c r="G338" s="24"/>
      <c r="H338" s="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3"/>
      <c r="B339" s="19" t="s">
        <v>303</v>
      </c>
      <c r="C339" s="23"/>
      <c r="D339" s="23"/>
      <c r="E339" s="4"/>
      <c r="F339" s="5"/>
      <c r="G339" s="38"/>
      <c r="H339" s="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3">
        <v>2456.0</v>
      </c>
      <c r="B340" s="6" t="s">
        <v>304</v>
      </c>
      <c r="C340" s="23" t="s">
        <v>10</v>
      </c>
      <c r="D340" s="23" t="s">
        <v>22</v>
      </c>
      <c r="E340" s="4">
        <v>75.4</v>
      </c>
      <c r="F340" s="5">
        <v>0.065</v>
      </c>
      <c r="G340" s="24">
        <v>80.301</v>
      </c>
      <c r="H340" s="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6">
        <v>2264.0</v>
      </c>
      <c r="B341" s="47" t="s">
        <v>305</v>
      </c>
      <c r="C341" s="27" t="s">
        <v>10</v>
      </c>
      <c r="D341" s="27" t="s">
        <v>34</v>
      </c>
      <c r="E341" s="28">
        <v>117.96</v>
      </c>
      <c r="F341" s="29">
        <v>0.065</v>
      </c>
      <c r="G341" s="30">
        <v>125.6274</v>
      </c>
      <c r="H341" s="31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3">
        <v>2132.0</v>
      </c>
      <c r="B342" s="6" t="s">
        <v>306</v>
      </c>
      <c r="C342" s="23" t="s">
        <v>10</v>
      </c>
      <c r="D342" s="23" t="s">
        <v>34</v>
      </c>
      <c r="E342" s="4">
        <v>67.87</v>
      </c>
      <c r="F342" s="5">
        <v>0.065</v>
      </c>
      <c r="G342" s="24">
        <v>72.28155000000001</v>
      </c>
      <c r="H342" s="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6">
        <v>2131.0</v>
      </c>
      <c r="B343" s="47" t="s">
        <v>307</v>
      </c>
      <c r="C343" s="27" t="s">
        <v>10</v>
      </c>
      <c r="D343" s="27" t="s">
        <v>11</v>
      </c>
      <c r="E343" s="28">
        <v>67.87</v>
      </c>
      <c r="F343" s="29">
        <v>0.065</v>
      </c>
      <c r="G343" s="30">
        <v>72.28155000000001</v>
      </c>
      <c r="H343" s="31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3">
        <v>2263.0</v>
      </c>
      <c r="B344" s="6" t="s">
        <v>308</v>
      </c>
      <c r="C344" s="23" t="s">
        <v>10</v>
      </c>
      <c r="D344" s="23" t="s">
        <v>11</v>
      </c>
      <c r="E344" s="4">
        <v>117.96</v>
      </c>
      <c r="F344" s="5">
        <v>0.065</v>
      </c>
      <c r="G344" s="24">
        <v>125.6274</v>
      </c>
      <c r="H344" s="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9">
        <v>2867.0</v>
      </c>
      <c r="B345" s="47" t="s">
        <v>309</v>
      </c>
      <c r="C345" s="27" t="s">
        <v>10</v>
      </c>
      <c r="D345" s="27" t="s">
        <v>11</v>
      </c>
      <c r="E345" s="28">
        <v>119.56</v>
      </c>
      <c r="F345" s="29">
        <v>0.065</v>
      </c>
      <c r="G345" s="30">
        <v>127.3314</v>
      </c>
      <c r="H345" s="40" t="s">
        <v>120</v>
      </c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9">
        <v>2868.0</v>
      </c>
      <c r="B346" s="6" t="s">
        <v>310</v>
      </c>
      <c r="C346" s="23" t="s">
        <v>10</v>
      </c>
      <c r="D346" s="23" t="s">
        <v>11</v>
      </c>
      <c r="E346" s="4">
        <v>225.26</v>
      </c>
      <c r="F346" s="5">
        <v>0.065</v>
      </c>
      <c r="G346" s="24">
        <v>239.90189999999998</v>
      </c>
      <c r="H346" s="40" t="s">
        <v>120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3"/>
      <c r="B347" s="6"/>
      <c r="C347" s="23"/>
      <c r="D347" s="23"/>
      <c r="E347" s="4"/>
      <c r="F347" s="5"/>
      <c r="G347" s="24"/>
      <c r="H347" s="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3"/>
      <c r="B348" s="42" t="s">
        <v>311</v>
      </c>
      <c r="C348" s="23"/>
      <c r="D348" s="23"/>
      <c r="E348" s="4"/>
      <c r="F348" s="5"/>
      <c r="G348" s="38"/>
      <c r="H348" s="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3"/>
      <c r="B349" s="19" t="s">
        <v>312</v>
      </c>
      <c r="C349" s="23"/>
      <c r="D349" s="23"/>
      <c r="E349" s="4"/>
      <c r="F349" s="5"/>
      <c r="G349" s="38"/>
      <c r="H349" s="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3">
        <v>1180.0</v>
      </c>
      <c r="B350" s="6" t="s">
        <v>313</v>
      </c>
      <c r="C350" s="23" t="s">
        <v>17</v>
      </c>
      <c r="D350" s="23" t="s">
        <v>11</v>
      </c>
      <c r="E350" s="4">
        <v>140.52</v>
      </c>
      <c r="F350" s="5">
        <v>0.065</v>
      </c>
      <c r="G350" s="24">
        <v>149.65380000000002</v>
      </c>
      <c r="H350" s="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6">
        <v>1183.0</v>
      </c>
      <c r="B351" s="35" t="s">
        <v>314</v>
      </c>
      <c r="C351" s="27" t="s">
        <v>17</v>
      </c>
      <c r="D351" s="27" t="s">
        <v>11</v>
      </c>
      <c r="E351" s="28">
        <v>184.6</v>
      </c>
      <c r="F351" s="29">
        <v>0.065</v>
      </c>
      <c r="G351" s="30">
        <v>196.599</v>
      </c>
      <c r="H351" s="31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3">
        <v>1178.0</v>
      </c>
      <c r="B352" s="6" t="s">
        <v>315</v>
      </c>
      <c r="C352" s="23" t="s">
        <v>17</v>
      </c>
      <c r="D352" s="23" t="s">
        <v>11</v>
      </c>
      <c r="E352" s="4">
        <v>285.61</v>
      </c>
      <c r="F352" s="5">
        <v>0.065</v>
      </c>
      <c r="G352" s="24">
        <v>304.17465000000004</v>
      </c>
      <c r="H352" s="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6">
        <v>1177.0</v>
      </c>
      <c r="B353" s="35" t="s">
        <v>316</v>
      </c>
      <c r="C353" s="27" t="s">
        <v>10</v>
      </c>
      <c r="D353" s="27" t="s">
        <v>11</v>
      </c>
      <c r="E353" s="28">
        <v>473.67</v>
      </c>
      <c r="F353" s="29">
        <v>0.065</v>
      </c>
      <c r="G353" s="30">
        <v>504.45855</v>
      </c>
      <c r="H353" s="31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3">
        <v>1175.0</v>
      </c>
      <c r="B354" s="6" t="s">
        <v>317</v>
      </c>
      <c r="C354" s="23" t="s">
        <v>10</v>
      </c>
      <c r="D354" s="23" t="s">
        <v>11</v>
      </c>
      <c r="E354" s="4">
        <v>1106.09</v>
      </c>
      <c r="F354" s="5">
        <v>0.065</v>
      </c>
      <c r="G354" s="24">
        <v>1177.98585</v>
      </c>
      <c r="H354" s="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6">
        <v>1176.0</v>
      </c>
      <c r="B355" s="35" t="s">
        <v>318</v>
      </c>
      <c r="C355" s="27" t="s">
        <v>10</v>
      </c>
      <c r="D355" s="27" t="s">
        <v>11</v>
      </c>
      <c r="E355" s="28">
        <v>687.83</v>
      </c>
      <c r="F355" s="29">
        <v>0.065</v>
      </c>
      <c r="G355" s="30">
        <v>732.53895</v>
      </c>
      <c r="H355" s="31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3"/>
      <c r="B356" s="6"/>
      <c r="C356" s="23"/>
      <c r="D356" s="23"/>
      <c r="E356" s="4"/>
      <c r="F356" s="5"/>
      <c r="G356" s="24"/>
      <c r="H356" s="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3"/>
      <c r="B357" s="19" t="s">
        <v>319</v>
      </c>
      <c r="C357" s="23"/>
      <c r="D357" s="23"/>
      <c r="E357" s="4"/>
      <c r="F357" s="5"/>
      <c r="G357" s="38"/>
      <c r="H357" s="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3">
        <v>2442.0</v>
      </c>
      <c r="B358" s="6" t="s">
        <v>320</v>
      </c>
      <c r="C358" s="23" t="s">
        <v>10</v>
      </c>
      <c r="D358" s="23" t="s">
        <v>11</v>
      </c>
      <c r="E358" s="4">
        <v>185.35</v>
      </c>
      <c r="F358" s="5">
        <v>0.065</v>
      </c>
      <c r="G358" s="24">
        <v>197.39775</v>
      </c>
      <c r="H358" s="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6">
        <v>2623.0</v>
      </c>
      <c r="B359" s="35" t="s">
        <v>321</v>
      </c>
      <c r="C359" s="27" t="s">
        <v>10</v>
      </c>
      <c r="D359" s="27" t="s">
        <v>11</v>
      </c>
      <c r="E359" s="28">
        <v>284.9</v>
      </c>
      <c r="F359" s="29">
        <v>0.065</v>
      </c>
      <c r="G359" s="30">
        <v>303.4185</v>
      </c>
      <c r="H359" s="31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3"/>
      <c r="B360" s="6"/>
      <c r="C360" s="23"/>
      <c r="D360" s="23"/>
      <c r="E360" s="4"/>
      <c r="F360" s="5"/>
      <c r="G360" s="24"/>
      <c r="H360" s="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3"/>
      <c r="B361" s="19" t="s">
        <v>322</v>
      </c>
      <c r="C361" s="23"/>
      <c r="D361" s="23"/>
      <c r="E361" s="4"/>
      <c r="F361" s="5"/>
      <c r="G361" s="38"/>
      <c r="H361" s="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3">
        <v>2443.0</v>
      </c>
      <c r="B362" s="6" t="s">
        <v>323</v>
      </c>
      <c r="C362" s="23" t="s">
        <v>10</v>
      </c>
      <c r="D362" s="23" t="s">
        <v>11</v>
      </c>
      <c r="E362" s="4">
        <v>175.88</v>
      </c>
      <c r="F362" s="5">
        <v>0.065</v>
      </c>
      <c r="G362" s="24">
        <v>187.3122</v>
      </c>
      <c r="H362" s="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6">
        <v>1129.0</v>
      </c>
      <c r="B363" s="35" t="s">
        <v>324</v>
      </c>
      <c r="C363" s="27" t="s">
        <v>10</v>
      </c>
      <c r="D363" s="27" t="s">
        <v>11</v>
      </c>
      <c r="E363" s="28">
        <v>228.14</v>
      </c>
      <c r="F363" s="29">
        <v>0.065</v>
      </c>
      <c r="G363" s="30">
        <v>242.9691</v>
      </c>
      <c r="H363" s="31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3">
        <v>287.0</v>
      </c>
      <c r="B364" s="6" t="s">
        <v>325</v>
      </c>
      <c r="C364" s="23" t="s">
        <v>10</v>
      </c>
      <c r="D364" s="23" t="s">
        <v>11</v>
      </c>
      <c r="E364" s="4">
        <v>451.04</v>
      </c>
      <c r="F364" s="5">
        <v>0.065</v>
      </c>
      <c r="G364" s="24">
        <v>480.35760000000005</v>
      </c>
      <c r="H364" s="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3"/>
      <c r="B365" s="6"/>
      <c r="C365" s="23"/>
      <c r="D365" s="23"/>
      <c r="E365" s="4"/>
      <c r="F365" s="5"/>
      <c r="G365" s="24"/>
      <c r="H365" s="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3"/>
      <c r="B366" s="19" t="s">
        <v>326</v>
      </c>
      <c r="C366" s="23"/>
      <c r="D366" s="23"/>
      <c r="E366" s="4"/>
      <c r="F366" s="48"/>
      <c r="G366" s="38"/>
      <c r="H366" s="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3">
        <v>281.0</v>
      </c>
      <c r="B367" s="6" t="s">
        <v>327</v>
      </c>
      <c r="C367" s="23" t="s">
        <v>17</v>
      </c>
      <c r="D367" s="23" t="s">
        <v>34</v>
      </c>
      <c r="E367" s="4">
        <v>74.8</v>
      </c>
      <c r="F367" s="5">
        <v>0.065</v>
      </c>
      <c r="G367" s="24">
        <v>79.66199999999999</v>
      </c>
      <c r="H367" s="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6">
        <v>282.0</v>
      </c>
      <c r="B368" s="35" t="s">
        <v>328</v>
      </c>
      <c r="C368" s="27" t="s">
        <v>17</v>
      </c>
      <c r="D368" s="27" t="s">
        <v>34</v>
      </c>
      <c r="E368" s="28">
        <v>150.46</v>
      </c>
      <c r="F368" s="29">
        <v>0.065</v>
      </c>
      <c r="G368" s="30">
        <v>160.2399</v>
      </c>
      <c r="H368" s="31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3">
        <v>280.0</v>
      </c>
      <c r="B369" s="6" t="s">
        <v>329</v>
      </c>
      <c r="C369" s="23" t="s">
        <v>17</v>
      </c>
      <c r="D369" s="23" t="s">
        <v>11</v>
      </c>
      <c r="E369" s="4">
        <v>78.74</v>
      </c>
      <c r="F369" s="5">
        <v>0.065</v>
      </c>
      <c r="G369" s="24">
        <v>83.8581</v>
      </c>
      <c r="H369" s="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6">
        <v>283.0</v>
      </c>
      <c r="B370" s="35" t="s">
        <v>330</v>
      </c>
      <c r="C370" s="27" t="s">
        <v>17</v>
      </c>
      <c r="D370" s="27" t="s">
        <v>11</v>
      </c>
      <c r="E370" s="28">
        <v>144.15</v>
      </c>
      <c r="F370" s="29">
        <v>0.065</v>
      </c>
      <c r="G370" s="30">
        <v>153.51975000000002</v>
      </c>
      <c r="H370" s="31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3">
        <v>1211.0</v>
      </c>
      <c r="B371" s="6" t="s">
        <v>331</v>
      </c>
      <c r="C371" s="23" t="s">
        <v>124</v>
      </c>
      <c r="D371" s="23" t="s">
        <v>11</v>
      </c>
      <c r="E371" s="4">
        <v>293.55</v>
      </c>
      <c r="F371" s="5">
        <v>0.065</v>
      </c>
      <c r="G371" s="24">
        <v>312.63075000000003</v>
      </c>
      <c r="H371" s="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6">
        <v>284.0</v>
      </c>
      <c r="B372" s="35" t="s">
        <v>332</v>
      </c>
      <c r="C372" s="27" t="s">
        <v>17</v>
      </c>
      <c r="D372" s="27" t="s">
        <v>11</v>
      </c>
      <c r="E372" s="28">
        <v>210.4</v>
      </c>
      <c r="F372" s="29">
        <v>0.065</v>
      </c>
      <c r="G372" s="30">
        <v>224.076</v>
      </c>
      <c r="H372" s="31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3">
        <v>285.0</v>
      </c>
      <c r="B373" s="6" t="s">
        <v>333</v>
      </c>
      <c r="C373" s="23" t="s">
        <v>10</v>
      </c>
      <c r="D373" s="23" t="s">
        <v>11</v>
      </c>
      <c r="E373" s="4">
        <v>291.79</v>
      </c>
      <c r="F373" s="5">
        <v>0.065</v>
      </c>
      <c r="G373" s="24">
        <v>310.75635</v>
      </c>
      <c r="H373" s="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6">
        <v>286.0</v>
      </c>
      <c r="B374" s="35" t="s">
        <v>334</v>
      </c>
      <c r="C374" s="27" t="s">
        <v>10</v>
      </c>
      <c r="D374" s="27" t="s">
        <v>11</v>
      </c>
      <c r="E374" s="28">
        <v>387.39</v>
      </c>
      <c r="F374" s="29">
        <v>0.065</v>
      </c>
      <c r="G374" s="30">
        <v>412.57034999999996</v>
      </c>
      <c r="H374" s="31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3"/>
      <c r="B375" s="6"/>
      <c r="C375" s="23"/>
      <c r="D375" s="23"/>
      <c r="E375" s="4"/>
      <c r="F375" s="5"/>
      <c r="G375" s="24"/>
      <c r="H375" s="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3"/>
      <c r="B376" s="19" t="s">
        <v>335</v>
      </c>
      <c r="C376" s="23"/>
      <c r="D376" s="23"/>
      <c r="E376" s="4"/>
      <c r="F376" s="48"/>
      <c r="G376" s="38"/>
      <c r="H376" s="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3">
        <v>806.0</v>
      </c>
      <c r="B377" s="6" t="s">
        <v>336</v>
      </c>
      <c r="C377" s="23" t="s">
        <v>17</v>
      </c>
      <c r="D377" s="23" t="s">
        <v>11</v>
      </c>
      <c r="E377" s="4">
        <v>89.65</v>
      </c>
      <c r="F377" s="5">
        <v>0.065</v>
      </c>
      <c r="G377" s="24">
        <v>95.47725000000001</v>
      </c>
      <c r="H377" s="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6">
        <v>808.0</v>
      </c>
      <c r="B378" s="35" t="s">
        <v>337</v>
      </c>
      <c r="C378" s="27" t="s">
        <v>17</v>
      </c>
      <c r="D378" s="27" t="s">
        <v>11</v>
      </c>
      <c r="E378" s="28">
        <v>137.83</v>
      </c>
      <c r="F378" s="29">
        <v>0.065</v>
      </c>
      <c r="G378" s="30">
        <v>146.78895</v>
      </c>
      <c r="H378" s="31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3"/>
      <c r="B379" s="6"/>
      <c r="C379" s="23"/>
      <c r="D379" s="23"/>
      <c r="E379" s="4"/>
      <c r="F379" s="5"/>
      <c r="G379" s="24"/>
      <c r="H379" s="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3"/>
      <c r="B380" s="19" t="s">
        <v>338</v>
      </c>
      <c r="C380" s="23"/>
      <c r="D380" s="23"/>
      <c r="E380" s="4"/>
      <c r="F380" s="48"/>
      <c r="G380" s="38"/>
      <c r="H380" s="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3">
        <v>2761.0</v>
      </c>
      <c r="B381" s="6" t="s">
        <v>339</v>
      </c>
      <c r="C381" s="23" t="s">
        <v>10</v>
      </c>
      <c r="D381" s="23" t="s">
        <v>11</v>
      </c>
      <c r="E381" s="4">
        <v>486.59</v>
      </c>
      <c r="F381" s="5">
        <v>0.065</v>
      </c>
      <c r="G381" s="24">
        <v>518.21835</v>
      </c>
      <c r="H381" s="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3"/>
      <c r="B382" s="6"/>
      <c r="C382" s="23"/>
      <c r="D382" s="23"/>
      <c r="E382" s="4"/>
      <c r="F382" s="5"/>
      <c r="G382" s="24"/>
      <c r="H382" s="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3"/>
      <c r="B383" s="19" t="s">
        <v>340</v>
      </c>
      <c r="C383" s="23"/>
      <c r="D383" s="23"/>
      <c r="E383" s="4"/>
      <c r="F383" s="48"/>
      <c r="G383" s="38"/>
      <c r="H383" s="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1">
        <v>434.0</v>
      </c>
      <c r="B384" s="6" t="s">
        <v>341</v>
      </c>
      <c r="C384" s="23" t="s">
        <v>10</v>
      </c>
      <c r="D384" s="23" t="s">
        <v>58</v>
      </c>
      <c r="E384" s="4">
        <v>225.99</v>
      </c>
      <c r="F384" s="5">
        <v>0.065</v>
      </c>
      <c r="G384" s="24">
        <v>240.67935</v>
      </c>
      <c r="H384" s="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5">
        <v>731.0</v>
      </c>
      <c r="B385" s="35" t="s">
        <v>342</v>
      </c>
      <c r="C385" s="27" t="s">
        <v>10</v>
      </c>
      <c r="D385" s="27" t="s">
        <v>58</v>
      </c>
      <c r="E385" s="28">
        <v>239.09</v>
      </c>
      <c r="F385" s="29">
        <v>0.065</v>
      </c>
      <c r="G385" s="30">
        <v>254.63085</v>
      </c>
      <c r="H385" s="31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3"/>
      <c r="B386" s="6"/>
      <c r="C386" s="23"/>
      <c r="D386" s="23"/>
      <c r="E386" s="4"/>
      <c r="F386" s="5"/>
      <c r="G386" s="24"/>
      <c r="H386" s="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4"/>
      <c r="B387" s="37" t="s">
        <v>343</v>
      </c>
      <c r="C387" s="23"/>
      <c r="D387" s="23"/>
      <c r="E387" s="4"/>
      <c r="F387" s="48"/>
      <c r="G387" s="38"/>
      <c r="H387" s="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1">
        <v>2090.0</v>
      </c>
      <c r="B388" s="6" t="s">
        <v>344</v>
      </c>
      <c r="C388" s="23" t="s">
        <v>17</v>
      </c>
      <c r="D388" s="23" t="s">
        <v>58</v>
      </c>
      <c r="E388" s="4">
        <v>104.77</v>
      </c>
      <c r="F388" s="5">
        <v>0.065</v>
      </c>
      <c r="G388" s="24">
        <v>111.58005</v>
      </c>
      <c r="H388" s="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5">
        <v>2091.0</v>
      </c>
      <c r="B389" s="35" t="s">
        <v>345</v>
      </c>
      <c r="C389" s="27" t="s">
        <v>17</v>
      </c>
      <c r="D389" s="27" t="s">
        <v>58</v>
      </c>
      <c r="E389" s="28">
        <v>106.73</v>
      </c>
      <c r="F389" s="29">
        <v>0.065</v>
      </c>
      <c r="G389" s="30">
        <v>113.66745</v>
      </c>
      <c r="H389" s="31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21">
        <v>2093.0</v>
      </c>
      <c r="B390" s="6" t="s">
        <v>346</v>
      </c>
      <c r="C390" s="23" t="s">
        <v>17</v>
      </c>
      <c r="D390" s="23" t="s">
        <v>58</v>
      </c>
      <c r="E390" s="4">
        <v>129.68</v>
      </c>
      <c r="F390" s="5">
        <v>0.065</v>
      </c>
      <c r="G390" s="24">
        <v>138.10920000000002</v>
      </c>
      <c r="H390" s="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3"/>
      <c r="B391" s="6"/>
      <c r="C391" s="23"/>
      <c r="D391" s="23"/>
      <c r="E391" s="4"/>
      <c r="F391" s="5"/>
      <c r="G391" s="24"/>
      <c r="H391" s="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3"/>
      <c r="B392" s="19" t="s">
        <v>347</v>
      </c>
      <c r="C392" s="23"/>
      <c r="D392" s="23"/>
      <c r="E392" s="4"/>
      <c r="F392" s="48"/>
      <c r="G392" s="38"/>
      <c r="H392" s="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3">
        <v>296.0</v>
      </c>
      <c r="B393" s="6" t="s">
        <v>348</v>
      </c>
      <c r="C393" s="23" t="s">
        <v>17</v>
      </c>
      <c r="D393" s="23" t="s">
        <v>34</v>
      </c>
      <c r="E393" s="4">
        <v>59.96</v>
      </c>
      <c r="F393" s="5">
        <v>0.065</v>
      </c>
      <c r="G393" s="24">
        <v>63.8574</v>
      </c>
      <c r="H393" s="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6">
        <v>309.0</v>
      </c>
      <c r="B394" s="35" t="s">
        <v>349</v>
      </c>
      <c r="C394" s="27" t="s">
        <v>17</v>
      </c>
      <c r="D394" s="27" t="s">
        <v>102</v>
      </c>
      <c r="E394" s="28">
        <v>59.96</v>
      </c>
      <c r="F394" s="29">
        <v>0.065</v>
      </c>
      <c r="G394" s="30">
        <v>63.8574</v>
      </c>
      <c r="H394" s="31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3">
        <v>1278.0</v>
      </c>
      <c r="B395" s="6" t="s">
        <v>350</v>
      </c>
      <c r="C395" s="23" t="s">
        <v>17</v>
      </c>
      <c r="D395" s="23" t="s">
        <v>11</v>
      </c>
      <c r="E395" s="4">
        <v>56.6</v>
      </c>
      <c r="F395" s="5">
        <v>0.065</v>
      </c>
      <c r="G395" s="24">
        <v>60.279</v>
      </c>
      <c r="H395" s="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6">
        <v>295.0</v>
      </c>
      <c r="B396" s="35" t="s">
        <v>351</v>
      </c>
      <c r="C396" s="27" t="s">
        <v>17</v>
      </c>
      <c r="D396" s="27" t="s">
        <v>11</v>
      </c>
      <c r="E396" s="28">
        <v>59.96</v>
      </c>
      <c r="F396" s="29">
        <v>0.065</v>
      </c>
      <c r="G396" s="30">
        <v>63.8574</v>
      </c>
      <c r="H396" s="31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3">
        <v>297.0</v>
      </c>
      <c r="B397" s="6" t="s">
        <v>352</v>
      </c>
      <c r="C397" s="23" t="s">
        <v>17</v>
      </c>
      <c r="D397" s="23" t="s">
        <v>11</v>
      </c>
      <c r="E397" s="4">
        <v>87.91</v>
      </c>
      <c r="F397" s="5">
        <v>0.065</v>
      </c>
      <c r="G397" s="24">
        <v>93.62415</v>
      </c>
      <c r="H397" s="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6">
        <v>298.0</v>
      </c>
      <c r="B398" s="35" t="s">
        <v>353</v>
      </c>
      <c r="C398" s="27" t="s">
        <v>17</v>
      </c>
      <c r="D398" s="27" t="s">
        <v>11</v>
      </c>
      <c r="E398" s="28">
        <v>112.86</v>
      </c>
      <c r="F398" s="29">
        <v>0.065</v>
      </c>
      <c r="G398" s="30">
        <v>120.1959</v>
      </c>
      <c r="H398" s="31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3">
        <v>299.0</v>
      </c>
      <c r="B399" s="6" t="s">
        <v>354</v>
      </c>
      <c r="C399" s="23" t="s">
        <v>17</v>
      </c>
      <c r="D399" s="23" t="s">
        <v>11</v>
      </c>
      <c r="E399" s="4">
        <v>119.69</v>
      </c>
      <c r="F399" s="5">
        <v>0.065</v>
      </c>
      <c r="G399" s="24">
        <v>127.46985</v>
      </c>
      <c r="H399" s="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3"/>
      <c r="B400" s="6"/>
      <c r="C400" s="23"/>
      <c r="D400" s="23"/>
      <c r="E400" s="4"/>
      <c r="F400" s="5"/>
      <c r="G400" s="24"/>
      <c r="H400" s="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9"/>
      <c r="B401" s="19" t="s">
        <v>355</v>
      </c>
      <c r="C401" s="23"/>
      <c r="D401" s="23"/>
      <c r="E401" s="4"/>
      <c r="F401" s="48"/>
      <c r="G401" s="38"/>
      <c r="H401" s="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1">
        <v>2375.0</v>
      </c>
      <c r="B402" s="6" t="s">
        <v>356</v>
      </c>
      <c r="C402" s="23" t="s">
        <v>10</v>
      </c>
      <c r="D402" s="23" t="s">
        <v>34</v>
      </c>
      <c r="E402" s="4">
        <v>57.28</v>
      </c>
      <c r="F402" s="5">
        <v>0.065</v>
      </c>
      <c r="G402" s="24">
        <v>61.0032</v>
      </c>
      <c r="H402" s="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5">
        <v>2376.0</v>
      </c>
      <c r="B403" s="35" t="s">
        <v>357</v>
      </c>
      <c r="C403" s="27" t="s">
        <v>10</v>
      </c>
      <c r="D403" s="27" t="s">
        <v>11</v>
      </c>
      <c r="E403" s="28">
        <v>65.87</v>
      </c>
      <c r="F403" s="29">
        <v>0.065</v>
      </c>
      <c r="G403" s="30">
        <v>70.15155</v>
      </c>
      <c r="H403" s="31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21">
        <v>2515.0</v>
      </c>
      <c r="B404" s="6" t="s">
        <v>358</v>
      </c>
      <c r="C404" s="23" t="s">
        <v>10</v>
      </c>
      <c r="D404" s="23" t="s">
        <v>11</v>
      </c>
      <c r="E404" s="4">
        <v>76.49</v>
      </c>
      <c r="F404" s="5">
        <v>0.065</v>
      </c>
      <c r="G404" s="24">
        <v>81.46185</v>
      </c>
      <c r="H404" s="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5">
        <v>2377.0</v>
      </c>
      <c r="B405" s="35" t="s">
        <v>359</v>
      </c>
      <c r="C405" s="27" t="s">
        <v>10</v>
      </c>
      <c r="D405" s="27" t="s">
        <v>11</v>
      </c>
      <c r="E405" s="28">
        <v>35.63</v>
      </c>
      <c r="F405" s="29">
        <v>0.065</v>
      </c>
      <c r="G405" s="30">
        <v>37.94595</v>
      </c>
      <c r="H405" s="31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50" t="s">
        <v>360</v>
      </c>
      <c r="B406" s="50"/>
      <c r="C406" s="23"/>
      <c r="D406" s="23"/>
      <c r="E406" s="4"/>
      <c r="F406" s="48"/>
      <c r="G406" s="38"/>
      <c r="H406" s="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1">
        <v>2379.0</v>
      </c>
      <c r="B407" s="6" t="s">
        <v>361</v>
      </c>
      <c r="C407" s="23" t="s">
        <v>10</v>
      </c>
      <c r="D407" s="23" t="s">
        <v>58</v>
      </c>
      <c r="E407" s="4">
        <v>38.37</v>
      </c>
      <c r="F407" s="5">
        <v>0.065</v>
      </c>
      <c r="G407" s="24">
        <v>40.86405</v>
      </c>
      <c r="H407" s="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5">
        <v>2500.0</v>
      </c>
      <c r="B408" s="35" t="s">
        <v>362</v>
      </c>
      <c r="C408" s="27" t="s">
        <v>10</v>
      </c>
      <c r="D408" s="27" t="s">
        <v>58</v>
      </c>
      <c r="E408" s="28">
        <v>38.37</v>
      </c>
      <c r="F408" s="29">
        <v>0.065</v>
      </c>
      <c r="G408" s="30">
        <v>40.86405</v>
      </c>
      <c r="H408" s="31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3"/>
      <c r="B409" s="6"/>
      <c r="C409" s="23"/>
      <c r="D409" s="23"/>
      <c r="E409" s="4"/>
      <c r="F409" s="5"/>
      <c r="G409" s="24"/>
      <c r="H409" s="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6"/>
      <c r="B410" s="18" t="s">
        <v>363</v>
      </c>
      <c r="C410" s="3"/>
      <c r="D410" s="3"/>
      <c r="E410" s="4"/>
      <c r="F410" s="48"/>
      <c r="G410" s="38"/>
      <c r="H410" s="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3"/>
      <c r="B411" s="19" t="s">
        <v>364</v>
      </c>
      <c r="C411" s="23"/>
      <c r="D411" s="23"/>
      <c r="E411" s="4"/>
      <c r="F411" s="48"/>
      <c r="G411" s="38"/>
      <c r="H411" s="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1">
        <v>2737.0</v>
      </c>
      <c r="B412" s="6" t="s">
        <v>365</v>
      </c>
      <c r="C412" s="23" t="s">
        <v>10</v>
      </c>
      <c r="D412" s="23" t="s">
        <v>22</v>
      </c>
      <c r="E412" s="4">
        <v>157.08</v>
      </c>
      <c r="F412" s="5">
        <v>0.13</v>
      </c>
      <c r="G412" s="24">
        <v>177.5004</v>
      </c>
      <c r="H412" s="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5">
        <v>968.0</v>
      </c>
      <c r="B413" s="35" t="s">
        <v>366</v>
      </c>
      <c r="C413" s="27" t="s">
        <v>10</v>
      </c>
      <c r="D413" s="27" t="s">
        <v>22</v>
      </c>
      <c r="E413" s="28">
        <v>216.2</v>
      </c>
      <c r="F413" s="29">
        <v>0.13</v>
      </c>
      <c r="G413" s="30">
        <v>244.30599999999998</v>
      </c>
      <c r="H413" s="31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21">
        <v>2735.0</v>
      </c>
      <c r="B414" s="6" t="s">
        <v>367</v>
      </c>
      <c r="C414" s="23" t="s">
        <v>10</v>
      </c>
      <c r="D414" s="23" t="s">
        <v>22</v>
      </c>
      <c r="E414" s="4">
        <v>493.98</v>
      </c>
      <c r="F414" s="5">
        <v>0.13</v>
      </c>
      <c r="G414" s="24">
        <v>558.1974</v>
      </c>
      <c r="H414" s="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5">
        <v>945.0</v>
      </c>
      <c r="B415" s="35" t="s">
        <v>368</v>
      </c>
      <c r="C415" s="27" t="s">
        <v>17</v>
      </c>
      <c r="D415" s="27" t="s">
        <v>34</v>
      </c>
      <c r="E415" s="28">
        <v>70.6</v>
      </c>
      <c r="F415" s="29">
        <v>0.065</v>
      </c>
      <c r="G415" s="30">
        <v>75.189</v>
      </c>
      <c r="H415" s="31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21">
        <v>948.0</v>
      </c>
      <c r="B416" s="6" t="s">
        <v>369</v>
      </c>
      <c r="C416" s="23" t="s">
        <v>10</v>
      </c>
      <c r="D416" s="23" t="s">
        <v>34</v>
      </c>
      <c r="E416" s="4">
        <v>147.5</v>
      </c>
      <c r="F416" s="5">
        <v>0.065</v>
      </c>
      <c r="G416" s="24">
        <v>157.0875</v>
      </c>
      <c r="H416" s="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5">
        <v>942.0</v>
      </c>
      <c r="B417" s="35" t="s">
        <v>370</v>
      </c>
      <c r="C417" s="27" t="s">
        <v>17</v>
      </c>
      <c r="D417" s="27" t="s">
        <v>11</v>
      </c>
      <c r="E417" s="28">
        <v>71.2</v>
      </c>
      <c r="F417" s="29">
        <v>0.065</v>
      </c>
      <c r="G417" s="30">
        <v>75.828</v>
      </c>
      <c r="H417" s="31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21">
        <v>940.0</v>
      </c>
      <c r="B418" s="6" t="s">
        <v>371</v>
      </c>
      <c r="C418" s="23" t="s">
        <v>17</v>
      </c>
      <c r="D418" s="23" t="s">
        <v>11</v>
      </c>
      <c r="E418" s="4">
        <v>91.49</v>
      </c>
      <c r="F418" s="5">
        <v>0.065</v>
      </c>
      <c r="G418" s="24">
        <v>97.43684999999999</v>
      </c>
      <c r="H418" s="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5">
        <v>983.0</v>
      </c>
      <c r="B419" s="35" t="s">
        <v>372</v>
      </c>
      <c r="C419" s="27" t="s">
        <v>373</v>
      </c>
      <c r="D419" s="27" t="s">
        <v>11</v>
      </c>
      <c r="E419" s="28">
        <v>58.86</v>
      </c>
      <c r="F419" s="29">
        <v>0.065</v>
      </c>
      <c r="G419" s="30">
        <v>62.6859</v>
      </c>
      <c r="H419" s="31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21">
        <v>891.0</v>
      </c>
      <c r="B420" s="6" t="s">
        <v>374</v>
      </c>
      <c r="C420" s="23" t="s">
        <v>10</v>
      </c>
      <c r="D420" s="23" t="s">
        <v>11</v>
      </c>
      <c r="E420" s="4">
        <v>180.53</v>
      </c>
      <c r="F420" s="5">
        <v>0.065</v>
      </c>
      <c r="G420" s="24">
        <v>192.26445</v>
      </c>
      <c r="H420" s="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5">
        <v>943.0</v>
      </c>
      <c r="B421" s="35" t="s">
        <v>375</v>
      </c>
      <c r="C421" s="27" t="s">
        <v>10</v>
      </c>
      <c r="D421" s="27" t="s">
        <v>11</v>
      </c>
      <c r="E421" s="28">
        <v>117.76</v>
      </c>
      <c r="F421" s="29">
        <v>0.065</v>
      </c>
      <c r="G421" s="30">
        <v>125.4144</v>
      </c>
      <c r="H421" s="31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21">
        <v>939.0</v>
      </c>
      <c r="B422" s="6" t="s">
        <v>376</v>
      </c>
      <c r="C422" s="23" t="s">
        <v>10</v>
      </c>
      <c r="D422" s="23" t="s">
        <v>11</v>
      </c>
      <c r="E422" s="4">
        <v>360.3</v>
      </c>
      <c r="F422" s="5">
        <v>0.065</v>
      </c>
      <c r="G422" s="24">
        <v>383.71950000000004</v>
      </c>
      <c r="H422" s="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5">
        <v>944.0</v>
      </c>
      <c r="B423" s="35" t="s">
        <v>377</v>
      </c>
      <c r="C423" s="27" t="s">
        <v>10</v>
      </c>
      <c r="D423" s="27" t="s">
        <v>11</v>
      </c>
      <c r="E423" s="28">
        <v>437.18</v>
      </c>
      <c r="F423" s="29">
        <v>0.065</v>
      </c>
      <c r="G423" s="30">
        <v>465.5967</v>
      </c>
      <c r="H423" s="31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21">
        <v>2573.0</v>
      </c>
      <c r="B424" s="6" t="s">
        <v>378</v>
      </c>
      <c r="C424" s="23" t="s">
        <v>10</v>
      </c>
      <c r="D424" s="23" t="s">
        <v>11</v>
      </c>
      <c r="E424" s="4">
        <v>158.46</v>
      </c>
      <c r="F424" s="5">
        <v>0.065</v>
      </c>
      <c r="G424" s="24">
        <v>168.75990000000002</v>
      </c>
      <c r="H424" s="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5">
        <v>2750.0</v>
      </c>
      <c r="B425" s="35" t="s">
        <v>379</v>
      </c>
      <c r="C425" s="27" t="s">
        <v>10</v>
      </c>
      <c r="D425" s="27" t="s">
        <v>11</v>
      </c>
      <c r="E425" s="28">
        <v>149.44</v>
      </c>
      <c r="F425" s="29">
        <v>0.065</v>
      </c>
      <c r="G425" s="30">
        <v>159.15359999999998</v>
      </c>
      <c r="H425" s="31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21">
        <v>2751.0</v>
      </c>
      <c r="B426" s="6" t="s">
        <v>380</v>
      </c>
      <c r="C426" s="23" t="s">
        <v>10</v>
      </c>
      <c r="D426" s="23" t="s">
        <v>11</v>
      </c>
      <c r="E426" s="4">
        <v>302.02</v>
      </c>
      <c r="F426" s="5">
        <v>0.065</v>
      </c>
      <c r="G426" s="24">
        <v>321.6513</v>
      </c>
      <c r="H426" s="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5">
        <v>991.0</v>
      </c>
      <c r="B427" s="35" t="s">
        <v>381</v>
      </c>
      <c r="C427" s="27" t="s">
        <v>10</v>
      </c>
      <c r="D427" s="27" t="s">
        <v>11</v>
      </c>
      <c r="E427" s="28">
        <v>860.51</v>
      </c>
      <c r="F427" s="29">
        <v>0.065</v>
      </c>
      <c r="G427" s="30">
        <v>916.44315</v>
      </c>
      <c r="H427" s="31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21">
        <v>2831.0</v>
      </c>
      <c r="B428" s="6" t="s">
        <v>382</v>
      </c>
      <c r="C428" s="23" t="s">
        <v>208</v>
      </c>
      <c r="D428" s="23" t="s">
        <v>11</v>
      </c>
      <c r="E428" s="4">
        <v>2462.8</v>
      </c>
      <c r="F428" s="5">
        <v>0.065</v>
      </c>
      <c r="G428" s="24">
        <v>2622.882</v>
      </c>
      <c r="H428" s="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3"/>
      <c r="B429" s="6"/>
      <c r="C429" s="23"/>
      <c r="D429" s="23"/>
      <c r="E429" s="4"/>
      <c r="F429" s="5"/>
      <c r="G429" s="24"/>
      <c r="H429" s="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3"/>
      <c r="B430" s="19" t="s">
        <v>383</v>
      </c>
      <c r="C430" s="23"/>
      <c r="D430" s="23"/>
      <c r="E430" s="4"/>
      <c r="F430" s="48"/>
      <c r="G430" s="38"/>
      <c r="H430" s="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3">
        <v>1474.0</v>
      </c>
      <c r="B431" s="6" t="s">
        <v>384</v>
      </c>
      <c r="C431" s="23" t="s">
        <v>10</v>
      </c>
      <c r="D431" s="23" t="s">
        <v>34</v>
      </c>
      <c r="E431" s="4">
        <v>79.16</v>
      </c>
      <c r="F431" s="5">
        <v>0.065</v>
      </c>
      <c r="G431" s="24">
        <v>84.30539999999999</v>
      </c>
      <c r="H431" s="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6">
        <v>981.0</v>
      </c>
      <c r="B432" s="35" t="s">
        <v>385</v>
      </c>
      <c r="C432" s="27" t="s">
        <v>10</v>
      </c>
      <c r="D432" s="27" t="s">
        <v>34</v>
      </c>
      <c r="E432" s="28">
        <v>88.1</v>
      </c>
      <c r="F432" s="29">
        <v>0.065</v>
      </c>
      <c r="G432" s="30">
        <v>93.8265</v>
      </c>
      <c r="H432" s="31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3">
        <v>1473.0</v>
      </c>
      <c r="B433" s="6" t="s">
        <v>386</v>
      </c>
      <c r="C433" s="23" t="s">
        <v>114</v>
      </c>
      <c r="D433" s="23" t="s">
        <v>34</v>
      </c>
      <c r="E433" s="4">
        <v>151.83</v>
      </c>
      <c r="F433" s="5">
        <v>0.065</v>
      </c>
      <c r="G433" s="24">
        <v>161.69895000000002</v>
      </c>
      <c r="H433" s="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6">
        <v>966.0</v>
      </c>
      <c r="B434" s="35" t="s">
        <v>387</v>
      </c>
      <c r="C434" s="27" t="s">
        <v>10</v>
      </c>
      <c r="D434" s="27" t="s">
        <v>34</v>
      </c>
      <c r="E434" s="28">
        <v>151.83</v>
      </c>
      <c r="F434" s="29">
        <v>0.065</v>
      </c>
      <c r="G434" s="30">
        <v>161.69895000000002</v>
      </c>
      <c r="H434" s="31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3">
        <v>965.0</v>
      </c>
      <c r="B435" s="6" t="s">
        <v>388</v>
      </c>
      <c r="C435" s="23" t="s">
        <v>10</v>
      </c>
      <c r="D435" s="23" t="s">
        <v>34</v>
      </c>
      <c r="E435" s="4">
        <v>218.56</v>
      </c>
      <c r="F435" s="5">
        <v>0.065</v>
      </c>
      <c r="G435" s="24">
        <v>232.7664</v>
      </c>
      <c r="H435" s="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6">
        <v>1005.0</v>
      </c>
      <c r="B436" s="35" t="s">
        <v>389</v>
      </c>
      <c r="C436" s="27" t="s">
        <v>10</v>
      </c>
      <c r="D436" s="27" t="s">
        <v>34</v>
      </c>
      <c r="E436" s="28">
        <v>369.85</v>
      </c>
      <c r="F436" s="29">
        <v>0.065</v>
      </c>
      <c r="G436" s="30">
        <v>393.89025000000004</v>
      </c>
      <c r="H436" s="31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3">
        <v>1571.0</v>
      </c>
      <c r="B437" s="6" t="s">
        <v>390</v>
      </c>
      <c r="C437" s="23" t="s">
        <v>10</v>
      </c>
      <c r="D437" s="23" t="s">
        <v>34</v>
      </c>
      <c r="E437" s="4">
        <v>369.85</v>
      </c>
      <c r="F437" s="5">
        <v>0.065</v>
      </c>
      <c r="G437" s="24">
        <v>393.89025000000004</v>
      </c>
      <c r="H437" s="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6">
        <v>2115.0</v>
      </c>
      <c r="B438" s="35" t="s">
        <v>391</v>
      </c>
      <c r="C438" s="27" t="s">
        <v>10</v>
      </c>
      <c r="D438" s="27" t="s">
        <v>11</v>
      </c>
      <c r="E438" s="28">
        <v>109.55</v>
      </c>
      <c r="F438" s="29">
        <v>0.065</v>
      </c>
      <c r="G438" s="30">
        <v>116.67075</v>
      </c>
      <c r="H438" s="31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3">
        <v>2571.0</v>
      </c>
      <c r="B439" s="6" t="s">
        <v>392</v>
      </c>
      <c r="C439" s="23" t="s">
        <v>10</v>
      </c>
      <c r="D439" s="23" t="s">
        <v>11</v>
      </c>
      <c r="E439" s="4">
        <v>253.7</v>
      </c>
      <c r="F439" s="5">
        <v>0.065</v>
      </c>
      <c r="G439" s="24">
        <v>270.1905</v>
      </c>
      <c r="H439" s="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3"/>
      <c r="B440" s="6"/>
      <c r="C440" s="23"/>
      <c r="D440" s="23"/>
      <c r="E440" s="4"/>
      <c r="F440" s="5"/>
      <c r="G440" s="24"/>
      <c r="H440" s="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3"/>
      <c r="B441" s="19" t="s">
        <v>393</v>
      </c>
      <c r="C441" s="23"/>
      <c r="D441" s="23"/>
      <c r="E441" s="4"/>
      <c r="F441" s="48"/>
      <c r="G441" s="38"/>
      <c r="H441" s="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3">
        <v>986.0</v>
      </c>
      <c r="B442" s="6" t="s">
        <v>394</v>
      </c>
      <c r="C442" s="23" t="s">
        <v>17</v>
      </c>
      <c r="D442" s="23" t="s">
        <v>34</v>
      </c>
      <c r="E442" s="4">
        <v>55.6</v>
      </c>
      <c r="F442" s="5">
        <v>0.065</v>
      </c>
      <c r="G442" s="24">
        <v>59.214</v>
      </c>
      <c r="H442" s="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6">
        <v>2832.0</v>
      </c>
      <c r="B443" s="35" t="s">
        <v>395</v>
      </c>
      <c r="C443" s="27" t="s">
        <v>17</v>
      </c>
      <c r="D443" s="27" t="s">
        <v>34</v>
      </c>
      <c r="E443" s="28">
        <v>116.48</v>
      </c>
      <c r="F443" s="29">
        <v>0.065</v>
      </c>
      <c r="G443" s="30">
        <v>124.05120000000001</v>
      </c>
      <c r="H443" s="31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3">
        <v>903.0</v>
      </c>
      <c r="B444" s="6" t="s">
        <v>396</v>
      </c>
      <c r="C444" s="23" t="s">
        <v>17</v>
      </c>
      <c r="D444" s="23" t="s">
        <v>34</v>
      </c>
      <c r="E444" s="4">
        <v>166.73</v>
      </c>
      <c r="F444" s="5">
        <v>0.065</v>
      </c>
      <c r="G444" s="24">
        <v>177.56744999999998</v>
      </c>
      <c r="H444" s="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6">
        <v>985.0</v>
      </c>
      <c r="B445" s="35" t="s">
        <v>397</v>
      </c>
      <c r="C445" s="27" t="s">
        <v>17</v>
      </c>
      <c r="D445" s="27" t="s">
        <v>11</v>
      </c>
      <c r="E445" s="28">
        <v>55.59</v>
      </c>
      <c r="F445" s="29">
        <v>0.065</v>
      </c>
      <c r="G445" s="30">
        <v>59.20335</v>
      </c>
      <c r="H445" s="31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3">
        <v>908.0</v>
      </c>
      <c r="B446" s="6" t="s">
        <v>398</v>
      </c>
      <c r="C446" s="23" t="s">
        <v>17</v>
      </c>
      <c r="D446" s="23" t="s">
        <v>11</v>
      </c>
      <c r="E446" s="4">
        <v>123.25</v>
      </c>
      <c r="F446" s="5">
        <v>0.065</v>
      </c>
      <c r="G446" s="24">
        <v>131.26125</v>
      </c>
      <c r="H446" s="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6">
        <v>907.0</v>
      </c>
      <c r="B447" s="35" t="s">
        <v>399</v>
      </c>
      <c r="C447" s="27" t="s">
        <v>17</v>
      </c>
      <c r="D447" s="27" t="s">
        <v>11</v>
      </c>
      <c r="E447" s="28">
        <v>281.69</v>
      </c>
      <c r="F447" s="29">
        <v>0.065</v>
      </c>
      <c r="G447" s="30">
        <v>299.99985</v>
      </c>
      <c r="H447" s="31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3">
        <v>905.0</v>
      </c>
      <c r="B448" s="6" t="s">
        <v>400</v>
      </c>
      <c r="C448" s="23" t="s">
        <v>17</v>
      </c>
      <c r="D448" s="23" t="s">
        <v>11</v>
      </c>
      <c r="E448" s="4">
        <v>328.91</v>
      </c>
      <c r="F448" s="5">
        <v>0.065</v>
      </c>
      <c r="G448" s="24">
        <v>350.28915</v>
      </c>
      <c r="H448" s="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6">
        <v>1864.0</v>
      </c>
      <c r="B449" s="35" t="s">
        <v>401</v>
      </c>
      <c r="C449" s="27" t="s">
        <v>17</v>
      </c>
      <c r="D449" s="27" t="s">
        <v>11</v>
      </c>
      <c r="E449" s="28">
        <v>474.85</v>
      </c>
      <c r="F449" s="29">
        <v>0.065</v>
      </c>
      <c r="G449" s="30">
        <v>505.71525</v>
      </c>
      <c r="H449" s="31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3"/>
      <c r="B450" s="6"/>
      <c r="C450" s="23"/>
      <c r="D450" s="23"/>
      <c r="E450" s="4"/>
      <c r="F450" s="5"/>
      <c r="G450" s="24"/>
      <c r="H450" s="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3"/>
      <c r="B451" s="19" t="s">
        <v>402</v>
      </c>
      <c r="C451" s="23"/>
      <c r="D451" s="23"/>
      <c r="E451" s="4"/>
      <c r="F451" s="48"/>
      <c r="G451" s="38"/>
      <c r="H451" s="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3">
        <v>1799.0</v>
      </c>
      <c r="B452" s="6" t="s">
        <v>403</v>
      </c>
      <c r="C452" s="23" t="s">
        <v>10</v>
      </c>
      <c r="D452" s="23" t="s">
        <v>34</v>
      </c>
      <c r="E452" s="4">
        <v>60.89</v>
      </c>
      <c r="F452" s="5">
        <v>0.065</v>
      </c>
      <c r="G452" s="24">
        <v>64.84785</v>
      </c>
      <c r="H452" s="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6">
        <v>2631.0</v>
      </c>
      <c r="B453" s="35" t="s">
        <v>404</v>
      </c>
      <c r="C453" s="27" t="s">
        <v>10</v>
      </c>
      <c r="D453" s="27" t="s">
        <v>34</v>
      </c>
      <c r="E453" s="28">
        <v>101.54</v>
      </c>
      <c r="F453" s="29">
        <v>0.065</v>
      </c>
      <c r="G453" s="30">
        <v>108.1401</v>
      </c>
      <c r="H453" s="31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3">
        <v>2708.0</v>
      </c>
      <c r="B454" s="6" t="s">
        <v>405</v>
      </c>
      <c r="C454" s="23" t="s">
        <v>10</v>
      </c>
      <c r="D454" s="23" t="s">
        <v>34</v>
      </c>
      <c r="E454" s="4">
        <v>219.62</v>
      </c>
      <c r="F454" s="5">
        <v>0.065</v>
      </c>
      <c r="G454" s="24">
        <v>233.89530000000002</v>
      </c>
      <c r="H454" s="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6">
        <v>1315.0</v>
      </c>
      <c r="B455" s="35" t="s">
        <v>406</v>
      </c>
      <c r="C455" s="27" t="s">
        <v>10</v>
      </c>
      <c r="D455" s="27" t="s">
        <v>102</v>
      </c>
      <c r="E455" s="28">
        <v>60.89</v>
      </c>
      <c r="F455" s="29">
        <v>0.065</v>
      </c>
      <c r="G455" s="30">
        <v>64.84785</v>
      </c>
      <c r="H455" s="31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3">
        <v>2707.0</v>
      </c>
      <c r="B456" s="6" t="s">
        <v>407</v>
      </c>
      <c r="C456" s="23" t="s">
        <v>10</v>
      </c>
      <c r="D456" s="23" t="s">
        <v>102</v>
      </c>
      <c r="E456" s="4">
        <v>101.68</v>
      </c>
      <c r="F456" s="5">
        <v>0.065</v>
      </c>
      <c r="G456" s="24">
        <v>108.28920000000001</v>
      </c>
      <c r="H456" s="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6">
        <v>1314.0</v>
      </c>
      <c r="B457" s="35" t="s">
        <v>408</v>
      </c>
      <c r="C457" s="27" t="s">
        <v>114</v>
      </c>
      <c r="D457" s="27" t="s">
        <v>11</v>
      </c>
      <c r="E457" s="28">
        <v>61.01</v>
      </c>
      <c r="F457" s="29">
        <v>0.065</v>
      </c>
      <c r="G457" s="30">
        <v>64.97565</v>
      </c>
      <c r="H457" s="31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3">
        <v>2532.0</v>
      </c>
      <c r="B458" s="6" t="s">
        <v>409</v>
      </c>
      <c r="C458" s="23" t="s">
        <v>10</v>
      </c>
      <c r="D458" s="23" t="s">
        <v>11</v>
      </c>
      <c r="E458" s="4">
        <v>101.54</v>
      </c>
      <c r="F458" s="5">
        <v>0.065</v>
      </c>
      <c r="G458" s="24">
        <v>108.1401</v>
      </c>
      <c r="H458" s="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6">
        <v>1316.0</v>
      </c>
      <c r="B459" s="35" t="s">
        <v>410</v>
      </c>
      <c r="C459" s="27" t="s">
        <v>10</v>
      </c>
      <c r="D459" s="27" t="s">
        <v>11</v>
      </c>
      <c r="E459" s="28">
        <v>219.24</v>
      </c>
      <c r="F459" s="29">
        <v>0.065</v>
      </c>
      <c r="G459" s="30">
        <v>233.4906</v>
      </c>
      <c r="H459" s="31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3">
        <v>2788.0</v>
      </c>
      <c r="B460" s="6" t="s">
        <v>411</v>
      </c>
      <c r="C460" s="23" t="s">
        <v>10</v>
      </c>
      <c r="D460" s="23" t="s">
        <v>11</v>
      </c>
      <c r="E460" s="4">
        <v>102.35</v>
      </c>
      <c r="F460" s="5">
        <v>0.065</v>
      </c>
      <c r="G460" s="24">
        <v>109.00274999999999</v>
      </c>
      <c r="H460" s="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6">
        <v>2784.0</v>
      </c>
      <c r="B461" s="35" t="s">
        <v>412</v>
      </c>
      <c r="C461" s="27" t="s">
        <v>413</v>
      </c>
      <c r="D461" s="27" t="s">
        <v>11</v>
      </c>
      <c r="E461" s="28">
        <v>276.29</v>
      </c>
      <c r="F461" s="29">
        <v>0.065</v>
      </c>
      <c r="G461" s="30">
        <v>294.24885</v>
      </c>
      <c r="H461" s="31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3">
        <v>2800.0</v>
      </c>
      <c r="B462" s="6" t="s">
        <v>414</v>
      </c>
      <c r="C462" s="23" t="s">
        <v>181</v>
      </c>
      <c r="D462" s="23" t="s">
        <v>11</v>
      </c>
      <c r="E462" s="4">
        <v>569.57</v>
      </c>
      <c r="F462" s="5">
        <v>0.065</v>
      </c>
      <c r="G462" s="24">
        <v>606.5920500000001</v>
      </c>
      <c r="H462" s="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6">
        <v>2632.0</v>
      </c>
      <c r="B463" s="35" t="s">
        <v>415</v>
      </c>
      <c r="C463" s="27" t="s">
        <v>10</v>
      </c>
      <c r="D463" s="27" t="s">
        <v>11</v>
      </c>
      <c r="E463" s="28">
        <v>1519.48</v>
      </c>
      <c r="F463" s="29">
        <v>0.065</v>
      </c>
      <c r="G463" s="30">
        <v>1618.2462</v>
      </c>
      <c r="H463" s="31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50" t="s">
        <v>416</v>
      </c>
      <c r="B464" s="6"/>
      <c r="C464" s="23"/>
      <c r="D464" s="23"/>
      <c r="E464" s="2"/>
      <c r="F464" s="20"/>
      <c r="G464" s="2"/>
      <c r="H464" s="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3">
        <v>2534.0</v>
      </c>
      <c r="B465" s="6" t="s">
        <v>417</v>
      </c>
      <c r="C465" s="23" t="s">
        <v>10</v>
      </c>
      <c r="D465" s="23" t="s">
        <v>34</v>
      </c>
      <c r="E465" s="4">
        <v>41.34</v>
      </c>
      <c r="F465" s="5">
        <v>0.065</v>
      </c>
      <c r="G465" s="24">
        <v>44.027100000000004</v>
      </c>
      <c r="H465" s="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6">
        <v>2533.0</v>
      </c>
      <c r="B466" s="35" t="s">
        <v>418</v>
      </c>
      <c r="C466" s="27" t="s">
        <v>10</v>
      </c>
      <c r="D466" s="27" t="s">
        <v>11</v>
      </c>
      <c r="E466" s="28">
        <v>41.34</v>
      </c>
      <c r="F466" s="29">
        <v>0.065</v>
      </c>
      <c r="G466" s="30">
        <v>44.027100000000004</v>
      </c>
      <c r="H466" s="31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21"/>
      <c r="B467" s="6"/>
      <c r="C467" s="23"/>
      <c r="D467" s="23"/>
      <c r="E467" s="4"/>
      <c r="F467" s="5"/>
      <c r="G467" s="24"/>
      <c r="H467" s="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3"/>
      <c r="B468" s="37" t="s">
        <v>419</v>
      </c>
      <c r="C468" s="23"/>
      <c r="D468" s="23"/>
      <c r="E468" s="4"/>
      <c r="F468" s="48"/>
      <c r="G468" s="38"/>
      <c r="H468" s="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3">
        <v>2449.0</v>
      </c>
      <c r="B469" s="6" t="s">
        <v>420</v>
      </c>
      <c r="C469" s="23" t="s">
        <v>10</v>
      </c>
      <c r="D469" s="23" t="s">
        <v>34</v>
      </c>
      <c r="E469" s="4">
        <v>95.7</v>
      </c>
      <c r="F469" s="5">
        <v>0.065</v>
      </c>
      <c r="G469" s="24">
        <v>101.9205</v>
      </c>
      <c r="H469" s="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6">
        <v>1985.0</v>
      </c>
      <c r="B470" s="35" t="s">
        <v>421</v>
      </c>
      <c r="C470" s="27" t="s">
        <v>10</v>
      </c>
      <c r="D470" s="27" t="s">
        <v>34</v>
      </c>
      <c r="E470" s="28">
        <v>159.29</v>
      </c>
      <c r="F470" s="29">
        <v>0.065</v>
      </c>
      <c r="G470" s="30">
        <v>169.64385</v>
      </c>
      <c r="H470" s="31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3">
        <v>1986.0</v>
      </c>
      <c r="B471" s="6" t="s">
        <v>422</v>
      </c>
      <c r="C471" s="23" t="s">
        <v>10</v>
      </c>
      <c r="D471" s="23" t="s">
        <v>11</v>
      </c>
      <c r="E471" s="4">
        <v>87.73</v>
      </c>
      <c r="F471" s="5">
        <v>0.065</v>
      </c>
      <c r="G471" s="24">
        <v>93.43245</v>
      </c>
      <c r="H471" s="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6">
        <v>1987.0</v>
      </c>
      <c r="B472" s="35" t="s">
        <v>423</v>
      </c>
      <c r="C472" s="27" t="s">
        <v>10</v>
      </c>
      <c r="D472" s="27" t="s">
        <v>11</v>
      </c>
      <c r="E472" s="28">
        <v>158.99</v>
      </c>
      <c r="F472" s="29">
        <v>0.065</v>
      </c>
      <c r="G472" s="30">
        <v>169.32435</v>
      </c>
      <c r="H472" s="31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3">
        <v>1988.0</v>
      </c>
      <c r="B473" s="6" t="s">
        <v>424</v>
      </c>
      <c r="C473" s="23" t="s">
        <v>10</v>
      </c>
      <c r="D473" s="23" t="s">
        <v>11</v>
      </c>
      <c r="E473" s="4">
        <v>476.84</v>
      </c>
      <c r="F473" s="5">
        <v>0.065</v>
      </c>
      <c r="G473" s="24">
        <v>507.83459999999997</v>
      </c>
      <c r="H473" s="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3"/>
      <c r="B474" s="6"/>
      <c r="C474" s="23"/>
      <c r="D474" s="23"/>
      <c r="E474" s="4"/>
      <c r="F474" s="5"/>
      <c r="G474" s="24"/>
      <c r="H474" s="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3"/>
      <c r="B475" s="19" t="s">
        <v>425</v>
      </c>
      <c r="C475" s="23"/>
      <c r="D475" s="23"/>
      <c r="E475" s="4"/>
      <c r="F475" s="48"/>
      <c r="G475" s="38"/>
      <c r="H475" s="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3">
        <v>2139.0</v>
      </c>
      <c r="B476" s="6" t="s">
        <v>426</v>
      </c>
      <c r="C476" s="23" t="s">
        <v>10</v>
      </c>
      <c r="D476" s="23" t="s">
        <v>22</v>
      </c>
      <c r="E476" s="4">
        <v>100.61</v>
      </c>
      <c r="F476" s="5">
        <v>0.065</v>
      </c>
      <c r="G476" s="24">
        <v>107.14965</v>
      </c>
      <c r="H476" s="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6">
        <v>2451.0</v>
      </c>
      <c r="B477" s="35" t="s">
        <v>427</v>
      </c>
      <c r="C477" s="27" t="s">
        <v>10</v>
      </c>
      <c r="D477" s="27" t="s">
        <v>22</v>
      </c>
      <c r="E477" s="28">
        <v>138.72</v>
      </c>
      <c r="F477" s="29">
        <v>0.065</v>
      </c>
      <c r="G477" s="30">
        <v>147.7368</v>
      </c>
      <c r="H477" s="31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3">
        <v>2142.0</v>
      </c>
      <c r="B478" s="6" t="s">
        <v>428</v>
      </c>
      <c r="C478" s="23" t="s">
        <v>10</v>
      </c>
      <c r="D478" s="23" t="s">
        <v>22</v>
      </c>
      <c r="E478" s="4">
        <v>263.38</v>
      </c>
      <c r="F478" s="5">
        <v>0.065</v>
      </c>
      <c r="G478" s="24">
        <v>280.4997</v>
      </c>
      <c r="H478" s="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6">
        <v>2138.0</v>
      </c>
      <c r="B479" s="35" t="s">
        <v>429</v>
      </c>
      <c r="C479" s="27" t="s">
        <v>430</v>
      </c>
      <c r="D479" s="27" t="s">
        <v>22</v>
      </c>
      <c r="E479" s="28">
        <v>302.53</v>
      </c>
      <c r="F479" s="29">
        <v>0.065</v>
      </c>
      <c r="G479" s="30">
        <v>322.19444999999996</v>
      </c>
      <c r="H479" s="31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3">
        <v>2144.0</v>
      </c>
      <c r="B480" s="6" t="s">
        <v>431</v>
      </c>
      <c r="C480" s="23" t="s">
        <v>432</v>
      </c>
      <c r="D480" s="23" t="s">
        <v>22</v>
      </c>
      <c r="E480" s="4">
        <v>1285.18</v>
      </c>
      <c r="F480" s="5">
        <v>0.065</v>
      </c>
      <c r="G480" s="24">
        <v>1368.7167000000002</v>
      </c>
      <c r="H480" s="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6">
        <v>2351.0</v>
      </c>
      <c r="B481" s="35" t="s">
        <v>433</v>
      </c>
      <c r="C481" s="27" t="s">
        <v>10</v>
      </c>
      <c r="D481" s="27" t="s">
        <v>34</v>
      </c>
      <c r="E481" s="28">
        <v>78.33</v>
      </c>
      <c r="F481" s="29">
        <v>0.065</v>
      </c>
      <c r="G481" s="30">
        <v>83.42145</v>
      </c>
      <c r="H481" s="31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3">
        <v>2552.0</v>
      </c>
      <c r="B482" s="6" t="s">
        <v>434</v>
      </c>
      <c r="C482" s="23" t="s">
        <v>10</v>
      </c>
      <c r="D482" s="23" t="s">
        <v>34</v>
      </c>
      <c r="E482" s="4">
        <v>105.42</v>
      </c>
      <c r="F482" s="5">
        <v>0.065</v>
      </c>
      <c r="G482" s="24">
        <v>112.2723</v>
      </c>
      <c r="H482" s="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6">
        <v>2717.0</v>
      </c>
      <c r="B483" s="35" t="s">
        <v>435</v>
      </c>
      <c r="C483" s="27" t="s">
        <v>10</v>
      </c>
      <c r="D483" s="27" t="s">
        <v>102</v>
      </c>
      <c r="E483" s="28">
        <v>122.37</v>
      </c>
      <c r="F483" s="29">
        <v>0.065</v>
      </c>
      <c r="G483" s="30">
        <v>130.32405</v>
      </c>
      <c r="H483" s="31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3">
        <v>2601.0</v>
      </c>
      <c r="B484" s="6" t="s">
        <v>436</v>
      </c>
      <c r="C484" s="23" t="s">
        <v>181</v>
      </c>
      <c r="D484" s="23" t="s">
        <v>11</v>
      </c>
      <c r="E484" s="4">
        <v>1041.36</v>
      </c>
      <c r="F484" s="5">
        <v>0.065</v>
      </c>
      <c r="G484" s="24">
        <v>1109.0484</v>
      </c>
      <c r="H484" s="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3"/>
      <c r="B485" s="6"/>
      <c r="C485" s="23"/>
      <c r="D485" s="23"/>
      <c r="E485" s="4"/>
      <c r="F485" s="5"/>
      <c r="G485" s="24"/>
      <c r="H485" s="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3"/>
      <c r="B486" s="19" t="s">
        <v>437</v>
      </c>
      <c r="C486" s="23"/>
      <c r="D486" s="23"/>
      <c r="E486" s="4"/>
      <c r="F486" s="5"/>
      <c r="G486" s="24"/>
      <c r="H486" s="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3">
        <v>2763.0</v>
      </c>
      <c r="B487" s="6" t="s">
        <v>438</v>
      </c>
      <c r="C487" s="23" t="s">
        <v>10</v>
      </c>
      <c r="D487" s="23" t="s">
        <v>34</v>
      </c>
      <c r="E487" s="4">
        <v>59.79</v>
      </c>
      <c r="F487" s="5">
        <v>0.065</v>
      </c>
      <c r="G487" s="24">
        <v>63.67635</v>
      </c>
      <c r="H487" s="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6">
        <v>2764.0</v>
      </c>
      <c r="B488" s="35" t="s">
        <v>439</v>
      </c>
      <c r="C488" s="27" t="s">
        <v>10</v>
      </c>
      <c r="D488" s="27" t="s">
        <v>11</v>
      </c>
      <c r="E488" s="28">
        <v>59.79</v>
      </c>
      <c r="F488" s="29">
        <v>0.065</v>
      </c>
      <c r="G488" s="30">
        <v>63.67635</v>
      </c>
      <c r="H488" s="31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3">
        <v>2765.0</v>
      </c>
      <c r="B489" s="6" t="s">
        <v>440</v>
      </c>
      <c r="C489" s="23" t="s">
        <v>10</v>
      </c>
      <c r="D489" s="23" t="s">
        <v>11</v>
      </c>
      <c r="E489" s="4">
        <v>79.93</v>
      </c>
      <c r="F489" s="5">
        <v>0.065</v>
      </c>
      <c r="G489" s="24">
        <v>85.12545</v>
      </c>
      <c r="H489" s="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6">
        <v>2222.0</v>
      </c>
      <c r="B490" s="35" t="s">
        <v>441</v>
      </c>
      <c r="C490" s="27" t="s">
        <v>10</v>
      </c>
      <c r="D490" s="27" t="s">
        <v>11</v>
      </c>
      <c r="E490" s="28">
        <v>91.68</v>
      </c>
      <c r="F490" s="29">
        <v>0.065</v>
      </c>
      <c r="G490" s="30">
        <v>97.6392</v>
      </c>
      <c r="H490" s="31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3">
        <v>2223.0</v>
      </c>
      <c r="B491" s="6" t="s">
        <v>442</v>
      </c>
      <c r="C491" s="23" t="s">
        <v>10</v>
      </c>
      <c r="D491" s="23" t="s">
        <v>11</v>
      </c>
      <c r="E491" s="4">
        <v>113.94</v>
      </c>
      <c r="F491" s="5">
        <v>0.065</v>
      </c>
      <c r="G491" s="24">
        <v>121.34609999999999</v>
      </c>
      <c r="H491" s="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6">
        <v>2653.0</v>
      </c>
      <c r="B492" s="35" t="s">
        <v>443</v>
      </c>
      <c r="C492" s="27" t="s">
        <v>10</v>
      </c>
      <c r="D492" s="27" t="s">
        <v>11</v>
      </c>
      <c r="E492" s="28">
        <v>161.69</v>
      </c>
      <c r="F492" s="29">
        <v>0.065</v>
      </c>
      <c r="G492" s="30">
        <v>172.19985</v>
      </c>
      <c r="H492" s="31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3">
        <v>2224.0</v>
      </c>
      <c r="B493" s="6" t="s">
        <v>444</v>
      </c>
      <c r="C493" s="23" t="s">
        <v>181</v>
      </c>
      <c r="D493" s="23" t="s">
        <v>11</v>
      </c>
      <c r="E493" s="4">
        <v>228.49</v>
      </c>
      <c r="F493" s="5">
        <v>0.065</v>
      </c>
      <c r="G493" s="24">
        <v>243.34185000000002</v>
      </c>
      <c r="H493" s="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6">
        <v>2225.0</v>
      </c>
      <c r="B494" s="35" t="s">
        <v>445</v>
      </c>
      <c r="C494" s="27" t="s">
        <v>181</v>
      </c>
      <c r="D494" s="27" t="s">
        <v>11</v>
      </c>
      <c r="E494" s="28">
        <v>368.71</v>
      </c>
      <c r="F494" s="29">
        <v>0.065</v>
      </c>
      <c r="G494" s="30">
        <v>392.67615</v>
      </c>
      <c r="H494" s="31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3"/>
      <c r="B495" s="6"/>
      <c r="C495" s="23"/>
      <c r="D495" s="23"/>
      <c r="E495" s="4"/>
      <c r="F495" s="5"/>
      <c r="G495" s="24"/>
      <c r="H495" s="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3"/>
      <c r="B496" s="19" t="s">
        <v>446</v>
      </c>
      <c r="C496" s="23"/>
      <c r="D496" s="23"/>
      <c r="E496" s="4"/>
      <c r="F496" s="5"/>
      <c r="G496" s="24"/>
      <c r="H496" s="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3">
        <v>2774.0</v>
      </c>
      <c r="B497" s="6" t="s">
        <v>447</v>
      </c>
      <c r="C497" s="23" t="s">
        <v>10</v>
      </c>
      <c r="D497" s="23" t="s">
        <v>34</v>
      </c>
      <c r="E497" s="4">
        <v>92.29</v>
      </c>
      <c r="F497" s="5">
        <v>0.065</v>
      </c>
      <c r="G497" s="24">
        <v>98.28885000000001</v>
      </c>
      <c r="H497" s="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6">
        <v>2775.0</v>
      </c>
      <c r="B498" s="35" t="s">
        <v>448</v>
      </c>
      <c r="C498" s="27" t="s">
        <v>10</v>
      </c>
      <c r="D498" s="27" t="s">
        <v>11</v>
      </c>
      <c r="E498" s="28">
        <v>92.29</v>
      </c>
      <c r="F498" s="29">
        <v>0.065</v>
      </c>
      <c r="G498" s="30">
        <v>98.28885000000001</v>
      </c>
      <c r="H498" s="31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3">
        <v>2776.0</v>
      </c>
      <c r="B499" s="6" t="s">
        <v>449</v>
      </c>
      <c r="C499" s="23" t="s">
        <v>10</v>
      </c>
      <c r="D499" s="23" t="s">
        <v>11</v>
      </c>
      <c r="E499" s="4">
        <v>188.32</v>
      </c>
      <c r="F499" s="5">
        <v>0.065</v>
      </c>
      <c r="G499" s="24">
        <v>200.5608</v>
      </c>
      <c r="H499" s="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6">
        <v>2777.0</v>
      </c>
      <c r="B500" s="35" t="s">
        <v>450</v>
      </c>
      <c r="C500" s="27" t="s">
        <v>451</v>
      </c>
      <c r="D500" s="27" t="s">
        <v>11</v>
      </c>
      <c r="E500" s="28">
        <v>256.73</v>
      </c>
      <c r="F500" s="29">
        <v>0.065</v>
      </c>
      <c r="G500" s="30">
        <v>273.41745000000003</v>
      </c>
      <c r="H500" s="31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3">
        <v>2778.0</v>
      </c>
      <c r="B501" s="6" t="s">
        <v>452</v>
      </c>
      <c r="C501" s="23" t="s">
        <v>451</v>
      </c>
      <c r="D501" s="23" t="s">
        <v>11</v>
      </c>
      <c r="E501" s="4">
        <v>256.73</v>
      </c>
      <c r="F501" s="5">
        <v>0.065</v>
      </c>
      <c r="G501" s="24">
        <v>273.41745000000003</v>
      </c>
      <c r="H501" s="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3"/>
      <c r="B502" s="6"/>
      <c r="C502" s="23"/>
      <c r="D502" s="23"/>
      <c r="E502" s="4"/>
      <c r="F502" s="5"/>
      <c r="G502" s="24"/>
      <c r="H502" s="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1"/>
      <c r="B503" s="18" t="s">
        <v>453</v>
      </c>
      <c r="C503" s="3"/>
      <c r="D503" s="3"/>
      <c r="E503" s="4"/>
      <c r="F503" s="48"/>
      <c r="G503" s="38"/>
      <c r="H503" s="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3"/>
      <c r="B504" s="19" t="s">
        <v>454</v>
      </c>
      <c r="C504" s="23"/>
      <c r="D504" s="23"/>
      <c r="E504" s="4"/>
      <c r="F504" s="48"/>
      <c r="G504" s="38"/>
      <c r="H504" s="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3">
        <v>2278.0</v>
      </c>
      <c r="B505" s="6" t="s">
        <v>455</v>
      </c>
      <c r="C505" s="23" t="s">
        <v>17</v>
      </c>
      <c r="D505" s="23" t="s">
        <v>34</v>
      </c>
      <c r="E505" s="4">
        <v>203.9</v>
      </c>
      <c r="F505" s="5">
        <v>0.065</v>
      </c>
      <c r="G505" s="24">
        <v>217.1535</v>
      </c>
      <c r="H505" s="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6">
        <v>1035.0</v>
      </c>
      <c r="B506" s="35" t="s">
        <v>456</v>
      </c>
      <c r="C506" s="27" t="s">
        <v>17</v>
      </c>
      <c r="D506" s="27" t="s">
        <v>34</v>
      </c>
      <c r="E506" s="28">
        <v>245.26</v>
      </c>
      <c r="F506" s="29">
        <v>0.065</v>
      </c>
      <c r="G506" s="30">
        <v>261.20189999999997</v>
      </c>
      <c r="H506" s="31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3"/>
      <c r="B507" s="6"/>
      <c r="C507" s="23"/>
      <c r="D507" s="23"/>
      <c r="E507" s="4"/>
      <c r="F507" s="5"/>
      <c r="G507" s="24"/>
      <c r="H507" s="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3"/>
      <c r="B508" s="19" t="s">
        <v>457</v>
      </c>
      <c r="C508" s="23"/>
      <c r="D508" s="23"/>
      <c r="E508" s="4"/>
      <c r="F508" s="48"/>
      <c r="G508" s="38"/>
      <c r="H508" s="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1">
        <v>1039.0</v>
      </c>
      <c r="B509" s="6" t="s">
        <v>458</v>
      </c>
      <c r="C509" s="23" t="s">
        <v>10</v>
      </c>
      <c r="D509" s="23" t="s">
        <v>34</v>
      </c>
      <c r="E509" s="4">
        <v>195.84</v>
      </c>
      <c r="F509" s="5">
        <v>0.065</v>
      </c>
      <c r="G509" s="24">
        <v>208.5696</v>
      </c>
      <c r="H509" s="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3"/>
      <c r="B510" s="6"/>
      <c r="C510" s="23"/>
      <c r="D510" s="23"/>
      <c r="E510" s="4"/>
      <c r="F510" s="5"/>
      <c r="G510" s="24"/>
      <c r="H510" s="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3"/>
      <c r="B511" s="19" t="s">
        <v>459</v>
      </c>
      <c r="C511" s="23"/>
      <c r="D511" s="23"/>
      <c r="E511" s="4"/>
      <c r="F511" s="48"/>
      <c r="G511" s="38"/>
      <c r="H511" s="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1">
        <v>2472.0</v>
      </c>
      <c r="B512" s="6" t="s">
        <v>460</v>
      </c>
      <c r="C512" s="23" t="s">
        <v>17</v>
      </c>
      <c r="D512" s="23" t="s">
        <v>34</v>
      </c>
      <c r="E512" s="4">
        <v>107.47</v>
      </c>
      <c r="F512" s="5">
        <v>0.065</v>
      </c>
      <c r="G512" s="24">
        <v>114.45555</v>
      </c>
      <c r="H512" s="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5">
        <v>552.0</v>
      </c>
      <c r="B513" s="35" t="s">
        <v>461</v>
      </c>
      <c r="C513" s="27" t="s">
        <v>17</v>
      </c>
      <c r="D513" s="27" t="s">
        <v>34</v>
      </c>
      <c r="E513" s="28">
        <v>107.35</v>
      </c>
      <c r="F513" s="29">
        <v>0.065</v>
      </c>
      <c r="G513" s="30">
        <v>114.32775</v>
      </c>
      <c r="H513" s="31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21">
        <v>2734.0</v>
      </c>
      <c r="B514" s="6" t="s">
        <v>462</v>
      </c>
      <c r="C514" s="23" t="s">
        <v>17</v>
      </c>
      <c r="D514" s="23" t="s">
        <v>11</v>
      </c>
      <c r="E514" s="4">
        <v>156.83</v>
      </c>
      <c r="F514" s="5">
        <v>0.065</v>
      </c>
      <c r="G514" s="24">
        <v>167.02395</v>
      </c>
      <c r="H514" s="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3"/>
      <c r="B515" s="6"/>
      <c r="C515" s="23"/>
      <c r="D515" s="23"/>
      <c r="E515" s="4"/>
      <c r="F515" s="5"/>
      <c r="G515" s="24"/>
      <c r="H515" s="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6"/>
      <c r="B516" s="18" t="s">
        <v>463</v>
      </c>
      <c r="C516" s="3"/>
      <c r="D516" s="3"/>
      <c r="E516" s="4"/>
      <c r="F516" s="48"/>
      <c r="G516" s="38"/>
      <c r="H516" s="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3"/>
      <c r="B517" s="19" t="s">
        <v>464</v>
      </c>
      <c r="C517" s="23"/>
      <c r="D517" s="23"/>
      <c r="E517" s="4"/>
      <c r="F517" s="48"/>
      <c r="G517" s="38"/>
      <c r="H517" s="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1">
        <v>2380.0</v>
      </c>
      <c r="B518" s="6" t="s">
        <v>465</v>
      </c>
      <c r="C518" s="23" t="s">
        <v>17</v>
      </c>
      <c r="D518" s="23" t="s">
        <v>34</v>
      </c>
      <c r="E518" s="4">
        <v>162.54</v>
      </c>
      <c r="F518" s="5">
        <v>0.065</v>
      </c>
      <c r="G518" s="24">
        <v>173.1051</v>
      </c>
      <c r="H518" s="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5">
        <v>2381.0</v>
      </c>
      <c r="B519" s="35" t="s">
        <v>466</v>
      </c>
      <c r="C519" s="27" t="s">
        <v>17</v>
      </c>
      <c r="D519" s="27" t="s">
        <v>34</v>
      </c>
      <c r="E519" s="28">
        <v>251.64</v>
      </c>
      <c r="F519" s="29">
        <v>0.065</v>
      </c>
      <c r="G519" s="30">
        <v>267.9966</v>
      </c>
      <c r="H519" s="31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3"/>
      <c r="B520" s="6"/>
      <c r="C520" s="23"/>
      <c r="D520" s="23"/>
      <c r="E520" s="4"/>
      <c r="F520" s="5"/>
      <c r="G520" s="24"/>
      <c r="H520" s="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3"/>
      <c r="B521" s="18" t="s">
        <v>467</v>
      </c>
      <c r="C521" s="23"/>
      <c r="D521" s="23"/>
      <c r="E521" s="4"/>
      <c r="F521" s="48"/>
      <c r="G521" s="38"/>
      <c r="H521" s="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1"/>
      <c r="B522" s="19" t="s">
        <v>468</v>
      </c>
      <c r="C522" s="23"/>
      <c r="D522" s="23"/>
      <c r="E522" s="4"/>
      <c r="F522" s="48"/>
      <c r="G522" s="38"/>
      <c r="H522" s="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1">
        <v>2386.0</v>
      </c>
      <c r="B523" s="6" t="s">
        <v>469</v>
      </c>
      <c r="C523" s="23" t="s">
        <v>17</v>
      </c>
      <c r="D523" s="23" t="s">
        <v>34</v>
      </c>
      <c r="E523" s="4">
        <v>104.11</v>
      </c>
      <c r="F523" s="5">
        <v>0.065</v>
      </c>
      <c r="G523" s="24">
        <v>110.87715</v>
      </c>
      <c r="H523" s="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5">
        <v>2385.0</v>
      </c>
      <c r="B524" s="35" t="s">
        <v>470</v>
      </c>
      <c r="C524" s="27" t="s">
        <v>17</v>
      </c>
      <c r="D524" s="27" t="s">
        <v>34</v>
      </c>
      <c r="E524" s="28">
        <v>112.22</v>
      </c>
      <c r="F524" s="29">
        <v>0.065</v>
      </c>
      <c r="G524" s="30">
        <v>119.51429999999999</v>
      </c>
      <c r="H524" s="31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21">
        <v>2390.0</v>
      </c>
      <c r="B525" s="6" t="s">
        <v>471</v>
      </c>
      <c r="C525" s="23" t="s">
        <v>17</v>
      </c>
      <c r="D525" s="23" t="s">
        <v>11</v>
      </c>
      <c r="E525" s="4">
        <v>104.77</v>
      </c>
      <c r="F525" s="5">
        <v>0.065</v>
      </c>
      <c r="G525" s="24">
        <v>111.58005</v>
      </c>
      <c r="H525" s="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5">
        <v>2389.0</v>
      </c>
      <c r="B526" s="35" t="s">
        <v>472</v>
      </c>
      <c r="C526" s="27" t="s">
        <v>17</v>
      </c>
      <c r="D526" s="27" t="s">
        <v>11</v>
      </c>
      <c r="E526" s="28">
        <v>111.98</v>
      </c>
      <c r="F526" s="29">
        <v>0.065</v>
      </c>
      <c r="G526" s="30">
        <v>119.2587</v>
      </c>
      <c r="H526" s="31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3"/>
      <c r="B527" s="6"/>
      <c r="C527" s="23"/>
      <c r="D527" s="23"/>
      <c r="E527" s="4"/>
      <c r="F527" s="5"/>
      <c r="G527" s="24"/>
      <c r="H527" s="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3"/>
      <c r="B528" s="18" t="s">
        <v>473</v>
      </c>
      <c r="C528" s="23"/>
      <c r="D528" s="23"/>
      <c r="E528" s="4"/>
      <c r="F528" s="48"/>
      <c r="G528" s="38"/>
      <c r="H528" s="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3"/>
      <c r="B529" s="19" t="s">
        <v>474</v>
      </c>
      <c r="C529" s="23"/>
      <c r="D529" s="23"/>
      <c r="E529" s="4"/>
      <c r="F529" s="48"/>
      <c r="G529" s="38"/>
      <c r="H529" s="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1">
        <v>2655.0</v>
      </c>
      <c r="B530" s="6" t="s">
        <v>475</v>
      </c>
      <c r="C530" s="23" t="s">
        <v>10</v>
      </c>
      <c r="D530" s="23" t="s">
        <v>34</v>
      </c>
      <c r="E530" s="4">
        <v>78.69</v>
      </c>
      <c r="F530" s="5">
        <v>0.065</v>
      </c>
      <c r="G530" s="24">
        <v>83.80485</v>
      </c>
      <c r="H530" s="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5">
        <v>2654.0</v>
      </c>
      <c r="B531" s="35" t="s">
        <v>476</v>
      </c>
      <c r="C531" s="27" t="s">
        <v>10</v>
      </c>
      <c r="D531" s="27" t="s">
        <v>11</v>
      </c>
      <c r="E531" s="28">
        <v>78.69</v>
      </c>
      <c r="F531" s="29">
        <v>0.065</v>
      </c>
      <c r="G531" s="30">
        <v>83.80485</v>
      </c>
      <c r="H531" s="31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21">
        <v>1731.0</v>
      </c>
      <c r="B532" s="6" t="s">
        <v>477</v>
      </c>
      <c r="C532" s="23" t="s">
        <v>10</v>
      </c>
      <c r="D532" s="23" t="s">
        <v>11</v>
      </c>
      <c r="E532" s="4">
        <v>144.56</v>
      </c>
      <c r="F532" s="5">
        <v>0.065</v>
      </c>
      <c r="G532" s="24">
        <v>153.9564</v>
      </c>
      <c r="H532" s="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5">
        <v>1730.0</v>
      </c>
      <c r="B533" s="35" t="s">
        <v>478</v>
      </c>
      <c r="C533" s="27" t="s">
        <v>10</v>
      </c>
      <c r="D533" s="27" t="s">
        <v>11</v>
      </c>
      <c r="E533" s="28">
        <v>150.67</v>
      </c>
      <c r="F533" s="29">
        <v>0.065</v>
      </c>
      <c r="G533" s="30">
        <v>160.46355</v>
      </c>
      <c r="H533" s="31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21">
        <v>1732.0</v>
      </c>
      <c r="B534" s="6" t="s">
        <v>479</v>
      </c>
      <c r="C534" s="23" t="s">
        <v>10</v>
      </c>
      <c r="D534" s="23" t="s">
        <v>11</v>
      </c>
      <c r="E534" s="4">
        <v>198.05</v>
      </c>
      <c r="F534" s="5">
        <v>0.065</v>
      </c>
      <c r="G534" s="24">
        <v>210.92325000000002</v>
      </c>
      <c r="H534" s="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5">
        <v>1735.0</v>
      </c>
      <c r="B535" s="35" t="s">
        <v>480</v>
      </c>
      <c r="C535" s="27" t="s">
        <v>10</v>
      </c>
      <c r="D535" s="27" t="s">
        <v>11</v>
      </c>
      <c r="E535" s="28">
        <v>367.85</v>
      </c>
      <c r="F535" s="29">
        <v>0.065</v>
      </c>
      <c r="G535" s="30">
        <v>391.76025000000004</v>
      </c>
      <c r="H535" s="31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3"/>
      <c r="B536" s="6"/>
      <c r="C536" s="23"/>
      <c r="D536" s="23"/>
      <c r="E536" s="4"/>
      <c r="F536" s="5"/>
      <c r="G536" s="24"/>
      <c r="H536" s="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3"/>
      <c r="B537" s="19" t="s">
        <v>481</v>
      </c>
      <c r="C537" s="23"/>
      <c r="D537" s="23"/>
      <c r="E537" s="4"/>
      <c r="F537" s="48"/>
      <c r="G537" s="38"/>
      <c r="H537" s="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3">
        <v>379.0</v>
      </c>
      <c r="B538" s="6" t="s">
        <v>482</v>
      </c>
      <c r="C538" s="23" t="s">
        <v>10</v>
      </c>
      <c r="D538" s="23" t="s">
        <v>34</v>
      </c>
      <c r="E538" s="4">
        <v>105.97</v>
      </c>
      <c r="F538" s="5">
        <v>0.065</v>
      </c>
      <c r="G538" s="24">
        <v>112.85804999999999</v>
      </c>
      <c r="H538" s="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6">
        <v>383.0</v>
      </c>
      <c r="B539" s="35" t="s">
        <v>483</v>
      </c>
      <c r="C539" s="27" t="s">
        <v>10</v>
      </c>
      <c r="D539" s="27" t="s">
        <v>11</v>
      </c>
      <c r="E539" s="28">
        <v>125.03</v>
      </c>
      <c r="F539" s="29">
        <v>0.065</v>
      </c>
      <c r="G539" s="30">
        <v>133.15695</v>
      </c>
      <c r="H539" s="31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3">
        <v>384.0</v>
      </c>
      <c r="B540" s="6" t="s">
        <v>484</v>
      </c>
      <c r="C540" s="23" t="s">
        <v>10</v>
      </c>
      <c r="D540" s="23" t="s">
        <v>11</v>
      </c>
      <c r="E540" s="4">
        <v>136.94</v>
      </c>
      <c r="F540" s="5">
        <v>0.065</v>
      </c>
      <c r="G540" s="24">
        <v>145.84109999999998</v>
      </c>
      <c r="H540" s="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3"/>
      <c r="B541" s="6"/>
      <c r="C541" s="23"/>
      <c r="D541" s="23"/>
      <c r="E541" s="4"/>
      <c r="F541" s="5"/>
      <c r="G541" s="24"/>
      <c r="H541" s="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1"/>
      <c r="B542" s="18" t="s">
        <v>485</v>
      </c>
      <c r="C542" s="3"/>
      <c r="D542" s="3"/>
      <c r="E542" s="4"/>
      <c r="F542" s="48"/>
      <c r="G542" s="38"/>
      <c r="H542" s="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3"/>
      <c r="B543" s="37" t="s">
        <v>486</v>
      </c>
      <c r="C543" s="23"/>
      <c r="D543" s="23"/>
      <c r="E543" s="4"/>
      <c r="F543" s="48"/>
      <c r="G543" s="38"/>
      <c r="H543" s="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3">
        <v>705.0</v>
      </c>
      <c r="B544" s="6" t="s">
        <v>487</v>
      </c>
      <c r="C544" s="23" t="s">
        <v>17</v>
      </c>
      <c r="D544" s="23" t="s">
        <v>34</v>
      </c>
      <c r="E544" s="4">
        <v>182.67</v>
      </c>
      <c r="F544" s="5">
        <v>0.065</v>
      </c>
      <c r="G544" s="24">
        <v>194.54354999999998</v>
      </c>
      <c r="H544" s="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6">
        <v>2791.0</v>
      </c>
      <c r="B545" s="35" t="s">
        <v>488</v>
      </c>
      <c r="C545" s="27" t="s">
        <v>17</v>
      </c>
      <c r="D545" s="27" t="s">
        <v>11</v>
      </c>
      <c r="E545" s="28">
        <v>112.89</v>
      </c>
      <c r="F545" s="29">
        <v>0.065</v>
      </c>
      <c r="G545" s="30">
        <v>120.22785</v>
      </c>
      <c r="H545" s="31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3">
        <v>701.0</v>
      </c>
      <c r="B546" s="6" t="s">
        <v>489</v>
      </c>
      <c r="C546" s="23" t="s">
        <v>17</v>
      </c>
      <c r="D546" s="23" t="s">
        <v>11</v>
      </c>
      <c r="E546" s="4">
        <v>150.86</v>
      </c>
      <c r="F546" s="5">
        <v>0.065</v>
      </c>
      <c r="G546" s="24">
        <v>160.66590000000002</v>
      </c>
      <c r="H546" s="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6">
        <v>702.0</v>
      </c>
      <c r="B547" s="35" t="s">
        <v>490</v>
      </c>
      <c r="C547" s="27" t="s">
        <v>17</v>
      </c>
      <c r="D547" s="27" t="s">
        <v>11</v>
      </c>
      <c r="E547" s="28">
        <v>182.67</v>
      </c>
      <c r="F547" s="29">
        <v>0.065</v>
      </c>
      <c r="G547" s="30">
        <v>194.54354999999998</v>
      </c>
      <c r="H547" s="31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3">
        <v>704.0</v>
      </c>
      <c r="B548" s="6" t="s">
        <v>491</v>
      </c>
      <c r="C548" s="23" t="s">
        <v>10</v>
      </c>
      <c r="D548" s="23" t="s">
        <v>11</v>
      </c>
      <c r="E548" s="4">
        <v>529.55</v>
      </c>
      <c r="F548" s="5">
        <v>0.065</v>
      </c>
      <c r="G548" s="24">
        <v>563.97075</v>
      </c>
      <c r="H548" s="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3"/>
      <c r="B549" s="6"/>
      <c r="C549" s="23"/>
      <c r="D549" s="23"/>
      <c r="E549" s="4"/>
      <c r="F549" s="5"/>
      <c r="G549" s="24"/>
      <c r="H549" s="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1"/>
      <c r="B550" s="52" t="s">
        <v>492</v>
      </c>
      <c r="C550" s="3"/>
      <c r="D550" s="3"/>
      <c r="E550" s="4"/>
      <c r="F550" s="48"/>
      <c r="G550" s="38"/>
      <c r="H550" s="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3"/>
      <c r="B551" s="37" t="s">
        <v>493</v>
      </c>
      <c r="C551" s="23"/>
      <c r="D551" s="23"/>
      <c r="E551" s="4"/>
      <c r="F551" s="48"/>
      <c r="G551" s="38"/>
      <c r="H551" s="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3">
        <v>231.0</v>
      </c>
      <c r="B552" s="6" t="s">
        <v>494</v>
      </c>
      <c r="C552" s="23" t="s">
        <v>17</v>
      </c>
      <c r="D552" s="23" t="s">
        <v>34</v>
      </c>
      <c r="E552" s="4">
        <v>128.52</v>
      </c>
      <c r="F552" s="5">
        <v>0.065</v>
      </c>
      <c r="G552" s="24">
        <v>136.87380000000002</v>
      </c>
      <c r="H552" s="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6">
        <v>233.0</v>
      </c>
      <c r="B553" s="35" t="s">
        <v>495</v>
      </c>
      <c r="C553" s="27" t="s">
        <v>17</v>
      </c>
      <c r="D553" s="27" t="s">
        <v>11</v>
      </c>
      <c r="E553" s="28">
        <v>128.52</v>
      </c>
      <c r="F553" s="29">
        <v>0.065</v>
      </c>
      <c r="G553" s="30">
        <v>136.87380000000002</v>
      </c>
      <c r="H553" s="31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3">
        <v>2745.0</v>
      </c>
      <c r="B554" s="6" t="s">
        <v>496</v>
      </c>
      <c r="C554" s="23" t="s">
        <v>17</v>
      </c>
      <c r="D554" s="23" t="s">
        <v>11</v>
      </c>
      <c r="E554" s="4">
        <v>128.52</v>
      </c>
      <c r="F554" s="5">
        <v>0.065</v>
      </c>
      <c r="G554" s="24">
        <v>136.87380000000002</v>
      </c>
      <c r="H554" s="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6">
        <v>230.0</v>
      </c>
      <c r="B555" s="35" t="s">
        <v>497</v>
      </c>
      <c r="C555" s="27" t="s">
        <v>17</v>
      </c>
      <c r="D555" s="27" t="s">
        <v>11</v>
      </c>
      <c r="E555" s="28">
        <v>247.27</v>
      </c>
      <c r="F555" s="29">
        <v>0.065</v>
      </c>
      <c r="G555" s="30">
        <v>263.34255</v>
      </c>
      <c r="H555" s="31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3">
        <v>234.0</v>
      </c>
      <c r="B556" s="6" t="s">
        <v>498</v>
      </c>
      <c r="C556" s="23" t="s">
        <v>10</v>
      </c>
      <c r="D556" s="23" t="s">
        <v>11</v>
      </c>
      <c r="E556" s="4">
        <v>412.77</v>
      </c>
      <c r="F556" s="5">
        <v>0.065</v>
      </c>
      <c r="G556" s="24">
        <v>439.60005</v>
      </c>
      <c r="H556" s="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3"/>
      <c r="B557" s="6"/>
      <c r="C557" s="23"/>
      <c r="D557" s="23"/>
      <c r="E557" s="4"/>
      <c r="F557" s="5"/>
      <c r="G557" s="24"/>
      <c r="H557" s="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1"/>
      <c r="B558" s="18" t="s">
        <v>499</v>
      </c>
      <c r="C558" s="3"/>
      <c r="D558" s="3"/>
      <c r="E558" s="4"/>
      <c r="F558" s="48"/>
      <c r="G558" s="38"/>
      <c r="H558" s="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3"/>
      <c r="B559" s="19" t="s">
        <v>500</v>
      </c>
      <c r="C559" s="23"/>
      <c r="D559" s="23"/>
      <c r="E559" s="4"/>
      <c r="F559" s="48"/>
      <c r="G559" s="38"/>
      <c r="H559" s="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3">
        <v>2210.0</v>
      </c>
      <c r="B560" s="6" t="s">
        <v>501</v>
      </c>
      <c r="C560" s="23" t="s">
        <v>10</v>
      </c>
      <c r="D560" s="23" t="s">
        <v>34</v>
      </c>
      <c r="E560" s="4">
        <v>272.85</v>
      </c>
      <c r="F560" s="5">
        <v>0.065</v>
      </c>
      <c r="G560" s="24">
        <v>290.58525000000003</v>
      </c>
      <c r="H560" s="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6">
        <v>1046.0</v>
      </c>
      <c r="B561" s="35" t="s">
        <v>502</v>
      </c>
      <c r="C561" s="27" t="s">
        <v>10</v>
      </c>
      <c r="D561" s="27" t="s">
        <v>11</v>
      </c>
      <c r="E561" s="28">
        <v>133.2</v>
      </c>
      <c r="F561" s="29">
        <v>0.065</v>
      </c>
      <c r="G561" s="30">
        <v>141.85799999999998</v>
      </c>
      <c r="H561" s="31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3">
        <v>1558.0</v>
      </c>
      <c r="B562" s="6" t="s">
        <v>503</v>
      </c>
      <c r="C562" s="23" t="s">
        <v>124</v>
      </c>
      <c r="D562" s="23" t="s">
        <v>11</v>
      </c>
      <c r="E562" s="4">
        <v>310.63</v>
      </c>
      <c r="F562" s="5">
        <v>0.065</v>
      </c>
      <c r="G562" s="24">
        <v>330.82095</v>
      </c>
      <c r="H562" s="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6">
        <v>1047.0</v>
      </c>
      <c r="B563" s="35" t="s">
        <v>504</v>
      </c>
      <c r="C563" s="27" t="s">
        <v>10</v>
      </c>
      <c r="D563" s="27" t="s">
        <v>11</v>
      </c>
      <c r="E563" s="28">
        <v>276.9</v>
      </c>
      <c r="F563" s="29">
        <v>0.065</v>
      </c>
      <c r="G563" s="30">
        <v>294.89849999999996</v>
      </c>
      <c r="H563" s="31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3">
        <v>1556.0</v>
      </c>
      <c r="B564" s="6" t="s">
        <v>505</v>
      </c>
      <c r="C564" s="23" t="s">
        <v>273</v>
      </c>
      <c r="D564" s="23" t="s">
        <v>11</v>
      </c>
      <c r="E564" s="4">
        <v>630.79</v>
      </c>
      <c r="F564" s="5">
        <v>0.065</v>
      </c>
      <c r="G564" s="24">
        <v>671.79135</v>
      </c>
      <c r="H564" s="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6">
        <v>1557.0</v>
      </c>
      <c r="B565" s="35" t="s">
        <v>506</v>
      </c>
      <c r="C565" s="27" t="s">
        <v>507</v>
      </c>
      <c r="D565" s="27" t="s">
        <v>11</v>
      </c>
      <c r="E565" s="28">
        <v>1270.69</v>
      </c>
      <c r="F565" s="29">
        <v>0.065</v>
      </c>
      <c r="G565" s="30">
        <v>1353.28485</v>
      </c>
      <c r="H565" s="31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3">
        <v>1048.0</v>
      </c>
      <c r="B566" s="6" t="s">
        <v>508</v>
      </c>
      <c r="C566" s="23" t="s">
        <v>10</v>
      </c>
      <c r="D566" s="23" t="s">
        <v>11</v>
      </c>
      <c r="E566" s="4">
        <v>728.27</v>
      </c>
      <c r="F566" s="5">
        <v>0.065</v>
      </c>
      <c r="G566" s="24">
        <v>775.60755</v>
      </c>
      <c r="H566" s="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6">
        <v>2096.0</v>
      </c>
      <c r="B567" s="35" t="s">
        <v>509</v>
      </c>
      <c r="C567" s="27" t="s">
        <v>273</v>
      </c>
      <c r="D567" s="27" t="s">
        <v>11</v>
      </c>
      <c r="E567" s="28">
        <v>1391.91</v>
      </c>
      <c r="F567" s="29">
        <v>0.065</v>
      </c>
      <c r="G567" s="30">
        <v>1482.38415</v>
      </c>
      <c r="H567" s="31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3"/>
      <c r="B568" s="45"/>
      <c r="C568" s="23"/>
      <c r="D568" s="23"/>
      <c r="E568" s="4"/>
      <c r="F568" s="5"/>
      <c r="G568" s="24"/>
      <c r="H568" s="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3"/>
      <c r="B569" s="19" t="s">
        <v>510</v>
      </c>
      <c r="C569" s="23"/>
      <c r="D569" s="23"/>
      <c r="E569" s="2"/>
      <c r="F569" s="20"/>
      <c r="G569" s="2"/>
      <c r="H569" s="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3">
        <v>2662.0</v>
      </c>
      <c r="B570" s="6" t="s">
        <v>511</v>
      </c>
      <c r="C570" s="23" t="s">
        <v>10</v>
      </c>
      <c r="D570" s="23" t="s">
        <v>34</v>
      </c>
      <c r="E570" s="4">
        <v>140.82</v>
      </c>
      <c r="F570" s="5">
        <v>0.065</v>
      </c>
      <c r="G570" s="24">
        <v>149.9733</v>
      </c>
      <c r="H570" s="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6">
        <v>2664.0</v>
      </c>
      <c r="B571" s="35" t="s">
        <v>512</v>
      </c>
      <c r="C571" s="27" t="s">
        <v>10</v>
      </c>
      <c r="D571" s="27" t="s">
        <v>11</v>
      </c>
      <c r="E571" s="28">
        <v>149.77</v>
      </c>
      <c r="F571" s="29">
        <v>0.065</v>
      </c>
      <c r="G571" s="30">
        <v>159.50505</v>
      </c>
      <c r="H571" s="31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3">
        <v>2843.0</v>
      </c>
      <c r="B572" s="6" t="s">
        <v>513</v>
      </c>
      <c r="C572" s="23" t="s">
        <v>124</v>
      </c>
      <c r="D572" s="23" t="s">
        <v>11</v>
      </c>
      <c r="E572" s="4">
        <v>374.07</v>
      </c>
      <c r="F572" s="5">
        <v>0.065</v>
      </c>
      <c r="G572" s="24">
        <v>398.38455</v>
      </c>
      <c r="H572" s="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6">
        <v>2844.0</v>
      </c>
      <c r="B573" s="35" t="s">
        <v>514</v>
      </c>
      <c r="C573" s="27" t="s">
        <v>10</v>
      </c>
      <c r="D573" s="27" t="s">
        <v>11</v>
      </c>
      <c r="E573" s="28">
        <v>135.98</v>
      </c>
      <c r="F573" s="29">
        <v>0.065</v>
      </c>
      <c r="G573" s="30">
        <v>144.81869999999998</v>
      </c>
      <c r="H573" s="31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3">
        <v>2714.0</v>
      </c>
      <c r="B574" s="6" t="s">
        <v>515</v>
      </c>
      <c r="C574" s="23" t="s">
        <v>10</v>
      </c>
      <c r="D574" s="23" t="s">
        <v>11</v>
      </c>
      <c r="E574" s="4">
        <v>188.45</v>
      </c>
      <c r="F574" s="5">
        <v>0.065</v>
      </c>
      <c r="G574" s="24">
        <v>200.69924999999998</v>
      </c>
      <c r="H574" s="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6">
        <v>2663.0</v>
      </c>
      <c r="B575" s="35" t="s">
        <v>516</v>
      </c>
      <c r="C575" s="27" t="s">
        <v>10</v>
      </c>
      <c r="D575" s="27" t="s">
        <v>11</v>
      </c>
      <c r="E575" s="28">
        <v>240.88</v>
      </c>
      <c r="F575" s="29">
        <v>0.065</v>
      </c>
      <c r="G575" s="30">
        <v>256.5372</v>
      </c>
      <c r="H575" s="31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3"/>
      <c r="B576" s="6"/>
      <c r="C576" s="23"/>
      <c r="D576" s="23"/>
      <c r="E576" s="4"/>
      <c r="F576" s="5"/>
      <c r="G576" s="24"/>
      <c r="H576" s="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3"/>
      <c r="B577" s="19" t="s">
        <v>517</v>
      </c>
      <c r="C577" s="23"/>
      <c r="D577" s="23"/>
      <c r="E577" s="2"/>
      <c r="F577" s="20"/>
      <c r="G577" s="2"/>
      <c r="H577" s="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3">
        <v>2665.0</v>
      </c>
      <c r="B578" s="6" t="s">
        <v>518</v>
      </c>
      <c r="C578" s="23" t="s">
        <v>10</v>
      </c>
      <c r="D578" s="23" t="s">
        <v>34</v>
      </c>
      <c r="E578" s="4">
        <v>352.12</v>
      </c>
      <c r="F578" s="5">
        <v>0.065</v>
      </c>
      <c r="G578" s="24">
        <v>375.00780000000003</v>
      </c>
      <c r="H578" s="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6">
        <v>2666.0</v>
      </c>
      <c r="B579" s="47" t="s">
        <v>519</v>
      </c>
      <c r="C579" s="27" t="s">
        <v>10</v>
      </c>
      <c r="D579" s="27" t="s">
        <v>11</v>
      </c>
      <c r="E579" s="28">
        <v>352.12</v>
      </c>
      <c r="F579" s="29">
        <v>0.065</v>
      </c>
      <c r="G579" s="30">
        <v>375.00780000000003</v>
      </c>
      <c r="H579" s="31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3">
        <v>2667.0</v>
      </c>
      <c r="B580" s="6" t="s">
        <v>520</v>
      </c>
      <c r="C580" s="23" t="s">
        <v>10</v>
      </c>
      <c r="D580" s="23" t="s">
        <v>11</v>
      </c>
      <c r="E580" s="4">
        <v>388.78</v>
      </c>
      <c r="F580" s="5">
        <v>0.065</v>
      </c>
      <c r="G580" s="24">
        <v>414.05069999999995</v>
      </c>
      <c r="H580" s="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3"/>
      <c r="B581" s="6"/>
      <c r="C581" s="23"/>
      <c r="D581" s="23"/>
      <c r="E581" s="4"/>
      <c r="F581" s="5"/>
      <c r="G581" s="24"/>
      <c r="H581" s="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3"/>
      <c r="B582" s="19" t="s">
        <v>521</v>
      </c>
      <c r="C582" s="23"/>
      <c r="D582" s="23"/>
      <c r="E582" s="4"/>
      <c r="F582" s="48"/>
      <c r="G582" s="38"/>
      <c r="H582" s="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3">
        <v>274.0</v>
      </c>
      <c r="B583" s="6" t="s">
        <v>522</v>
      </c>
      <c r="C583" s="23" t="s">
        <v>17</v>
      </c>
      <c r="D583" s="23" t="s">
        <v>34</v>
      </c>
      <c r="E583" s="4">
        <v>68.89</v>
      </c>
      <c r="F583" s="5">
        <v>0.065</v>
      </c>
      <c r="G583" s="24">
        <v>73.36785</v>
      </c>
      <c r="H583" s="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6">
        <v>273.0</v>
      </c>
      <c r="B584" s="47" t="s">
        <v>523</v>
      </c>
      <c r="C584" s="27" t="s">
        <v>17</v>
      </c>
      <c r="D584" s="27" t="s">
        <v>34</v>
      </c>
      <c r="E584" s="28">
        <v>68.89</v>
      </c>
      <c r="F584" s="29">
        <v>0.065</v>
      </c>
      <c r="G584" s="30">
        <v>73.36785</v>
      </c>
      <c r="H584" s="31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3">
        <v>2496.0</v>
      </c>
      <c r="B585" s="6" t="s">
        <v>524</v>
      </c>
      <c r="C585" s="23" t="s">
        <v>17</v>
      </c>
      <c r="D585" s="23" t="s">
        <v>34</v>
      </c>
      <c r="E585" s="4">
        <v>118.96</v>
      </c>
      <c r="F585" s="5">
        <v>0.065</v>
      </c>
      <c r="G585" s="24">
        <v>126.69239999999999</v>
      </c>
      <c r="H585" s="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6">
        <v>2766.0</v>
      </c>
      <c r="B586" s="47" t="s">
        <v>525</v>
      </c>
      <c r="C586" s="27" t="s">
        <v>10</v>
      </c>
      <c r="D586" s="27" t="s">
        <v>137</v>
      </c>
      <c r="E586" s="28">
        <v>180.05</v>
      </c>
      <c r="F586" s="29">
        <v>0.065</v>
      </c>
      <c r="G586" s="30">
        <v>191.75325</v>
      </c>
      <c r="H586" s="31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3">
        <v>268.0</v>
      </c>
      <c r="B587" s="6" t="s">
        <v>526</v>
      </c>
      <c r="C587" s="23" t="s">
        <v>17</v>
      </c>
      <c r="D587" s="23" t="s">
        <v>11</v>
      </c>
      <c r="E587" s="4">
        <v>68.89</v>
      </c>
      <c r="F587" s="5">
        <v>0.065</v>
      </c>
      <c r="G587" s="24">
        <v>73.36785</v>
      </c>
      <c r="H587" s="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6">
        <v>272.0</v>
      </c>
      <c r="B588" s="47" t="s">
        <v>527</v>
      </c>
      <c r="C588" s="27" t="s">
        <v>17</v>
      </c>
      <c r="D588" s="27" t="s">
        <v>11</v>
      </c>
      <c r="E588" s="28">
        <v>68.89</v>
      </c>
      <c r="F588" s="29">
        <v>0.065</v>
      </c>
      <c r="G588" s="30">
        <v>73.36785</v>
      </c>
      <c r="H588" s="31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3">
        <v>1860.0</v>
      </c>
      <c r="B589" s="6" t="s">
        <v>528</v>
      </c>
      <c r="C589" s="23" t="s">
        <v>17</v>
      </c>
      <c r="D589" s="23" t="s">
        <v>11</v>
      </c>
      <c r="E589" s="4">
        <v>69.05</v>
      </c>
      <c r="F589" s="5">
        <v>0.065</v>
      </c>
      <c r="G589" s="24">
        <v>73.53824999999999</v>
      </c>
      <c r="H589" s="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6">
        <v>2508.0</v>
      </c>
      <c r="B590" s="47" t="s">
        <v>529</v>
      </c>
      <c r="C590" s="27" t="s">
        <v>17</v>
      </c>
      <c r="D590" s="27" t="s">
        <v>11</v>
      </c>
      <c r="E590" s="28">
        <v>68.89</v>
      </c>
      <c r="F590" s="29">
        <v>0.065</v>
      </c>
      <c r="G590" s="30">
        <v>73.36785</v>
      </c>
      <c r="H590" s="31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3">
        <v>2497.0</v>
      </c>
      <c r="B591" s="6" t="s">
        <v>530</v>
      </c>
      <c r="C591" s="23" t="s">
        <v>17</v>
      </c>
      <c r="D591" s="23" t="s">
        <v>11</v>
      </c>
      <c r="E591" s="4">
        <v>118.96</v>
      </c>
      <c r="F591" s="5">
        <v>0.065</v>
      </c>
      <c r="G591" s="24">
        <v>126.69239999999999</v>
      </c>
      <c r="H591" s="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6">
        <v>267.0</v>
      </c>
      <c r="B592" s="47" t="s">
        <v>531</v>
      </c>
      <c r="C592" s="27" t="s">
        <v>17</v>
      </c>
      <c r="D592" s="27" t="s">
        <v>11</v>
      </c>
      <c r="E592" s="28">
        <v>118.96</v>
      </c>
      <c r="F592" s="29">
        <v>0.065</v>
      </c>
      <c r="G592" s="30">
        <v>126.69239999999999</v>
      </c>
      <c r="H592" s="31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3">
        <v>269.0</v>
      </c>
      <c r="B593" s="6" t="s">
        <v>532</v>
      </c>
      <c r="C593" s="23" t="s">
        <v>17</v>
      </c>
      <c r="D593" s="23" t="s">
        <v>11</v>
      </c>
      <c r="E593" s="4">
        <v>118.96</v>
      </c>
      <c r="F593" s="5">
        <v>0.065</v>
      </c>
      <c r="G593" s="24">
        <v>126.69239999999999</v>
      </c>
      <c r="H593" s="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6">
        <v>2509.0</v>
      </c>
      <c r="B594" s="47" t="s">
        <v>533</v>
      </c>
      <c r="C594" s="27" t="s">
        <v>17</v>
      </c>
      <c r="D594" s="27" t="s">
        <v>11</v>
      </c>
      <c r="E594" s="28">
        <v>118.96</v>
      </c>
      <c r="F594" s="29">
        <v>0.065</v>
      </c>
      <c r="G594" s="30">
        <v>126.69239999999999</v>
      </c>
      <c r="H594" s="31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3">
        <v>2610.0</v>
      </c>
      <c r="B595" s="6" t="s">
        <v>534</v>
      </c>
      <c r="C595" s="23" t="s">
        <v>17</v>
      </c>
      <c r="D595" s="23" t="s">
        <v>11</v>
      </c>
      <c r="E595" s="4">
        <v>179.57</v>
      </c>
      <c r="F595" s="5">
        <v>0.065</v>
      </c>
      <c r="G595" s="24">
        <v>191.24205</v>
      </c>
      <c r="H595" s="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6">
        <v>2611.0</v>
      </c>
      <c r="B596" s="47" t="s">
        <v>535</v>
      </c>
      <c r="C596" s="27" t="s">
        <v>10</v>
      </c>
      <c r="D596" s="27" t="s">
        <v>11</v>
      </c>
      <c r="E596" s="28">
        <v>179.57</v>
      </c>
      <c r="F596" s="29">
        <v>0.065</v>
      </c>
      <c r="G596" s="30">
        <v>191.24205</v>
      </c>
      <c r="H596" s="31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3">
        <v>1308.0</v>
      </c>
      <c r="B597" s="6" t="s">
        <v>536</v>
      </c>
      <c r="C597" s="23" t="s">
        <v>17</v>
      </c>
      <c r="D597" s="23" t="s">
        <v>11</v>
      </c>
      <c r="E597" s="4">
        <v>180.36</v>
      </c>
      <c r="F597" s="5">
        <v>0.065</v>
      </c>
      <c r="G597" s="24">
        <v>192.0834</v>
      </c>
      <c r="H597" s="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6">
        <v>1307.0</v>
      </c>
      <c r="B598" s="47" t="s">
        <v>537</v>
      </c>
      <c r="C598" s="27" t="s">
        <v>17</v>
      </c>
      <c r="D598" s="27" t="s">
        <v>11</v>
      </c>
      <c r="E598" s="28">
        <v>180.36</v>
      </c>
      <c r="F598" s="29">
        <v>0.065</v>
      </c>
      <c r="G598" s="30">
        <v>192.0834</v>
      </c>
      <c r="H598" s="31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3">
        <v>137.0</v>
      </c>
      <c r="B599" s="6" t="s">
        <v>538</v>
      </c>
      <c r="C599" s="23" t="s">
        <v>17</v>
      </c>
      <c r="D599" s="23" t="s">
        <v>11</v>
      </c>
      <c r="E599" s="4">
        <v>197.09</v>
      </c>
      <c r="F599" s="5">
        <v>0.065</v>
      </c>
      <c r="G599" s="24">
        <v>209.90085</v>
      </c>
      <c r="H599" s="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6">
        <v>2845.0</v>
      </c>
      <c r="B600" s="47" t="s">
        <v>539</v>
      </c>
      <c r="C600" s="27" t="s">
        <v>10</v>
      </c>
      <c r="D600" s="27" t="s">
        <v>11</v>
      </c>
      <c r="E600" s="28">
        <v>633.71</v>
      </c>
      <c r="F600" s="29">
        <v>0.065</v>
      </c>
      <c r="G600" s="30">
        <v>674.90115</v>
      </c>
      <c r="H600" s="31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53" t="s">
        <v>540</v>
      </c>
      <c r="B601" s="6"/>
      <c r="C601" s="23"/>
      <c r="D601" s="23"/>
      <c r="E601" s="4"/>
      <c r="F601" s="48"/>
      <c r="G601" s="38"/>
      <c r="H601" s="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3">
        <v>277.0</v>
      </c>
      <c r="B602" s="6" t="s">
        <v>541</v>
      </c>
      <c r="C602" s="23" t="s">
        <v>17</v>
      </c>
      <c r="D602" s="23" t="s">
        <v>34</v>
      </c>
      <c r="E602" s="4">
        <v>41.31</v>
      </c>
      <c r="F602" s="5">
        <v>0.065</v>
      </c>
      <c r="G602" s="24">
        <v>43.99515</v>
      </c>
      <c r="H602" s="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6">
        <v>278.0</v>
      </c>
      <c r="B603" s="47" t="s">
        <v>542</v>
      </c>
      <c r="C603" s="27" t="s">
        <v>17</v>
      </c>
      <c r="D603" s="27" t="s">
        <v>34</v>
      </c>
      <c r="E603" s="28">
        <v>41.31</v>
      </c>
      <c r="F603" s="29">
        <v>0.065</v>
      </c>
      <c r="G603" s="30">
        <v>43.99515</v>
      </c>
      <c r="H603" s="31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3">
        <v>289.0</v>
      </c>
      <c r="B604" s="6" t="s">
        <v>543</v>
      </c>
      <c r="C604" s="23" t="s">
        <v>373</v>
      </c>
      <c r="D604" s="23" t="s">
        <v>34</v>
      </c>
      <c r="E604" s="4">
        <v>25.5</v>
      </c>
      <c r="F604" s="5">
        <v>0.065</v>
      </c>
      <c r="G604" s="24">
        <v>27.1575</v>
      </c>
      <c r="H604" s="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6">
        <v>276.0</v>
      </c>
      <c r="B605" s="47" t="s">
        <v>544</v>
      </c>
      <c r="C605" s="27" t="s">
        <v>17</v>
      </c>
      <c r="D605" s="27" t="s">
        <v>11</v>
      </c>
      <c r="E605" s="28">
        <v>41.31</v>
      </c>
      <c r="F605" s="29">
        <v>0.065</v>
      </c>
      <c r="G605" s="30">
        <v>43.99515</v>
      </c>
      <c r="H605" s="31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3">
        <v>288.0</v>
      </c>
      <c r="B606" s="6" t="s">
        <v>545</v>
      </c>
      <c r="C606" s="23" t="s">
        <v>373</v>
      </c>
      <c r="D606" s="23" t="s">
        <v>11</v>
      </c>
      <c r="E606" s="4">
        <v>25.5</v>
      </c>
      <c r="F606" s="5">
        <v>0.065</v>
      </c>
      <c r="G606" s="24">
        <v>27.1575</v>
      </c>
      <c r="H606" s="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6">
        <v>418.0</v>
      </c>
      <c r="B607" s="47" t="s">
        <v>546</v>
      </c>
      <c r="C607" s="27" t="s">
        <v>17</v>
      </c>
      <c r="D607" s="27" t="s">
        <v>11</v>
      </c>
      <c r="E607" s="28">
        <v>41.31</v>
      </c>
      <c r="F607" s="29">
        <v>0.065</v>
      </c>
      <c r="G607" s="30">
        <v>43.99515</v>
      </c>
      <c r="H607" s="31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3">
        <v>2374.0</v>
      </c>
      <c r="B608" s="6" t="s">
        <v>547</v>
      </c>
      <c r="C608" s="23" t="s">
        <v>373</v>
      </c>
      <c r="D608" s="23" t="s">
        <v>11</v>
      </c>
      <c r="E608" s="4">
        <v>25.5</v>
      </c>
      <c r="F608" s="5">
        <v>0.065</v>
      </c>
      <c r="G608" s="24">
        <v>27.1575</v>
      </c>
      <c r="H608" s="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3"/>
      <c r="B609" s="6"/>
      <c r="C609" s="23"/>
      <c r="D609" s="23"/>
      <c r="E609" s="4"/>
      <c r="F609" s="5"/>
      <c r="G609" s="24"/>
      <c r="H609" s="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3"/>
      <c r="B610" s="37" t="s">
        <v>548</v>
      </c>
      <c r="C610" s="23"/>
      <c r="D610" s="23"/>
      <c r="E610" s="4"/>
      <c r="F610" s="48"/>
      <c r="G610" s="38"/>
      <c r="H610" s="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3">
        <v>57.0</v>
      </c>
      <c r="B611" s="6" t="s">
        <v>549</v>
      </c>
      <c r="C611" s="23" t="s">
        <v>17</v>
      </c>
      <c r="D611" s="23" t="s">
        <v>34</v>
      </c>
      <c r="E611" s="4">
        <v>101.87</v>
      </c>
      <c r="F611" s="5">
        <v>0.065</v>
      </c>
      <c r="G611" s="24">
        <v>108.49155</v>
      </c>
      <c r="H611" s="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6">
        <v>48.0</v>
      </c>
      <c r="B612" s="47" t="s">
        <v>550</v>
      </c>
      <c r="C612" s="27" t="s">
        <v>17</v>
      </c>
      <c r="D612" s="27" t="s">
        <v>34</v>
      </c>
      <c r="E612" s="28">
        <v>109.0</v>
      </c>
      <c r="F612" s="29">
        <v>0.065</v>
      </c>
      <c r="G612" s="30">
        <v>116.085</v>
      </c>
      <c r="H612" s="31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3">
        <v>2647.0</v>
      </c>
      <c r="B613" s="6" t="s">
        <v>551</v>
      </c>
      <c r="C613" s="23" t="s">
        <v>17</v>
      </c>
      <c r="D613" s="23" t="s">
        <v>34</v>
      </c>
      <c r="E613" s="4">
        <v>136.13</v>
      </c>
      <c r="F613" s="5">
        <v>0.065</v>
      </c>
      <c r="G613" s="24">
        <v>144.97845</v>
      </c>
      <c r="H613" s="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6">
        <v>34.0</v>
      </c>
      <c r="B614" s="47" t="s">
        <v>552</v>
      </c>
      <c r="C614" s="27" t="s">
        <v>17</v>
      </c>
      <c r="D614" s="27" t="s">
        <v>34</v>
      </c>
      <c r="E614" s="28">
        <v>143.34</v>
      </c>
      <c r="F614" s="29">
        <v>0.065</v>
      </c>
      <c r="G614" s="30">
        <v>152.6571</v>
      </c>
      <c r="H614" s="31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3">
        <v>2744.0</v>
      </c>
      <c r="B615" s="6" t="s">
        <v>553</v>
      </c>
      <c r="C615" s="23" t="s">
        <v>10</v>
      </c>
      <c r="D615" s="23" t="s">
        <v>34</v>
      </c>
      <c r="E615" s="4">
        <v>309.35</v>
      </c>
      <c r="F615" s="5">
        <v>0.065</v>
      </c>
      <c r="G615" s="24">
        <v>329.45775000000003</v>
      </c>
      <c r="H615" s="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6">
        <v>2612.0</v>
      </c>
      <c r="B616" s="47" t="s">
        <v>554</v>
      </c>
      <c r="C616" s="27" t="s">
        <v>17</v>
      </c>
      <c r="D616" s="27" t="s">
        <v>102</v>
      </c>
      <c r="E616" s="28">
        <v>136.13</v>
      </c>
      <c r="F616" s="29">
        <v>0.065</v>
      </c>
      <c r="G616" s="30">
        <v>144.97845</v>
      </c>
      <c r="H616" s="31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3">
        <v>2014.0</v>
      </c>
      <c r="B617" s="6" t="s">
        <v>555</v>
      </c>
      <c r="C617" s="23" t="s">
        <v>17</v>
      </c>
      <c r="D617" s="23" t="s">
        <v>11</v>
      </c>
      <c r="E617" s="4">
        <v>109.0</v>
      </c>
      <c r="F617" s="5">
        <v>0.065</v>
      </c>
      <c r="G617" s="24">
        <v>116.085</v>
      </c>
      <c r="H617" s="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6">
        <v>42.0</v>
      </c>
      <c r="B618" s="47" t="s">
        <v>556</v>
      </c>
      <c r="C618" s="27" t="s">
        <v>17</v>
      </c>
      <c r="D618" s="27" t="s">
        <v>11</v>
      </c>
      <c r="E618" s="28">
        <v>109.0</v>
      </c>
      <c r="F618" s="29">
        <v>0.065</v>
      </c>
      <c r="G618" s="30">
        <v>116.085</v>
      </c>
      <c r="H618" s="31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3">
        <v>2690.0</v>
      </c>
      <c r="B619" s="6" t="s">
        <v>557</v>
      </c>
      <c r="C619" s="23" t="s">
        <v>10</v>
      </c>
      <c r="D619" s="23" t="s">
        <v>11</v>
      </c>
      <c r="E619" s="4">
        <v>136.13</v>
      </c>
      <c r="F619" s="5">
        <v>0.065</v>
      </c>
      <c r="G619" s="24">
        <v>144.97845</v>
      </c>
      <c r="H619" s="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6">
        <v>2691.0</v>
      </c>
      <c r="B620" s="47" t="s">
        <v>558</v>
      </c>
      <c r="C620" s="27" t="s">
        <v>10</v>
      </c>
      <c r="D620" s="27" t="s">
        <v>11</v>
      </c>
      <c r="E620" s="28">
        <v>136.13</v>
      </c>
      <c r="F620" s="29">
        <v>0.065</v>
      </c>
      <c r="G620" s="30">
        <v>144.97845</v>
      </c>
      <c r="H620" s="31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3">
        <v>136.0</v>
      </c>
      <c r="B621" s="6" t="s">
        <v>559</v>
      </c>
      <c r="C621" s="23" t="s">
        <v>17</v>
      </c>
      <c r="D621" s="23" t="s">
        <v>11</v>
      </c>
      <c r="E621" s="4">
        <v>143.34</v>
      </c>
      <c r="F621" s="5">
        <v>0.065</v>
      </c>
      <c r="G621" s="24">
        <v>152.6571</v>
      </c>
      <c r="H621" s="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6">
        <v>29.0</v>
      </c>
      <c r="B622" s="47" t="s">
        <v>560</v>
      </c>
      <c r="C622" s="27" t="s">
        <v>17</v>
      </c>
      <c r="D622" s="27" t="s">
        <v>11</v>
      </c>
      <c r="E622" s="28">
        <v>218.08</v>
      </c>
      <c r="F622" s="29">
        <v>0.065</v>
      </c>
      <c r="G622" s="30">
        <v>232.2552</v>
      </c>
      <c r="H622" s="31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3">
        <v>2646.0</v>
      </c>
      <c r="B623" s="6" t="s">
        <v>561</v>
      </c>
      <c r="C623" s="23" t="s">
        <v>17</v>
      </c>
      <c r="D623" s="23" t="s">
        <v>11</v>
      </c>
      <c r="E623" s="4">
        <v>218.08</v>
      </c>
      <c r="F623" s="5">
        <v>0.065</v>
      </c>
      <c r="G623" s="24">
        <v>232.2552</v>
      </c>
      <c r="H623" s="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6">
        <v>46.0</v>
      </c>
      <c r="B624" s="47" t="s">
        <v>562</v>
      </c>
      <c r="C624" s="27" t="s">
        <v>17</v>
      </c>
      <c r="D624" s="27" t="s">
        <v>11</v>
      </c>
      <c r="E624" s="28">
        <v>454.12</v>
      </c>
      <c r="F624" s="29">
        <v>0.065</v>
      </c>
      <c r="G624" s="30">
        <v>483.6378</v>
      </c>
      <c r="H624" s="31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3"/>
      <c r="B625" s="6"/>
      <c r="C625" s="23"/>
      <c r="D625" s="23"/>
      <c r="E625" s="4"/>
      <c r="F625" s="5"/>
      <c r="G625" s="24"/>
      <c r="H625" s="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3"/>
      <c r="B626" s="37" t="s">
        <v>563</v>
      </c>
      <c r="C626" s="23"/>
      <c r="D626" s="23"/>
      <c r="E626" s="4"/>
      <c r="F626" s="48"/>
      <c r="G626" s="38"/>
      <c r="H626" s="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3">
        <v>2786.0</v>
      </c>
      <c r="B627" s="6" t="s">
        <v>564</v>
      </c>
      <c r="C627" s="23" t="s">
        <v>17</v>
      </c>
      <c r="D627" s="23" t="s">
        <v>11</v>
      </c>
      <c r="E627" s="4">
        <v>127.52</v>
      </c>
      <c r="F627" s="5">
        <v>0.065</v>
      </c>
      <c r="G627" s="24">
        <v>135.8088</v>
      </c>
      <c r="H627" s="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6">
        <v>2340.0</v>
      </c>
      <c r="B628" s="47" t="s">
        <v>565</v>
      </c>
      <c r="C628" s="27" t="s">
        <v>10</v>
      </c>
      <c r="D628" s="27" t="s">
        <v>11</v>
      </c>
      <c r="E628" s="28">
        <v>200.89</v>
      </c>
      <c r="F628" s="29">
        <v>0.065</v>
      </c>
      <c r="G628" s="30">
        <v>213.94785</v>
      </c>
      <c r="H628" s="31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3">
        <v>2466.0</v>
      </c>
      <c r="B629" s="6" t="s">
        <v>566</v>
      </c>
      <c r="C629" s="23" t="s">
        <v>10</v>
      </c>
      <c r="D629" s="23" t="s">
        <v>11</v>
      </c>
      <c r="E629" s="4">
        <v>287.12</v>
      </c>
      <c r="F629" s="5">
        <v>0.065</v>
      </c>
      <c r="G629" s="24">
        <v>305.7828</v>
      </c>
      <c r="H629" s="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6">
        <v>2468.0</v>
      </c>
      <c r="B630" s="47" t="s">
        <v>567</v>
      </c>
      <c r="C630" s="27" t="s">
        <v>10</v>
      </c>
      <c r="D630" s="27" t="s">
        <v>11</v>
      </c>
      <c r="E630" s="28">
        <v>287.12</v>
      </c>
      <c r="F630" s="29">
        <v>0.065</v>
      </c>
      <c r="G630" s="30">
        <v>305.7828</v>
      </c>
      <c r="H630" s="31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3">
        <v>2341.0</v>
      </c>
      <c r="B631" s="6" t="s">
        <v>568</v>
      </c>
      <c r="C631" s="23" t="s">
        <v>10</v>
      </c>
      <c r="D631" s="23" t="s">
        <v>11</v>
      </c>
      <c r="E631" s="4">
        <v>388.54</v>
      </c>
      <c r="F631" s="5">
        <v>0.065</v>
      </c>
      <c r="G631" s="24">
        <v>413.79510000000005</v>
      </c>
      <c r="H631" s="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3"/>
      <c r="B632" s="6"/>
      <c r="C632" s="23"/>
      <c r="D632" s="23"/>
      <c r="E632" s="4"/>
      <c r="F632" s="5"/>
      <c r="G632" s="24"/>
      <c r="H632" s="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3"/>
      <c r="B633" s="37" t="s">
        <v>569</v>
      </c>
      <c r="C633" s="23"/>
      <c r="D633" s="23"/>
      <c r="E633" s="2"/>
      <c r="F633" s="20"/>
      <c r="G633" s="2"/>
      <c r="H633" s="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3">
        <v>2692.0</v>
      </c>
      <c r="B634" s="6" t="s">
        <v>570</v>
      </c>
      <c r="C634" s="23" t="s">
        <v>10</v>
      </c>
      <c r="D634" s="23" t="s">
        <v>34</v>
      </c>
      <c r="E634" s="4">
        <v>59.0</v>
      </c>
      <c r="F634" s="5">
        <v>0.065</v>
      </c>
      <c r="G634" s="24">
        <v>62.835</v>
      </c>
      <c r="H634" s="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6">
        <v>2693.0</v>
      </c>
      <c r="B635" s="47" t="s">
        <v>571</v>
      </c>
      <c r="C635" s="27" t="s">
        <v>10</v>
      </c>
      <c r="D635" s="27" t="s">
        <v>34</v>
      </c>
      <c r="E635" s="28">
        <v>59.0</v>
      </c>
      <c r="F635" s="29">
        <v>0.065</v>
      </c>
      <c r="G635" s="30">
        <v>62.835</v>
      </c>
      <c r="H635" s="31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3">
        <v>2697.0</v>
      </c>
      <c r="B636" s="6" t="s">
        <v>572</v>
      </c>
      <c r="C636" s="23" t="s">
        <v>10</v>
      </c>
      <c r="D636" s="23" t="s">
        <v>34</v>
      </c>
      <c r="E636" s="4">
        <v>88.8</v>
      </c>
      <c r="F636" s="5">
        <v>0.065</v>
      </c>
      <c r="G636" s="24">
        <v>94.572</v>
      </c>
      <c r="H636" s="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6">
        <v>2698.0</v>
      </c>
      <c r="B637" s="47" t="s">
        <v>573</v>
      </c>
      <c r="C637" s="27" t="s">
        <v>10</v>
      </c>
      <c r="D637" s="27" t="s">
        <v>34</v>
      </c>
      <c r="E637" s="28">
        <v>88.8</v>
      </c>
      <c r="F637" s="29">
        <v>0.065</v>
      </c>
      <c r="G637" s="30">
        <v>94.572</v>
      </c>
      <c r="H637" s="31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3">
        <v>2762.0</v>
      </c>
      <c r="B638" s="6" t="s">
        <v>574</v>
      </c>
      <c r="C638" s="23" t="s">
        <v>10</v>
      </c>
      <c r="D638" s="23" t="s">
        <v>102</v>
      </c>
      <c r="E638" s="4">
        <v>78.81</v>
      </c>
      <c r="F638" s="5">
        <v>0.065</v>
      </c>
      <c r="G638" s="24">
        <v>83.93265</v>
      </c>
      <c r="H638" s="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6">
        <v>2695.0</v>
      </c>
      <c r="B639" s="47" t="s">
        <v>575</v>
      </c>
      <c r="C639" s="27" t="s">
        <v>10</v>
      </c>
      <c r="D639" s="27" t="s">
        <v>11</v>
      </c>
      <c r="E639" s="28">
        <v>59.0</v>
      </c>
      <c r="F639" s="29">
        <v>0.065</v>
      </c>
      <c r="G639" s="30">
        <v>62.835</v>
      </c>
      <c r="H639" s="31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3">
        <v>2696.0</v>
      </c>
      <c r="B640" s="6" t="s">
        <v>576</v>
      </c>
      <c r="C640" s="23" t="s">
        <v>10</v>
      </c>
      <c r="D640" s="23" t="s">
        <v>11</v>
      </c>
      <c r="E640" s="4">
        <v>59.0</v>
      </c>
      <c r="F640" s="5">
        <v>0.065</v>
      </c>
      <c r="G640" s="24">
        <v>62.835</v>
      </c>
      <c r="H640" s="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6">
        <v>2699.0</v>
      </c>
      <c r="B641" s="47" t="s">
        <v>577</v>
      </c>
      <c r="C641" s="27" t="s">
        <v>10</v>
      </c>
      <c r="D641" s="27" t="s">
        <v>11</v>
      </c>
      <c r="E641" s="28">
        <v>88.8</v>
      </c>
      <c r="F641" s="29">
        <v>0.065</v>
      </c>
      <c r="G641" s="30">
        <v>94.572</v>
      </c>
      <c r="H641" s="31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3">
        <v>2700.0</v>
      </c>
      <c r="B642" s="6" t="s">
        <v>578</v>
      </c>
      <c r="C642" s="23" t="s">
        <v>10</v>
      </c>
      <c r="D642" s="23" t="s">
        <v>11</v>
      </c>
      <c r="E642" s="4">
        <v>88.8</v>
      </c>
      <c r="F642" s="5">
        <v>0.065</v>
      </c>
      <c r="G642" s="24">
        <v>94.572</v>
      </c>
      <c r="H642" s="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6">
        <v>2701.0</v>
      </c>
      <c r="B643" s="47" t="s">
        <v>579</v>
      </c>
      <c r="C643" s="27" t="s">
        <v>10</v>
      </c>
      <c r="D643" s="27" t="s">
        <v>11</v>
      </c>
      <c r="E643" s="28">
        <v>88.8</v>
      </c>
      <c r="F643" s="29">
        <v>0.065</v>
      </c>
      <c r="G643" s="30">
        <v>94.572</v>
      </c>
      <c r="H643" s="31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3">
        <v>2702.0</v>
      </c>
      <c r="B644" s="6" t="s">
        <v>580</v>
      </c>
      <c r="C644" s="23" t="s">
        <v>10</v>
      </c>
      <c r="D644" s="23" t="s">
        <v>11</v>
      </c>
      <c r="E644" s="4">
        <v>121.31</v>
      </c>
      <c r="F644" s="5">
        <v>0.065</v>
      </c>
      <c r="G644" s="24">
        <v>129.19515</v>
      </c>
      <c r="H644" s="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9">
        <v>2886.0</v>
      </c>
      <c r="B645" s="47" t="s">
        <v>581</v>
      </c>
      <c r="C645" s="27" t="s">
        <v>10</v>
      </c>
      <c r="D645" s="27" t="s">
        <v>11</v>
      </c>
      <c r="E645" s="28">
        <v>122.12</v>
      </c>
      <c r="F645" s="29">
        <v>0.065</v>
      </c>
      <c r="G645" s="30">
        <v>130.05780000000001</v>
      </c>
      <c r="H645" s="40" t="s">
        <v>120</v>
      </c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3">
        <v>2704.0</v>
      </c>
      <c r="B646" s="6" t="s">
        <v>582</v>
      </c>
      <c r="C646" s="23" t="s">
        <v>10</v>
      </c>
      <c r="D646" s="23" t="s">
        <v>11</v>
      </c>
      <c r="E646" s="4">
        <v>121.31</v>
      </c>
      <c r="F646" s="5">
        <v>0.065</v>
      </c>
      <c r="G646" s="24">
        <v>129.19515</v>
      </c>
      <c r="H646" s="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6">
        <v>2703.0</v>
      </c>
      <c r="B647" s="47" t="s">
        <v>583</v>
      </c>
      <c r="C647" s="27" t="s">
        <v>10</v>
      </c>
      <c r="D647" s="27" t="s">
        <v>11</v>
      </c>
      <c r="E647" s="28">
        <v>121.31</v>
      </c>
      <c r="F647" s="29">
        <v>0.065</v>
      </c>
      <c r="G647" s="30">
        <v>129.19515</v>
      </c>
      <c r="H647" s="31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3">
        <v>2705.0</v>
      </c>
      <c r="B648" s="6" t="s">
        <v>584</v>
      </c>
      <c r="C648" s="23" t="s">
        <v>10</v>
      </c>
      <c r="D648" s="23" t="s">
        <v>11</v>
      </c>
      <c r="E648" s="4">
        <v>230.95</v>
      </c>
      <c r="F648" s="5">
        <v>0.065</v>
      </c>
      <c r="G648" s="24">
        <v>245.96175</v>
      </c>
      <c r="H648" s="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6">
        <v>2706.0</v>
      </c>
      <c r="B649" s="47" t="s">
        <v>585</v>
      </c>
      <c r="C649" s="27" t="s">
        <v>10</v>
      </c>
      <c r="D649" s="27" t="s">
        <v>11</v>
      </c>
      <c r="E649" s="28">
        <v>503.84</v>
      </c>
      <c r="F649" s="29">
        <v>0.065</v>
      </c>
      <c r="G649" s="30">
        <v>536.5896</v>
      </c>
      <c r="H649" s="31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3"/>
      <c r="B650" s="6"/>
      <c r="C650" s="23"/>
      <c r="D650" s="23"/>
      <c r="E650" s="2"/>
      <c r="F650" s="20"/>
      <c r="G650" s="2"/>
      <c r="H650" s="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1"/>
      <c r="B651" s="18" t="s">
        <v>586</v>
      </c>
      <c r="C651" s="3"/>
      <c r="D651" s="3"/>
      <c r="E651" s="4"/>
      <c r="F651" s="48"/>
      <c r="G651" s="38"/>
      <c r="H651" s="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3"/>
      <c r="B652" s="37" t="s">
        <v>587</v>
      </c>
      <c r="C652" s="23"/>
      <c r="D652" s="23"/>
      <c r="E652" s="4"/>
      <c r="F652" s="48"/>
      <c r="G652" s="38"/>
      <c r="H652" s="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3">
        <v>301.0</v>
      </c>
      <c r="B653" s="6" t="s">
        <v>588</v>
      </c>
      <c r="C653" s="23" t="s">
        <v>10</v>
      </c>
      <c r="D653" s="23" t="s">
        <v>34</v>
      </c>
      <c r="E653" s="4">
        <v>169.0</v>
      </c>
      <c r="F653" s="5">
        <v>0.065</v>
      </c>
      <c r="G653" s="24">
        <v>179.985</v>
      </c>
      <c r="H653" s="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6">
        <v>307.0</v>
      </c>
      <c r="B654" s="47" t="s">
        <v>589</v>
      </c>
      <c r="C654" s="27" t="s">
        <v>10</v>
      </c>
      <c r="D654" s="27" t="s">
        <v>34</v>
      </c>
      <c r="E654" s="28">
        <v>168.86</v>
      </c>
      <c r="F654" s="29">
        <v>0.065</v>
      </c>
      <c r="G654" s="30">
        <v>179.8359</v>
      </c>
      <c r="H654" s="31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3">
        <v>2039.0</v>
      </c>
      <c r="B655" s="6" t="s">
        <v>590</v>
      </c>
      <c r="C655" s="23" t="s">
        <v>10</v>
      </c>
      <c r="D655" s="23" t="s">
        <v>34</v>
      </c>
      <c r="E655" s="4">
        <v>407.94</v>
      </c>
      <c r="F655" s="5">
        <v>0.065</v>
      </c>
      <c r="G655" s="24">
        <v>434.4561</v>
      </c>
      <c r="H655" s="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6">
        <v>303.0</v>
      </c>
      <c r="B656" s="47" t="s">
        <v>591</v>
      </c>
      <c r="C656" s="27" t="s">
        <v>17</v>
      </c>
      <c r="D656" s="27" t="s">
        <v>11</v>
      </c>
      <c r="E656" s="28">
        <v>159.6</v>
      </c>
      <c r="F656" s="29">
        <v>0.065</v>
      </c>
      <c r="G656" s="30">
        <v>169.974</v>
      </c>
      <c r="H656" s="31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3">
        <v>305.0</v>
      </c>
      <c r="B657" s="6" t="s">
        <v>592</v>
      </c>
      <c r="C657" s="23" t="s">
        <v>10</v>
      </c>
      <c r="D657" s="23" t="s">
        <v>11</v>
      </c>
      <c r="E657" s="4">
        <v>160.18</v>
      </c>
      <c r="F657" s="5">
        <v>0.065</v>
      </c>
      <c r="G657" s="24">
        <v>170.5917</v>
      </c>
      <c r="H657" s="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6">
        <v>304.0</v>
      </c>
      <c r="B658" s="47" t="s">
        <v>593</v>
      </c>
      <c r="C658" s="27" t="s">
        <v>10</v>
      </c>
      <c r="D658" s="27" t="s">
        <v>11</v>
      </c>
      <c r="E658" s="28">
        <v>216.86</v>
      </c>
      <c r="F658" s="29">
        <v>0.065</v>
      </c>
      <c r="G658" s="30">
        <v>230.9559</v>
      </c>
      <c r="H658" s="31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3">
        <v>2369.0</v>
      </c>
      <c r="B659" s="6" t="s">
        <v>594</v>
      </c>
      <c r="C659" s="23" t="s">
        <v>10</v>
      </c>
      <c r="D659" s="23" t="s">
        <v>11</v>
      </c>
      <c r="E659" s="4">
        <v>289.54</v>
      </c>
      <c r="F659" s="5">
        <v>0.065</v>
      </c>
      <c r="G659" s="24">
        <v>308.36010000000005</v>
      </c>
      <c r="H659" s="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6">
        <v>2789.0</v>
      </c>
      <c r="B660" s="47" t="s">
        <v>595</v>
      </c>
      <c r="C660" s="27" t="s">
        <v>10</v>
      </c>
      <c r="D660" s="27" t="s">
        <v>11</v>
      </c>
      <c r="E660" s="28">
        <v>289.65</v>
      </c>
      <c r="F660" s="29">
        <v>0.065</v>
      </c>
      <c r="G660" s="30">
        <v>308.47724999999997</v>
      </c>
      <c r="H660" s="31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3">
        <v>1649.0</v>
      </c>
      <c r="B661" s="6" t="s">
        <v>596</v>
      </c>
      <c r="C661" s="23" t="s">
        <v>10</v>
      </c>
      <c r="D661" s="23" t="s">
        <v>11</v>
      </c>
      <c r="E661" s="4">
        <v>332.63</v>
      </c>
      <c r="F661" s="5">
        <v>0.065</v>
      </c>
      <c r="G661" s="24">
        <v>354.25095</v>
      </c>
      <c r="H661" s="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6">
        <v>2790.0</v>
      </c>
      <c r="B662" s="47" t="s">
        <v>597</v>
      </c>
      <c r="C662" s="27" t="s">
        <v>10</v>
      </c>
      <c r="D662" s="27" t="s">
        <v>11</v>
      </c>
      <c r="E662" s="28">
        <v>407.82</v>
      </c>
      <c r="F662" s="29">
        <v>0.065</v>
      </c>
      <c r="G662" s="30">
        <v>434.3283</v>
      </c>
      <c r="H662" s="31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3">
        <v>192.0</v>
      </c>
      <c r="B663" s="6" t="s">
        <v>598</v>
      </c>
      <c r="C663" s="23" t="s">
        <v>10</v>
      </c>
      <c r="D663" s="23" t="s">
        <v>11</v>
      </c>
      <c r="E663" s="4">
        <v>414.65</v>
      </c>
      <c r="F663" s="5">
        <v>0.065</v>
      </c>
      <c r="G663" s="24">
        <v>441.60224999999997</v>
      </c>
      <c r="H663" s="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3"/>
      <c r="B664" s="6"/>
      <c r="C664" s="23"/>
      <c r="D664" s="23"/>
      <c r="E664" s="4"/>
      <c r="F664" s="5"/>
      <c r="G664" s="24"/>
      <c r="H664" s="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6"/>
      <c r="B665" s="18" t="s">
        <v>599</v>
      </c>
      <c r="C665" s="3"/>
      <c r="D665" s="3"/>
      <c r="E665" s="4"/>
      <c r="F665" s="5"/>
      <c r="G665" s="38"/>
      <c r="H665" s="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3"/>
      <c r="B666" s="37" t="s">
        <v>600</v>
      </c>
      <c r="C666" s="23"/>
      <c r="D666" s="23"/>
      <c r="E666" s="4"/>
      <c r="F666" s="5"/>
      <c r="G666" s="38"/>
      <c r="H666" s="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3">
        <v>2622.0</v>
      </c>
      <c r="B667" s="6" t="s">
        <v>601</v>
      </c>
      <c r="C667" s="23" t="s">
        <v>10</v>
      </c>
      <c r="D667" s="23" t="s">
        <v>58</v>
      </c>
      <c r="E667" s="4">
        <v>55.93</v>
      </c>
      <c r="F667" s="5">
        <v>0.065</v>
      </c>
      <c r="G667" s="24">
        <v>59.56545</v>
      </c>
      <c r="H667" s="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6">
        <v>2846.0</v>
      </c>
      <c r="B668" s="35" t="s">
        <v>602</v>
      </c>
      <c r="C668" s="27" t="s">
        <v>10</v>
      </c>
      <c r="D668" s="27" t="s">
        <v>22</v>
      </c>
      <c r="E668" s="28">
        <v>55.93</v>
      </c>
      <c r="F668" s="29">
        <v>0.065</v>
      </c>
      <c r="G668" s="30">
        <v>59.56545</v>
      </c>
      <c r="H668" s="31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3">
        <v>199.0</v>
      </c>
      <c r="B669" s="6" t="s">
        <v>603</v>
      </c>
      <c r="C669" s="23" t="s">
        <v>10</v>
      </c>
      <c r="D669" s="23" t="s">
        <v>34</v>
      </c>
      <c r="E669" s="4">
        <v>55.93</v>
      </c>
      <c r="F669" s="5">
        <v>0.065</v>
      </c>
      <c r="G669" s="24">
        <v>59.56545</v>
      </c>
      <c r="H669" s="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6">
        <v>559.0</v>
      </c>
      <c r="B670" s="35" t="s">
        <v>604</v>
      </c>
      <c r="C670" s="27" t="s">
        <v>10</v>
      </c>
      <c r="D670" s="27" t="s">
        <v>34</v>
      </c>
      <c r="E670" s="28">
        <v>55.93</v>
      </c>
      <c r="F670" s="29">
        <v>0.065</v>
      </c>
      <c r="G670" s="30">
        <v>59.56545</v>
      </c>
      <c r="H670" s="31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3">
        <v>177.0</v>
      </c>
      <c r="B671" s="6" t="s">
        <v>605</v>
      </c>
      <c r="C671" s="23" t="s">
        <v>10</v>
      </c>
      <c r="D671" s="23" t="s">
        <v>102</v>
      </c>
      <c r="E671" s="4">
        <v>55.93</v>
      </c>
      <c r="F671" s="5">
        <v>0.065</v>
      </c>
      <c r="G671" s="24">
        <v>59.56545</v>
      </c>
      <c r="H671" s="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6">
        <v>176.0</v>
      </c>
      <c r="B672" s="35" t="s">
        <v>606</v>
      </c>
      <c r="C672" s="27" t="s">
        <v>10</v>
      </c>
      <c r="D672" s="27" t="s">
        <v>11</v>
      </c>
      <c r="E672" s="28">
        <v>55.93</v>
      </c>
      <c r="F672" s="29">
        <v>0.065</v>
      </c>
      <c r="G672" s="30">
        <v>59.56545</v>
      </c>
      <c r="H672" s="31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3">
        <v>194.0</v>
      </c>
      <c r="B673" s="6" t="s">
        <v>607</v>
      </c>
      <c r="C673" s="23" t="s">
        <v>10</v>
      </c>
      <c r="D673" s="23" t="s">
        <v>11</v>
      </c>
      <c r="E673" s="4">
        <v>55.93</v>
      </c>
      <c r="F673" s="5">
        <v>0.065</v>
      </c>
      <c r="G673" s="24">
        <v>59.56545</v>
      </c>
      <c r="H673" s="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6">
        <v>2178.0</v>
      </c>
      <c r="B674" s="35" t="s">
        <v>608</v>
      </c>
      <c r="C674" s="27" t="s">
        <v>10</v>
      </c>
      <c r="D674" s="27" t="s">
        <v>11</v>
      </c>
      <c r="E674" s="28">
        <v>78.29</v>
      </c>
      <c r="F674" s="29">
        <v>0.065</v>
      </c>
      <c r="G674" s="30">
        <v>83.37885</v>
      </c>
      <c r="H674" s="31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53" t="s">
        <v>609</v>
      </c>
      <c r="B675" s="6"/>
      <c r="C675" s="23"/>
      <c r="D675" s="23"/>
      <c r="E675" s="4"/>
      <c r="F675" s="5"/>
      <c r="G675" s="24"/>
      <c r="H675" s="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3">
        <v>163.0</v>
      </c>
      <c r="B676" s="6" t="s">
        <v>610</v>
      </c>
      <c r="C676" s="23" t="s">
        <v>430</v>
      </c>
      <c r="D676" s="23" t="s">
        <v>22</v>
      </c>
      <c r="E676" s="4">
        <v>189.61</v>
      </c>
      <c r="F676" s="5">
        <v>0.065</v>
      </c>
      <c r="G676" s="24">
        <v>201.93465</v>
      </c>
      <c r="H676" s="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6">
        <v>180.0</v>
      </c>
      <c r="B677" s="35" t="s">
        <v>611</v>
      </c>
      <c r="C677" s="27" t="s">
        <v>10</v>
      </c>
      <c r="D677" s="27" t="s">
        <v>34</v>
      </c>
      <c r="E677" s="28">
        <v>110.34</v>
      </c>
      <c r="F677" s="29">
        <v>0.065</v>
      </c>
      <c r="G677" s="30">
        <v>117.5121</v>
      </c>
      <c r="H677" s="31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3">
        <v>191.0</v>
      </c>
      <c r="B678" s="6" t="s">
        <v>612</v>
      </c>
      <c r="C678" s="23" t="s">
        <v>10</v>
      </c>
      <c r="D678" s="23" t="s">
        <v>34</v>
      </c>
      <c r="E678" s="4">
        <v>110.23</v>
      </c>
      <c r="F678" s="5">
        <v>0.065</v>
      </c>
      <c r="G678" s="24">
        <v>117.39495000000001</v>
      </c>
      <c r="H678" s="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6">
        <v>153.0</v>
      </c>
      <c r="B679" s="35" t="s">
        <v>613</v>
      </c>
      <c r="C679" s="27" t="s">
        <v>10</v>
      </c>
      <c r="D679" s="27" t="s">
        <v>34</v>
      </c>
      <c r="E679" s="28">
        <v>110.34</v>
      </c>
      <c r="F679" s="29">
        <v>0.065</v>
      </c>
      <c r="G679" s="30">
        <v>117.5121</v>
      </c>
      <c r="H679" s="31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3">
        <v>151.0</v>
      </c>
      <c r="B680" s="6" t="s">
        <v>614</v>
      </c>
      <c r="C680" s="23" t="s">
        <v>10</v>
      </c>
      <c r="D680" s="23" t="s">
        <v>11</v>
      </c>
      <c r="E680" s="4">
        <v>110.58</v>
      </c>
      <c r="F680" s="5">
        <v>0.065</v>
      </c>
      <c r="G680" s="24">
        <v>117.7677</v>
      </c>
      <c r="H680" s="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6">
        <v>152.0</v>
      </c>
      <c r="B681" s="35" t="s">
        <v>615</v>
      </c>
      <c r="C681" s="27" t="s">
        <v>10</v>
      </c>
      <c r="D681" s="27" t="s">
        <v>11</v>
      </c>
      <c r="E681" s="28">
        <v>110.34</v>
      </c>
      <c r="F681" s="29">
        <v>0.065</v>
      </c>
      <c r="G681" s="30">
        <v>117.5121</v>
      </c>
      <c r="H681" s="31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3">
        <v>165.0</v>
      </c>
      <c r="B682" s="6" t="s">
        <v>616</v>
      </c>
      <c r="C682" s="23" t="s">
        <v>10</v>
      </c>
      <c r="D682" s="23" t="s">
        <v>11</v>
      </c>
      <c r="E682" s="4">
        <v>110.34</v>
      </c>
      <c r="F682" s="5">
        <v>0.065</v>
      </c>
      <c r="G682" s="24">
        <v>117.5121</v>
      </c>
      <c r="H682" s="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3" t="s">
        <v>617</v>
      </c>
      <c r="B683" s="6"/>
      <c r="C683" s="23"/>
      <c r="D683" s="23"/>
      <c r="E683" s="4"/>
      <c r="F683" s="5"/>
      <c r="G683" s="24"/>
      <c r="H683" s="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3">
        <v>2645.0</v>
      </c>
      <c r="B684" s="6" t="s">
        <v>618</v>
      </c>
      <c r="C684" s="23" t="s">
        <v>10</v>
      </c>
      <c r="D684" s="23" t="s">
        <v>34</v>
      </c>
      <c r="E684" s="4">
        <v>133.0</v>
      </c>
      <c r="F684" s="5">
        <v>0.065</v>
      </c>
      <c r="G684" s="24">
        <v>141.645</v>
      </c>
      <c r="H684" s="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6">
        <v>2849.0</v>
      </c>
      <c r="B685" s="35" t="s">
        <v>619</v>
      </c>
      <c r="C685" s="27" t="s">
        <v>10</v>
      </c>
      <c r="D685" s="27" t="s">
        <v>102</v>
      </c>
      <c r="E685" s="28">
        <v>133.0</v>
      </c>
      <c r="F685" s="29">
        <v>0.065</v>
      </c>
      <c r="G685" s="30">
        <v>141.645</v>
      </c>
      <c r="H685" s="31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3">
        <v>161.0</v>
      </c>
      <c r="B686" s="6" t="s">
        <v>620</v>
      </c>
      <c r="C686" s="23" t="s">
        <v>10</v>
      </c>
      <c r="D686" s="23" t="s">
        <v>11</v>
      </c>
      <c r="E686" s="4">
        <v>154.44</v>
      </c>
      <c r="F686" s="5">
        <v>0.065</v>
      </c>
      <c r="G686" s="24">
        <v>164.4786</v>
      </c>
      <c r="H686" s="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6">
        <v>1537.0</v>
      </c>
      <c r="B687" s="35" t="s">
        <v>621</v>
      </c>
      <c r="C687" s="27" t="s">
        <v>10</v>
      </c>
      <c r="D687" s="27" t="s">
        <v>11</v>
      </c>
      <c r="E687" s="28">
        <v>157.95</v>
      </c>
      <c r="F687" s="29">
        <v>0.065</v>
      </c>
      <c r="G687" s="30">
        <v>168.21675</v>
      </c>
      <c r="H687" s="31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3">
        <v>2639.0</v>
      </c>
      <c r="B688" s="6" t="s">
        <v>622</v>
      </c>
      <c r="C688" s="23" t="s">
        <v>10</v>
      </c>
      <c r="D688" s="23" t="s">
        <v>11</v>
      </c>
      <c r="E688" s="4">
        <v>157.95</v>
      </c>
      <c r="F688" s="5">
        <v>0.065</v>
      </c>
      <c r="G688" s="24">
        <v>168.21675</v>
      </c>
      <c r="H688" s="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6">
        <v>2641.0</v>
      </c>
      <c r="B689" s="35" t="s">
        <v>623</v>
      </c>
      <c r="C689" s="27" t="s">
        <v>10</v>
      </c>
      <c r="D689" s="27" t="s">
        <v>11</v>
      </c>
      <c r="E689" s="28">
        <v>157.95</v>
      </c>
      <c r="F689" s="29">
        <v>0.065</v>
      </c>
      <c r="G689" s="30">
        <v>168.21675</v>
      </c>
      <c r="H689" s="31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3">
        <v>2642.0</v>
      </c>
      <c r="B690" s="6" t="s">
        <v>624</v>
      </c>
      <c r="C690" s="23" t="s">
        <v>10</v>
      </c>
      <c r="D690" s="23" t="s">
        <v>11</v>
      </c>
      <c r="E690" s="4">
        <v>157.95</v>
      </c>
      <c r="F690" s="5">
        <v>0.065</v>
      </c>
      <c r="G690" s="24">
        <v>168.21675</v>
      </c>
      <c r="H690" s="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6">
        <v>2643.0</v>
      </c>
      <c r="B691" s="35" t="s">
        <v>625</v>
      </c>
      <c r="C691" s="27" t="s">
        <v>10</v>
      </c>
      <c r="D691" s="27" t="s">
        <v>11</v>
      </c>
      <c r="E691" s="28">
        <v>157.95</v>
      </c>
      <c r="F691" s="29">
        <v>0.065</v>
      </c>
      <c r="G691" s="30">
        <v>168.21675</v>
      </c>
      <c r="H691" s="31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53" t="s">
        <v>626</v>
      </c>
      <c r="B692" s="6"/>
      <c r="C692" s="23"/>
      <c r="D692" s="23"/>
      <c r="E692" s="4"/>
      <c r="F692" s="5"/>
      <c r="G692" s="24"/>
      <c r="H692" s="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3">
        <v>178.0</v>
      </c>
      <c r="B693" s="6" t="s">
        <v>627</v>
      </c>
      <c r="C693" s="23" t="s">
        <v>451</v>
      </c>
      <c r="D693" s="23" t="s">
        <v>58</v>
      </c>
      <c r="E693" s="4">
        <v>320.2</v>
      </c>
      <c r="F693" s="5">
        <v>0.065</v>
      </c>
      <c r="G693" s="24">
        <v>341.013</v>
      </c>
      <c r="H693" s="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6">
        <v>2855.0</v>
      </c>
      <c r="B694" s="35" t="s">
        <v>628</v>
      </c>
      <c r="C694" s="27" t="s">
        <v>451</v>
      </c>
      <c r="D694" s="27" t="s">
        <v>34</v>
      </c>
      <c r="E694" s="28">
        <v>479.77</v>
      </c>
      <c r="F694" s="29">
        <v>0.065</v>
      </c>
      <c r="G694" s="30">
        <v>510.95504999999997</v>
      </c>
      <c r="H694" s="31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3">
        <v>155.0</v>
      </c>
      <c r="B695" s="6" t="s">
        <v>629</v>
      </c>
      <c r="C695" s="23" t="s">
        <v>10</v>
      </c>
      <c r="D695" s="23" t="s">
        <v>11</v>
      </c>
      <c r="E695" s="4">
        <v>367.41</v>
      </c>
      <c r="F695" s="5">
        <v>0.065</v>
      </c>
      <c r="G695" s="24">
        <v>391.29165</v>
      </c>
      <c r="H695" s="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6">
        <v>2866.0</v>
      </c>
      <c r="B696" s="35" t="s">
        <v>630</v>
      </c>
      <c r="C696" s="27" t="s">
        <v>451</v>
      </c>
      <c r="D696" s="27" t="s">
        <v>11</v>
      </c>
      <c r="E696" s="28">
        <v>500.3</v>
      </c>
      <c r="F696" s="29">
        <v>0.065</v>
      </c>
      <c r="G696" s="30">
        <v>532.8195000000001</v>
      </c>
      <c r="H696" s="31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3">
        <v>2683.0</v>
      </c>
      <c r="B697" s="6" t="s">
        <v>631</v>
      </c>
      <c r="C697" s="23" t="s">
        <v>10</v>
      </c>
      <c r="D697" s="23" t="s">
        <v>11</v>
      </c>
      <c r="E697" s="4">
        <v>620.36</v>
      </c>
      <c r="F697" s="5">
        <v>0.065</v>
      </c>
      <c r="G697" s="24">
        <v>660.6834</v>
      </c>
      <c r="H697" s="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3"/>
      <c r="B698" s="6"/>
      <c r="C698" s="23"/>
      <c r="D698" s="23"/>
      <c r="E698" s="4"/>
      <c r="F698" s="5"/>
      <c r="G698" s="24"/>
      <c r="H698" s="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3"/>
      <c r="B699" s="37" t="s">
        <v>632</v>
      </c>
      <c r="C699" s="23"/>
      <c r="D699" s="23"/>
      <c r="E699" s="4"/>
      <c r="F699" s="5"/>
      <c r="G699" s="38"/>
      <c r="H699" s="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3">
        <v>139.0</v>
      </c>
      <c r="B700" s="6" t="s">
        <v>633</v>
      </c>
      <c r="C700" s="23" t="s">
        <v>10</v>
      </c>
      <c r="D700" s="23" t="s">
        <v>11</v>
      </c>
      <c r="E700" s="4">
        <v>119.45</v>
      </c>
      <c r="F700" s="5">
        <v>0.065</v>
      </c>
      <c r="G700" s="24">
        <v>127.21425</v>
      </c>
      <c r="H700" s="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6">
        <v>138.0</v>
      </c>
      <c r="B701" s="35" t="s">
        <v>634</v>
      </c>
      <c r="C701" s="27" t="s">
        <v>10</v>
      </c>
      <c r="D701" s="27" t="s">
        <v>11</v>
      </c>
      <c r="E701" s="28">
        <v>119.45</v>
      </c>
      <c r="F701" s="29">
        <v>0.065</v>
      </c>
      <c r="G701" s="30">
        <v>127.21425</v>
      </c>
      <c r="H701" s="31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3">
        <v>141.0</v>
      </c>
      <c r="B702" s="6" t="s">
        <v>635</v>
      </c>
      <c r="C702" s="23" t="s">
        <v>10</v>
      </c>
      <c r="D702" s="23" t="s">
        <v>11</v>
      </c>
      <c r="E702" s="4">
        <v>214.59</v>
      </c>
      <c r="F702" s="5">
        <v>0.065</v>
      </c>
      <c r="G702" s="24">
        <v>228.53835</v>
      </c>
      <c r="H702" s="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6">
        <v>147.0</v>
      </c>
      <c r="B703" s="35" t="s">
        <v>636</v>
      </c>
      <c r="C703" s="27" t="s">
        <v>10</v>
      </c>
      <c r="D703" s="27" t="s">
        <v>11</v>
      </c>
      <c r="E703" s="28">
        <v>1177.11</v>
      </c>
      <c r="F703" s="29">
        <v>0.065</v>
      </c>
      <c r="G703" s="30">
        <v>1253.62215</v>
      </c>
      <c r="H703" s="31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3"/>
      <c r="B704" s="6"/>
      <c r="C704" s="23"/>
      <c r="D704" s="23"/>
      <c r="E704" s="4"/>
      <c r="F704" s="5"/>
      <c r="G704" s="24"/>
      <c r="H704" s="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3"/>
      <c r="B705" s="19" t="s">
        <v>637</v>
      </c>
      <c r="C705" s="23"/>
      <c r="D705" s="23"/>
      <c r="E705" s="4"/>
      <c r="F705" s="5"/>
      <c r="G705" s="24"/>
      <c r="H705" s="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3">
        <v>2746.0</v>
      </c>
      <c r="B706" s="6" t="s">
        <v>638</v>
      </c>
      <c r="C706" s="23" t="s">
        <v>430</v>
      </c>
      <c r="D706" s="23" t="s">
        <v>22</v>
      </c>
      <c r="E706" s="4">
        <v>174.74</v>
      </c>
      <c r="F706" s="5">
        <v>0.065</v>
      </c>
      <c r="G706" s="24">
        <v>186.09810000000002</v>
      </c>
      <c r="H706" s="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6">
        <v>2671.0</v>
      </c>
      <c r="B707" s="35" t="s">
        <v>639</v>
      </c>
      <c r="C707" s="27" t="s">
        <v>17</v>
      </c>
      <c r="D707" s="27" t="s">
        <v>34</v>
      </c>
      <c r="E707" s="28">
        <v>54.22</v>
      </c>
      <c r="F707" s="29">
        <v>0.065</v>
      </c>
      <c r="G707" s="30">
        <v>57.744299999999996</v>
      </c>
      <c r="H707" s="31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3">
        <v>2674.0</v>
      </c>
      <c r="B708" s="6" t="s">
        <v>640</v>
      </c>
      <c r="C708" s="23" t="s">
        <v>17</v>
      </c>
      <c r="D708" s="23" t="s">
        <v>34</v>
      </c>
      <c r="E708" s="4">
        <v>79.43</v>
      </c>
      <c r="F708" s="5">
        <v>0.065</v>
      </c>
      <c r="G708" s="24">
        <v>84.59295</v>
      </c>
      <c r="H708" s="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6">
        <v>2672.0</v>
      </c>
      <c r="B709" s="35" t="s">
        <v>641</v>
      </c>
      <c r="C709" s="27" t="s">
        <v>17</v>
      </c>
      <c r="D709" s="27" t="s">
        <v>34</v>
      </c>
      <c r="E709" s="28">
        <v>54.22</v>
      </c>
      <c r="F709" s="29">
        <v>0.065</v>
      </c>
      <c r="G709" s="30">
        <v>57.744299999999996</v>
      </c>
      <c r="H709" s="31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3">
        <v>2678.0</v>
      </c>
      <c r="B710" s="6" t="s">
        <v>642</v>
      </c>
      <c r="C710" s="23" t="s">
        <v>10</v>
      </c>
      <c r="D710" s="23" t="s">
        <v>34</v>
      </c>
      <c r="E710" s="4">
        <v>135.67</v>
      </c>
      <c r="F710" s="5">
        <v>0.065</v>
      </c>
      <c r="G710" s="24">
        <v>144.48854999999998</v>
      </c>
      <c r="H710" s="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6">
        <v>2673.0</v>
      </c>
      <c r="B711" s="35" t="s">
        <v>643</v>
      </c>
      <c r="C711" s="27" t="s">
        <v>17</v>
      </c>
      <c r="D711" s="27" t="s">
        <v>11</v>
      </c>
      <c r="E711" s="28">
        <v>54.22</v>
      </c>
      <c r="F711" s="29">
        <v>0.065</v>
      </c>
      <c r="G711" s="30">
        <v>57.744299999999996</v>
      </c>
      <c r="H711" s="31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3">
        <v>2676.0</v>
      </c>
      <c r="B712" s="6" t="s">
        <v>644</v>
      </c>
      <c r="C712" s="23" t="s">
        <v>17</v>
      </c>
      <c r="D712" s="23" t="s">
        <v>11</v>
      </c>
      <c r="E712" s="4">
        <v>79.43</v>
      </c>
      <c r="F712" s="5">
        <v>0.065</v>
      </c>
      <c r="G712" s="24">
        <v>84.59295</v>
      </c>
      <c r="H712" s="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6">
        <v>2677.0</v>
      </c>
      <c r="B713" s="35" t="s">
        <v>645</v>
      </c>
      <c r="C713" s="27" t="s">
        <v>17</v>
      </c>
      <c r="D713" s="27" t="s">
        <v>11</v>
      </c>
      <c r="E713" s="28">
        <v>79.43</v>
      </c>
      <c r="F713" s="29">
        <v>0.065</v>
      </c>
      <c r="G713" s="30">
        <v>84.59295</v>
      </c>
      <c r="H713" s="31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3">
        <v>2675.0</v>
      </c>
      <c r="B714" s="6" t="s">
        <v>646</v>
      </c>
      <c r="C714" s="23" t="s">
        <v>17</v>
      </c>
      <c r="D714" s="23" t="s">
        <v>11</v>
      </c>
      <c r="E714" s="4">
        <v>79.43</v>
      </c>
      <c r="F714" s="5">
        <v>0.065</v>
      </c>
      <c r="G714" s="24">
        <v>84.59295</v>
      </c>
      <c r="H714" s="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6">
        <v>2779.0</v>
      </c>
      <c r="B715" s="35" t="s">
        <v>647</v>
      </c>
      <c r="C715" s="27" t="s">
        <v>10</v>
      </c>
      <c r="D715" s="27" t="s">
        <v>11</v>
      </c>
      <c r="E715" s="28">
        <v>134.73</v>
      </c>
      <c r="F715" s="29">
        <v>0.065</v>
      </c>
      <c r="G715" s="30">
        <v>143.48745</v>
      </c>
      <c r="H715" s="31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3">
        <v>2679.0</v>
      </c>
      <c r="B716" s="6" t="s">
        <v>648</v>
      </c>
      <c r="C716" s="23" t="s">
        <v>10</v>
      </c>
      <c r="D716" s="23" t="s">
        <v>11</v>
      </c>
      <c r="E716" s="4">
        <v>135.67</v>
      </c>
      <c r="F716" s="5">
        <v>0.065</v>
      </c>
      <c r="G716" s="24">
        <v>144.48854999999998</v>
      </c>
      <c r="H716" s="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6">
        <v>2680.0</v>
      </c>
      <c r="B717" s="35" t="s">
        <v>649</v>
      </c>
      <c r="C717" s="27" t="s">
        <v>10</v>
      </c>
      <c r="D717" s="27" t="s">
        <v>11</v>
      </c>
      <c r="E717" s="28">
        <v>158.93</v>
      </c>
      <c r="F717" s="29">
        <v>0.065</v>
      </c>
      <c r="G717" s="30">
        <v>169.26045000000002</v>
      </c>
      <c r="H717" s="31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3">
        <v>2841.0</v>
      </c>
      <c r="B718" s="6" t="s">
        <v>650</v>
      </c>
      <c r="C718" s="23" t="s">
        <v>10</v>
      </c>
      <c r="D718" s="23" t="s">
        <v>11</v>
      </c>
      <c r="E718" s="4">
        <v>345.85</v>
      </c>
      <c r="F718" s="5">
        <v>0.065</v>
      </c>
      <c r="G718" s="24">
        <v>368.33025000000004</v>
      </c>
      <c r="H718" s="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3"/>
      <c r="B719" s="6"/>
      <c r="C719" s="23"/>
      <c r="D719" s="23"/>
      <c r="E719" s="4"/>
      <c r="F719" s="5"/>
      <c r="G719" s="24"/>
      <c r="H719" s="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3"/>
      <c r="B720" s="19" t="s">
        <v>651</v>
      </c>
      <c r="C720" s="23"/>
      <c r="D720" s="23"/>
      <c r="E720" s="2"/>
      <c r="F720" s="2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33">
        <v>2835.0</v>
      </c>
      <c r="B721" s="6" t="s">
        <v>652</v>
      </c>
      <c r="C721" s="23" t="s">
        <v>17</v>
      </c>
      <c r="D721" s="23" t="s">
        <v>34</v>
      </c>
      <c r="E721" s="4">
        <v>40.28</v>
      </c>
      <c r="F721" s="5">
        <v>0.065</v>
      </c>
      <c r="G721" s="24">
        <v>42.8982</v>
      </c>
      <c r="H721" s="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6">
        <v>2840.0</v>
      </c>
      <c r="B722" s="35" t="s">
        <v>653</v>
      </c>
      <c r="C722" s="27" t="s">
        <v>17</v>
      </c>
      <c r="D722" s="27" t="s">
        <v>34</v>
      </c>
      <c r="E722" s="28">
        <v>67.12</v>
      </c>
      <c r="F722" s="29">
        <v>0.065</v>
      </c>
      <c r="G722" s="30">
        <v>71.4828</v>
      </c>
      <c r="H722" s="31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3">
        <v>2837.0</v>
      </c>
      <c r="B723" s="6" t="s">
        <v>654</v>
      </c>
      <c r="C723" s="23" t="s">
        <v>17</v>
      </c>
      <c r="D723" s="23" t="s">
        <v>34</v>
      </c>
      <c r="E723" s="4">
        <v>40.28</v>
      </c>
      <c r="F723" s="5">
        <v>0.065</v>
      </c>
      <c r="G723" s="24">
        <v>42.8982</v>
      </c>
      <c r="H723" s="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6">
        <v>2834.0</v>
      </c>
      <c r="B724" s="35" t="s">
        <v>655</v>
      </c>
      <c r="C724" s="27" t="s">
        <v>17</v>
      </c>
      <c r="D724" s="27" t="s">
        <v>102</v>
      </c>
      <c r="E724" s="28">
        <v>40.28</v>
      </c>
      <c r="F724" s="29">
        <v>0.065</v>
      </c>
      <c r="G724" s="30">
        <v>42.8982</v>
      </c>
      <c r="H724" s="31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3">
        <v>2833.0</v>
      </c>
      <c r="B725" s="6" t="s">
        <v>656</v>
      </c>
      <c r="C725" s="23" t="s">
        <v>17</v>
      </c>
      <c r="D725" s="23" t="s">
        <v>11</v>
      </c>
      <c r="E725" s="4">
        <v>40.26</v>
      </c>
      <c r="F725" s="5">
        <v>0.065</v>
      </c>
      <c r="G725" s="24">
        <v>42.8769</v>
      </c>
      <c r="H725" s="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6">
        <v>2836.0</v>
      </c>
      <c r="B726" s="35" t="s">
        <v>657</v>
      </c>
      <c r="C726" s="27" t="s">
        <v>17</v>
      </c>
      <c r="D726" s="27" t="s">
        <v>11</v>
      </c>
      <c r="E726" s="28">
        <v>40.28</v>
      </c>
      <c r="F726" s="29">
        <v>0.065</v>
      </c>
      <c r="G726" s="30">
        <v>42.8982</v>
      </c>
      <c r="H726" s="31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3">
        <v>2838.0</v>
      </c>
      <c r="B727" s="6" t="s">
        <v>658</v>
      </c>
      <c r="C727" s="23" t="s">
        <v>17</v>
      </c>
      <c r="D727" s="23" t="s">
        <v>11</v>
      </c>
      <c r="E727" s="4">
        <v>67.12</v>
      </c>
      <c r="F727" s="5">
        <v>0.065</v>
      </c>
      <c r="G727" s="24">
        <v>71.4828</v>
      </c>
      <c r="H727" s="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6">
        <v>2839.0</v>
      </c>
      <c r="B728" s="35" t="s">
        <v>659</v>
      </c>
      <c r="C728" s="27" t="s">
        <v>17</v>
      </c>
      <c r="D728" s="27" t="s">
        <v>11</v>
      </c>
      <c r="E728" s="28">
        <v>67.12</v>
      </c>
      <c r="F728" s="29">
        <v>0.065</v>
      </c>
      <c r="G728" s="30">
        <v>71.4828</v>
      </c>
      <c r="H728" s="31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3"/>
      <c r="B729" s="6"/>
      <c r="C729" s="23"/>
      <c r="D729" s="23"/>
      <c r="E729" s="2"/>
      <c r="F729" s="2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3"/>
      <c r="B730" s="37" t="s">
        <v>660</v>
      </c>
      <c r="C730" s="23"/>
      <c r="D730" s="2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9">
        <v>2879.0</v>
      </c>
      <c r="B731" s="6" t="s">
        <v>661</v>
      </c>
      <c r="C731" s="23" t="s">
        <v>10</v>
      </c>
      <c r="D731" s="23" t="s">
        <v>34</v>
      </c>
      <c r="E731" s="4">
        <v>72.86</v>
      </c>
      <c r="F731" s="5">
        <v>0.065</v>
      </c>
      <c r="G731" s="24">
        <v>77.5959</v>
      </c>
      <c r="H731" s="40" t="s">
        <v>120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9">
        <v>2895.0</v>
      </c>
      <c r="B732" s="35" t="s">
        <v>662</v>
      </c>
      <c r="C732" s="27" t="s">
        <v>10</v>
      </c>
      <c r="D732" s="27" t="s">
        <v>34</v>
      </c>
      <c r="E732" s="28">
        <v>116.99</v>
      </c>
      <c r="F732" s="29">
        <v>0.065</v>
      </c>
      <c r="G732" s="30">
        <v>124.59434999999999</v>
      </c>
      <c r="H732" s="40" t="s">
        <v>120</v>
      </c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9">
        <v>2878.0</v>
      </c>
      <c r="B733" s="6" t="s">
        <v>663</v>
      </c>
      <c r="C733" s="23" t="s">
        <v>10</v>
      </c>
      <c r="D733" s="23" t="s">
        <v>11</v>
      </c>
      <c r="E733" s="4">
        <v>72.86</v>
      </c>
      <c r="F733" s="5">
        <v>0.065</v>
      </c>
      <c r="G733" s="24">
        <v>77.5959</v>
      </c>
      <c r="H733" s="40" t="s">
        <v>120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9">
        <v>2880.0</v>
      </c>
      <c r="B734" s="35" t="s">
        <v>664</v>
      </c>
      <c r="C734" s="27" t="s">
        <v>10</v>
      </c>
      <c r="D734" s="27" t="s">
        <v>11</v>
      </c>
      <c r="E734" s="28">
        <v>72.86</v>
      </c>
      <c r="F734" s="29">
        <v>0.065</v>
      </c>
      <c r="G734" s="30">
        <v>77.5959</v>
      </c>
      <c r="H734" s="40" t="s">
        <v>120</v>
      </c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9">
        <v>2881.0</v>
      </c>
      <c r="B735" s="6" t="s">
        <v>665</v>
      </c>
      <c r="C735" s="23" t="s">
        <v>10</v>
      </c>
      <c r="D735" s="23" t="s">
        <v>11</v>
      </c>
      <c r="E735" s="4">
        <v>96.47</v>
      </c>
      <c r="F735" s="5">
        <v>0.065</v>
      </c>
      <c r="G735" s="24">
        <v>102.74055</v>
      </c>
      <c r="H735" s="40" t="s">
        <v>120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9">
        <v>2882.0</v>
      </c>
      <c r="B736" s="35" t="s">
        <v>666</v>
      </c>
      <c r="C736" s="27" t="s">
        <v>10</v>
      </c>
      <c r="D736" s="27" t="s">
        <v>11</v>
      </c>
      <c r="E736" s="28">
        <v>230.91</v>
      </c>
      <c r="F736" s="29">
        <v>0.065</v>
      </c>
      <c r="G736" s="30">
        <v>245.91915</v>
      </c>
      <c r="H736" s="40" t="s">
        <v>120</v>
      </c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9">
        <v>2883.0</v>
      </c>
      <c r="B737" s="6" t="s">
        <v>667</v>
      </c>
      <c r="C737" s="23" t="s">
        <v>10</v>
      </c>
      <c r="D737" s="23" t="s">
        <v>11</v>
      </c>
      <c r="E737" s="4">
        <v>303.77</v>
      </c>
      <c r="F737" s="5">
        <v>0.065</v>
      </c>
      <c r="G737" s="24">
        <v>323.51505</v>
      </c>
      <c r="H737" s="40" t="s">
        <v>120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9">
        <v>2894.0</v>
      </c>
      <c r="B738" s="35" t="s">
        <v>668</v>
      </c>
      <c r="C738" s="27" t="s">
        <v>10</v>
      </c>
      <c r="D738" s="27" t="s">
        <v>11</v>
      </c>
      <c r="E738" s="28">
        <v>484.9</v>
      </c>
      <c r="F738" s="29">
        <v>0.065</v>
      </c>
      <c r="G738" s="30">
        <v>516.4185</v>
      </c>
      <c r="H738" s="40" t="s">
        <v>120</v>
      </c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3"/>
      <c r="B739" s="6"/>
      <c r="C739" s="23"/>
      <c r="D739" s="2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3"/>
      <c r="B740" s="37" t="s">
        <v>669</v>
      </c>
      <c r="C740" s="23"/>
      <c r="D740" s="23"/>
      <c r="E740" s="4"/>
      <c r="F740" s="5"/>
      <c r="G740" s="38"/>
      <c r="H740" s="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3">
        <v>38.0</v>
      </c>
      <c r="B741" s="6" t="s">
        <v>670</v>
      </c>
      <c r="C741" s="23" t="s">
        <v>10</v>
      </c>
      <c r="D741" s="23" t="s">
        <v>34</v>
      </c>
      <c r="E741" s="4">
        <v>71.45</v>
      </c>
      <c r="F741" s="5">
        <v>0.065</v>
      </c>
      <c r="G741" s="24">
        <v>76.09425</v>
      </c>
      <c r="H741" s="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6">
        <v>36.0</v>
      </c>
      <c r="B742" s="35" t="s">
        <v>671</v>
      </c>
      <c r="C742" s="27" t="s">
        <v>10</v>
      </c>
      <c r="D742" s="27" t="s">
        <v>11</v>
      </c>
      <c r="E742" s="28">
        <v>136.11</v>
      </c>
      <c r="F742" s="29">
        <v>0.065</v>
      </c>
      <c r="G742" s="30">
        <v>144.95715</v>
      </c>
      <c r="H742" s="31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3">
        <v>1559.0</v>
      </c>
      <c r="B743" s="6" t="s">
        <v>672</v>
      </c>
      <c r="C743" s="23" t="s">
        <v>10</v>
      </c>
      <c r="D743" s="23" t="s">
        <v>11</v>
      </c>
      <c r="E743" s="4">
        <v>159.02</v>
      </c>
      <c r="F743" s="5">
        <v>0.065</v>
      </c>
      <c r="G743" s="24">
        <v>169.3563</v>
      </c>
      <c r="H743" s="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6">
        <v>1867.0</v>
      </c>
      <c r="B744" s="35" t="s">
        <v>673</v>
      </c>
      <c r="C744" s="27" t="s">
        <v>10</v>
      </c>
      <c r="D744" s="27" t="s">
        <v>11</v>
      </c>
      <c r="E744" s="28">
        <v>159.02</v>
      </c>
      <c r="F744" s="29">
        <v>0.065</v>
      </c>
      <c r="G744" s="30">
        <v>169.3563</v>
      </c>
      <c r="H744" s="31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3">
        <v>2015.0</v>
      </c>
      <c r="B745" s="6" t="s">
        <v>674</v>
      </c>
      <c r="C745" s="23" t="s">
        <v>10</v>
      </c>
      <c r="D745" s="23" t="s">
        <v>11</v>
      </c>
      <c r="E745" s="4">
        <v>253.82</v>
      </c>
      <c r="F745" s="5">
        <v>0.065</v>
      </c>
      <c r="G745" s="24">
        <v>270.3183</v>
      </c>
      <c r="H745" s="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6">
        <v>2407.0</v>
      </c>
      <c r="B746" s="35" t="s">
        <v>675</v>
      </c>
      <c r="C746" s="27" t="s">
        <v>181</v>
      </c>
      <c r="D746" s="27" t="s">
        <v>11</v>
      </c>
      <c r="E746" s="28">
        <v>1111.49</v>
      </c>
      <c r="F746" s="29">
        <v>0.065</v>
      </c>
      <c r="G746" s="30">
        <v>1183.73685</v>
      </c>
      <c r="H746" s="31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9">
        <v>2887.0</v>
      </c>
      <c r="B747" s="6" t="s">
        <v>676</v>
      </c>
      <c r="C747" s="23" t="s">
        <v>10</v>
      </c>
      <c r="D747" s="23" t="s">
        <v>11</v>
      </c>
      <c r="E747" s="4">
        <v>403.83</v>
      </c>
      <c r="F747" s="5">
        <v>0.065</v>
      </c>
      <c r="G747" s="24">
        <v>430.07894999999996</v>
      </c>
      <c r="H747" s="40" t="s">
        <v>120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3"/>
      <c r="B748" s="6"/>
      <c r="C748" s="23"/>
      <c r="D748" s="23"/>
      <c r="E748" s="4"/>
      <c r="F748" s="5"/>
      <c r="G748" s="24"/>
      <c r="H748" s="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3"/>
      <c r="B749" s="37" t="s">
        <v>677</v>
      </c>
      <c r="C749" s="23"/>
      <c r="D749" s="23"/>
      <c r="E749" s="4"/>
      <c r="F749" s="5"/>
      <c r="G749" s="24"/>
      <c r="H749" s="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3">
        <v>1216.0</v>
      </c>
      <c r="B750" s="6" t="s">
        <v>678</v>
      </c>
      <c r="C750" s="23" t="s">
        <v>17</v>
      </c>
      <c r="D750" s="23" t="s">
        <v>34</v>
      </c>
      <c r="E750" s="4">
        <v>71.91</v>
      </c>
      <c r="F750" s="5">
        <v>0.065</v>
      </c>
      <c r="G750" s="24">
        <v>76.58415</v>
      </c>
      <c r="H750" s="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6">
        <v>1217.0</v>
      </c>
      <c r="B751" s="35" t="s">
        <v>679</v>
      </c>
      <c r="C751" s="27" t="s">
        <v>17</v>
      </c>
      <c r="D751" s="27" t="s">
        <v>34</v>
      </c>
      <c r="E751" s="28">
        <v>71.91</v>
      </c>
      <c r="F751" s="29">
        <v>0.065</v>
      </c>
      <c r="G751" s="30">
        <v>76.58415</v>
      </c>
      <c r="H751" s="31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3">
        <v>2660.0</v>
      </c>
      <c r="B752" s="6" t="s">
        <v>680</v>
      </c>
      <c r="C752" s="23" t="s">
        <v>17</v>
      </c>
      <c r="D752" s="23" t="s">
        <v>102</v>
      </c>
      <c r="E752" s="4">
        <v>71.91</v>
      </c>
      <c r="F752" s="5">
        <v>0.065</v>
      </c>
      <c r="G752" s="24">
        <v>76.58415</v>
      </c>
      <c r="H752" s="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6">
        <v>2682.0</v>
      </c>
      <c r="B753" s="35" t="s">
        <v>681</v>
      </c>
      <c r="C753" s="27" t="s">
        <v>10</v>
      </c>
      <c r="D753" s="27" t="s">
        <v>11</v>
      </c>
      <c r="E753" s="28">
        <v>54.86</v>
      </c>
      <c r="F753" s="29">
        <v>0.065</v>
      </c>
      <c r="G753" s="30">
        <v>58.4259</v>
      </c>
      <c r="H753" s="31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3">
        <v>1218.0</v>
      </c>
      <c r="B754" s="6" t="s">
        <v>682</v>
      </c>
      <c r="C754" s="23" t="s">
        <v>17</v>
      </c>
      <c r="D754" s="23" t="s">
        <v>11</v>
      </c>
      <c r="E754" s="4">
        <v>62.1</v>
      </c>
      <c r="F754" s="5">
        <v>0.065</v>
      </c>
      <c r="G754" s="24">
        <v>66.1365</v>
      </c>
      <c r="H754" s="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6">
        <v>1219.0</v>
      </c>
      <c r="B755" s="35" t="s">
        <v>683</v>
      </c>
      <c r="C755" s="27" t="s">
        <v>17</v>
      </c>
      <c r="D755" s="27" t="s">
        <v>11</v>
      </c>
      <c r="E755" s="28">
        <v>71.91</v>
      </c>
      <c r="F755" s="29">
        <v>0.065</v>
      </c>
      <c r="G755" s="30">
        <v>76.58415</v>
      </c>
      <c r="H755" s="31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3">
        <v>1222.0</v>
      </c>
      <c r="B756" s="6" t="s">
        <v>684</v>
      </c>
      <c r="C756" s="23" t="s">
        <v>17</v>
      </c>
      <c r="D756" s="23" t="s">
        <v>11</v>
      </c>
      <c r="E756" s="4">
        <v>71.91</v>
      </c>
      <c r="F756" s="5">
        <v>0.065</v>
      </c>
      <c r="G756" s="24">
        <v>76.58415</v>
      </c>
      <c r="H756" s="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6">
        <v>1226.0</v>
      </c>
      <c r="B757" s="35" t="s">
        <v>685</v>
      </c>
      <c r="C757" s="27" t="s">
        <v>17</v>
      </c>
      <c r="D757" s="27" t="s">
        <v>11</v>
      </c>
      <c r="E757" s="28">
        <v>95.68</v>
      </c>
      <c r="F757" s="29">
        <v>0.065</v>
      </c>
      <c r="G757" s="30">
        <v>101.89920000000001</v>
      </c>
      <c r="H757" s="31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3">
        <v>1228.0</v>
      </c>
      <c r="B758" s="6" t="s">
        <v>686</v>
      </c>
      <c r="C758" s="23" t="s">
        <v>10</v>
      </c>
      <c r="D758" s="23" t="s">
        <v>11</v>
      </c>
      <c r="E758" s="4">
        <v>100.63</v>
      </c>
      <c r="F758" s="5">
        <v>0.065</v>
      </c>
      <c r="G758" s="24">
        <v>107.17094999999999</v>
      </c>
      <c r="H758" s="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6">
        <v>1229.0</v>
      </c>
      <c r="B759" s="35" t="s">
        <v>687</v>
      </c>
      <c r="C759" s="27" t="s">
        <v>10</v>
      </c>
      <c r="D759" s="27" t="s">
        <v>11</v>
      </c>
      <c r="E759" s="28">
        <v>160.13</v>
      </c>
      <c r="F759" s="29">
        <v>0.065</v>
      </c>
      <c r="G759" s="30">
        <v>170.53844999999998</v>
      </c>
      <c r="H759" s="31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3">
        <v>1230.0</v>
      </c>
      <c r="B760" s="6" t="s">
        <v>688</v>
      </c>
      <c r="C760" s="23" t="s">
        <v>10</v>
      </c>
      <c r="D760" s="23" t="s">
        <v>11</v>
      </c>
      <c r="E760" s="4">
        <v>160.13</v>
      </c>
      <c r="F760" s="5">
        <v>0.065</v>
      </c>
      <c r="G760" s="24">
        <v>170.53844999999998</v>
      </c>
      <c r="H760" s="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6">
        <v>2659.0</v>
      </c>
      <c r="B761" s="35" t="s">
        <v>689</v>
      </c>
      <c r="C761" s="27" t="s">
        <v>10</v>
      </c>
      <c r="D761" s="27" t="s">
        <v>11</v>
      </c>
      <c r="E761" s="28">
        <v>160.13</v>
      </c>
      <c r="F761" s="29">
        <v>0.065</v>
      </c>
      <c r="G761" s="30">
        <v>170.53844999999998</v>
      </c>
      <c r="H761" s="31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3">
        <v>1670.0</v>
      </c>
      <c r="B762" s="6" t="s">
        <v>690</v>
      </c>
      <c r="C762" s="23" t="s">
        <v>10</v>
      </c>
      <c r="D762" s="23" t="s">
        <v>11</v>
      </c>
      <c r="E762" s="4">
        <v>324.35</v>
      </c>
      <c r="F762" s="5">
        <v>0.065</v>
      </c>
      <c r="G762" s="24">
        <v>345.43275</v>
      </c>
      <c r="H762" s="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3"/>
      <c r="B763" s="6"/>
      <c r="C763" s="23"/>
      <c r="D763" s="23"/>
      <c r="E763" s="4"/>
      <c r="F763" s="5"/>
      <c r="G763" s="24"/>
      <c r="H763" s="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1"/>
      <c r="B764" s="2"/>
      <c r="C764" s="2"/>
      <c r="D764" s="3"/>
      <c r="E764" s="4"/>
      <c r="F764" s="5"/>
      <c r="G764" s="6"/>
      <c r="H764" s="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1"/>
      <c r="B765" s="2"/>
      <c r="C765" s="2"/>
      <c r="D765" s="3"/>
      <c r="E765" s="4"/>
      <c r="F765" s="5"/>
      <c r="G765" s="6"/>
      <c r="H765" s="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1"/>
      <c r="B766" s="2"/>
      <c r="C766" s="2"/>
      <c r="D766" s="3"/>
      <c r="E766" s="4"/>
      <c r="F766" s="5"/>
      <c r="G766" s="6"/>
      <c r="H766" s="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1"/>
      <c r="B767" s="2"/>
      <c r="C767" s="2"/>
      <c r="D767" s="3"/>
      <c r="E767" s="4"/>
      <c r="F767" s="5"/>
      <c r="G767" s="6"/>
      <c r="H767" s="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1"/>
      <c r="B768" s="2"/>
      <c r="C768" s="2"/>
      <c r="D768" s="3"/>
      <c r="E768" s="4"/>
      <c r="F768" s="5"/>
      <c r="G768" s="6"/>
      <c r="H768" s="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1"/>
      <c r="B769" s="2"/>
      <c r="C769" s="2"/>
      <c r="D769" s="3"/>
      <c r="E769" s="4"/>
      <c r="F769" s="5"/>
      <c r="G769" s="6"/>
      <c r="H769" s="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1"/>
      <c r="B770" s="2"/>
      <c r="C770" s="2"/>
      <c r="D770" s="3"/>
      <c r="E770" s="4"/>
      <c r="F770" s="5"/>
      <c r="G770" s="6"/>
      <c r="H770" s="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1"/>
      <c r="B771" s="2"/>
      <c r="C771" s="2"/>
      <c r="D771" s="3"/>
      <c r="E771" s="4"/>
      <c r="F771" s="5"/>
      <c r="G771" s="6"/>
      <c r="H771" s="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1"/>
      <c r="B772" s="2"/>
      <c r="C772" s="2"/>
      <c r="D772" s="3"/>
      <c r="E772" s="4"/>
      <c r="F772" s="5"/>
      <c r="G772" s="6"/>
      <c r="H772" s="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1"/>
      <c r="B773" s="2"/>
      <c r="C773" s="2"/>
      <c r="D773" s="3"/>
      <c r="E773" s="4"/>
      <c r="F773" s="5"/>
      <c r="G773" s="6"/>
      <c r="H773" s="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1"/>
      <c r="B774" s="2"/>
      <c r="C774" s="2"/>
      <c r="D774" s="3"/>
      <c r="E774" s="4"/>
      <c r="F774" s="5"/>
      <c r="G774" s="6"/>
      <c r="H774" s="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1"/>
      <c r="B775" s="2"/>
      <c r="C775" s="2"/>
      <c r="D775" s="3"/>
      <c r="E775" s="4"/>
      <c r="F775" s="5"/>
      <c r="G775" s="6"/>
      <c r="H775" s="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1"/>
      <c r="B776" s="2"/>
      <c r="C776" s="2"/>
      <c r="D776" s="3"/>
      <c r="E776" s="4"/>
      <c r="F776" s="5"/>
      <c r="G776" s="6"/>
      <c r="H776" s="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1"/>
      <c r="B777" s="2"/>
      <c r="C777" s="2"/>
      <c r="D777" s="3"/>
      <c r="E777" s="4"/>
      <c r="F777" s="5"/>
      <c r="G777" s="6"/>
      <c r="H777" s="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1"/>
      <c r="B778" s="2"/>
      <c r="C778" s="2"/>
      <c r="D778" s="3"/>
      <c r="E778" s="4"/>
      <c r="F778" s="5"/>
      <c r="G778" s="6"/>
      <c r="H778" s="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1"/>
      <c r="B779" s="2"/>
      <c r="C779" s="2"/>
      <c r="D779" s="3"/>
      <c r="E779" s="4"/>
      <c r="F779" s="5"/>
      <c r="G779" s="6"/>
      <c r="H779" s="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1"/>
      <c r="B780" s="2"/>
      <c r="C780" s="2"/>
      <c r="D780" s="3"/>
      <c r="E780" s="4"/>
      <c r="F780" s="5"/>
      <c r="G780" s="6"/>
      <c r="H780" s="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1"/>
      <c r="B781" s="2"/>
      <c r="C781" s="2"/>
      <c r="D781" s="3"/>
      <c r="E781" s="4"/>
      <c r="F781" s="5"/>
      <c r="G781" s="6"/>
      <c r="H781" s="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1"/>
      <c r="B782" s="2"/>
      <c r="C782" s="2"/>
      <c r="D782" s="3"/>
      <c r="E782" s="4"/>
      <c r="F782" s="5"/>
      <c r="G782" s="6"/>
      <c r="H782" s="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1"/>
      <c r="B783" s="2"/>
      <c r="C783" s="2"/>
      <c r="D783" s="3"/>
      <c r="E783" s="4"/>
      <c r="F783" s="5"/>
      <c r="G783" s="6"/>
      <c r="H783" s="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1"/>
      <c r="B784" s="2"/>
      <c r="C784" s="2"/>
      <c r="D784" s="3"/>
      <c r="E784" s="4"/>
      <c r="F784" s="5"/>
      <c r="G784" s="6"/>
      <c r="H784" s="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1"/>
      <c r="B785" s="2"/>
      <c r="C785" s="2"/>
      <c r="D785" s="3"/>
      <c r="E785" s="4"/>
      <c r="F785" s="5"/>
      <c r="G785" s="6"/>
      <c r="H785" s="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1"/>
      <c r="B786" s="2"/>
      <c r="C786" s="2"/>
      <c r="D786" s="3"/>
      <c r="E786" s="4"/>
      <c r="F786" s="5"/>
      <c r="G786" s="6"/>
      <c r="H786" s="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1"/>
      <c r="B787" s="2"/>
      <c r="C787" s="2"/>
      <c r="D787" s="3"/>
      <c r="E787" s="4"/>
      <c r="F787" s="5"/>
      <c r="G787" s="6"/>
      <c r="H787" s="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1"/>
      <c r="B788" s="2"/>
      <c r="C788" s="2"/>
      <c r="D788" s="3"/>
      <c r="E788" s="4"/>
      <c r="F788" s="5"/>
      <c r="G788" s="6"/>
      <c r="H788" s="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1"/>
      <c r="B789" s="2"/>
      <c r="C789" s="2"/>
      <c r="D789" s="3"/>
      <c r="E789" s="4"/>
      <c r="F789" s="5"/>
      <c r="G789" s="6"/>
      <c r="H789" s="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1"/>
      <c r="B790" s="2"/>
      <c r="C790" s="2"/>
      <c r="D790" s="3"/>
      <c r="E790" s="4"/>
      <c r="F790" s="5"/>
      <c r="G790" s="6"/>
      <c r="H790" s="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1"/>
      <c r="B791" s="2"/>
      <c r="C791" s="2"/>
      <c r="D791" s="3"/>
      <c r="E791" s="4"/>
      <c r="F791" s="5"/>
      <c r="G791" s="6"/>
      <c r="H791" s="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1"/>
      <c r="B792" s="2"/>
      <c r="C792" s="2"/>
      <c r="D792" s="3"/>
      <c r="E792" s="4"/>
      <c r="F792" s="5"/>
      <c r="G792" s="6"/>
      <c r="H792" s="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1"/>
      <c r="B793" s="2"/>
      <c r="C793" s="2"/>
      <c r="D793" s="3"/>
      <c r="E793" s="4"/>
      <c r="F793" s="5"/>
      <c r="G793" s="6"/>
      <c r="H793" s="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1"/>
      <c r="B794" s="2"/>
      <c r="C794" s="2"/>
      <c r="D794" s="3"/>
      <c r="E794" s="4"/>
      <c r="F794" s="5"/>
      <c r="G794" s="6"/>
      <c r="H794" s="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1"/>
      <c r="B795" s="2"/>
      <c r="C795" s="2"/>
      <c r="D795" s="3"/>
      <c r="E795" s="4"/>
      <c r="F795" s="5"/>
      <c r="G795" s="6"/>
      <c r="H795" s="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1"/>
      <c r="B796" s="2"/>
      <c r="C796" s="2"/>
      <c r="D796" s="3"/>
      <c r="E796" s="4"/>
      <c r="F796" s="5"/>
      <c r="G796" s="6"/>
      <c r="H796" s="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1"/>
      <c r="B797" s="2"/>
      <c r="C797" s="2"/>
      <c r="D797" s="3"/>
      <c r="E797" s="4"/>
      <c r="F797" s="5"/>
      <c r="G797" s="6"/>
      <c r="H797" s="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1"/>
      <c r="B798" s="2"/>
      <c r="C798" s="2"/>
      <c r="D798" s="3"/>
      <c r="E798" s="4"/>
      <c r="F798" s="5"/>
      <c r="G798" s="6"/>
      <c r="H798" s="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1"/>
      <c r="B799" s="2"/>
      <c r="C799" s="2"/>
      <c r="D799" s="3"/>
      <c r="E799" s="4"/>
      <c r="F799" s="5"/>
      <c r="G799" s="6"/>
      <c r="H799" s="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1"/>
      <c r="B800" s="2"/>
      <c r="C800" s="2"/>
      <c r="D800" s="3"/>
      <c r="E800" s="4"/>
      <c r="F800" s="5"/>
      <c r="G800" s="6"/>
      <c r="H800" s="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1"/>
      <c r="B801" s="2"/>
      <c r="C801" s="2"/>
      <c r="D801" s="3"/>
      <c r="E801" s="4"/>
      <c r="F801" s="5"/>
      <c r="G801" s="6"/>
      <c r="H801" s="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1"/>
      <c r="B802" s="2"/>
      <c r="C802" s="2"/>
      <c r="D802" s="3"/>
      <c r="E802" s="4"/>
      <c r="F802" s="5"/>
      <c r="G802" s="6"/>
      <c r="H802" s="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1"/>
      <c r="B803" s="2"/>
      <c r="C803" s="2"/>
      <c r="D803" s="3"/>
      <c r="E803" s="4"/>
      <c r="F803" s="5"/>
      <c r="G803" s="6"/>
      <c r="H803" s="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1"/>
      <c r="B804" s="2"/>
      <c r="C804" s="2"/>
      <c r="D804" s="3"/>
      <c r="E804" s="4"/>
      <c r="F804" s="5"/>
      <c r="G804" s="6"/>
      <c r="H804" s="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1"/>
      <c r="B805" s="2"/>
      <c r="C805" s="2"/>
      <c r="D805" s="3"/>
      <c r="E805" s="4"/>
      <c r="F805" s="5"/>
      <c r="G805" s="6"/>
      <c r="H805" s="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1"/>
      <c r="B806" s="2"/>
      <c r="C806" s="2"/>
      <c r="D806" s="3"/>
      <c r="E806" s="4"/>
      <c r="F806" s="5"/>
      <c r="G806" s="6"/>
      <c r="H806" s="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1"/>
      <c r="B807" s="2"/>
      <c r="C807" s="2"/>
      <c r="D807" s="3"/>
      <c r="E807" s="4"/>
      <c r="F807" s="5"/>
      <c r="G807" s="6"/>
      <c r="H807" s="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1"/>
      <c r="B808" s="2"/>
      <c r="C808" s="2"/>
      <c r="D808" s="3"/>
      <c r="E808" s="4"/>
      <c r="F808" s="5"/>
      <c r="G808" s="6"/>
      <c r="H808" s="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1"/>
      <c r="B809" s="2"/>
      <c r="C809" s="2"/>
      <c r="D809" s="3"/>
      <c r="E809" s="4"/>
      <c r="F809" s="5"/>
      <c r="G809" s="6"/>
      <c r="H809" s="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1"/>
      <c r="B810" s="2"/>
      <c r="C810" s="2"/>
      <c r="D810" s="3"/>
      <c r="E810" s="4"/>
      <c r="F810" s="5"/>
      <c r="G810" s="6"/>
      <c r="H810" s="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1"/>
      <c r="B811" s="2"/>
      <c r="C811" s="2"/>
      <c r="D811" s="3"/>
      <c r="E811" s="4"/>
      <c r="F811" s="5"/>
      <c r="G811" s="6"/>
      <c r="H811" s="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1"/>
      <c r="B812" s="2"/>
      <c r="C812" s="2"/>
      <c r="D812" s="3"/>
      <c r="E812" s="4"/>
      <c r="F812" s="5"/>
      <c r="G812" s="6"/>
      <c r="H812" s="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1"/>
      <c r="B813" s="2"/>
      <c r="C813" s="2"/>
      <c r="D813" s="3"/>
      <c r="E813" s="4"/>
      <c r="F813" s="5"/>
      <c r="G813" s="6"/>
      <c r="H813" s="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1"/>
      <c r="B814" s="2"/>
      <c r="C814" s="2"/>
      <c r="D814" s="3"/>
      <c r="E814" s="4"/>
      <c r="F814" s="5"/>
      <c r="G814" s="6"/>
      <c r="H814" s="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1"/>
      <c r="B815" s="2"/>
      <c r="C815" s="2"/>
      <c r="D815" s="3"/>
      <c r="E815" s="4"/>
      <c r="F815" s="5"/>
      <c r="G815" s="6"/>
      <c r="H815" s="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1"/>
      <c r="B816" s="2"/>
      <c r="C816" s="2"/>
      <c r="D816" s="3"/>
      <c r="E816" s="4"/>
      <c r="F816" s="5"/>
      <c r="G816" s="6"/>
      <c r="H816" s="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1"/>
      <c r="B817" s="2"/>
      <c r="C817" s="2"/>
      <c r="D817" s="3"/>
      <c r="E817" s="4"/>
      <c r="F817" s="5"/>
      <c r="G817" s="6"/>
      <c r="H817" s="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1"/>
      <c r="B818" s="2"/>
      <c r="C818" s="2"/>
      <c r="D818" s="3"/>
      <c r="E818" s="4"/>
      <c r="F818" s="5"/>
      <c r="G818" s="6"/>
      <c r="H818" s="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1"/>
      <c r="B819" s="2"/>
      <c r="C819" s="2"/>
      <c r="D819" s="3"/>
      <c r="E819" s="4"/>
      <c r="F819" s="5"/>
      <c r="G819" s="6"/>
      <c r="H819" s="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1"/>
      <c r="B820" s="2"/>
      <c r="C820" s="2"/>
      <c r="D820" s="3"/>
      <c r="E820" s="4"/>
      <c r="F820" s="5"/>
      <c r="G820" s="6"/>
      <c r="H820" s="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1"/>
      <c r="B821" s="2"/>
      <c r="C821" s="2"/>
      <c r="D821" s="3"/>
      <c r="E821" s="4"/>
      <c r="F821" s="5"/>
      <c r="G821" s="6"/>
      <c r="H821" s="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1"/>
      <c r="B822" s="2"/>
      <c r="C822" s="2"/>
      <c r="D822" s="3"/>
      <c r="E822" s="4"/>
      <c r="F822" s="5"/>
      <c r="G822" s="6"/>
      <c r="H822" s="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1"/>
      <c r="B823" s="2"/>
      <c r="C823" s="2"/>
      <c r="D823" s="3"/>
      <c r="E823" s="4"/>
      <c r="F823" s="5"/>
      <c r="G823" s="6"/>
      <c r="H823" s="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1"/>
      <c r="B824" s="2"/>
      <c r="C824" s="2"/>
      <c r="D824" s="3"/>
      <c r="E824" s="4"/>
      <c r="F824" s="5"/>
      <c r="G824" s="6"/>
      <c r="H824" s="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1"/>
      <c r="B825" s="2"/>
      <c r="C825" s="2"/>
      <c r="D825" s="3"/>
      <c r="E825" s="4"/>
      <c r="F825" s="5"/>
      <c r="G825" s="6"/>
      <c r="H825" s="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1"/>
      <c r="B826" s="2"/>
      <c r="C826" s="2"/>
      <c r="D826" s="3"/>
      <c r="E826" s="4"/>
      <c r="F826" s="5"/>
      <c r="G826" s="6"/>
      <c r="H826" s="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1"/>
      <c r="B827" s="2"/>
      <c r="C827" s="2"/>
      <c r="D827" s="3"/>
      <c r="E827" s="4"/>
      <c r="F827" s="5"/>
      <c r="G827" s="6"/>
      <c r="H827" s="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1"/>
      <c r="B828" s="2"/>
      <c r="C828" s="2"/>
      <c r="D828" s="3"/>
      <c r="E828" s="4"/>
      <c r="F828" s="5"/>
      <c r="G828" s="6"/>
      <c r="H828" s="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1"/>
      <c r="B829" s="2"/>
      <c r="C829" s="2"/>
      <c r="D829" s="3"/>
      <c r="E829" s="4"/>
      <c r="F829" s="5"/>
      <c r="G829" s="6"/>
      <c r="H829" s="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1"/>
      <c r="B830" s="2"/>
      <c r="C830" s="2"/>
      <c r="D830" s="3"/>
      <c r="E830" s="4"/>
      <c r="F830" s="5"/>
      <c r="G830" s="6"/>
      <c r="H830" s="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1"/>
      <c r="B831" s="2"/>
      <c r="C831" s="2"/>
      <c r="D831" s="3"/>
      <c r="E831" s="4"/>
      <c r="F831" s="5"/>
      <c r="G831" s="6"/>
      <c r="H831" s="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1"/>
      <c r="B832" s="2"/>
      <c r="C832" s="2"/>
      <c r="D832" s="3"/>
      <c r="E832" s="4"/>
      <c r="F832" s="5"/>
      <c r="G832" s="6"/>
      <c r="H832" s="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1"/>
      <c r="B833" s="2"/>
      <c r="C833" s="2"/>
      <c r="D833" s="3"/>
      <c r="E833" s="4"/>
      <c r="F833" s="5"/>
      <c r="G833" s="6"/>
      <c r="H833" s="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1"/>
      <c r="B834" s="2"/>
      <c r="C834" s="2"/>
      <c r="D834" s="3"/>
      <c r="E834" s="4"/>
      <c r="F834" s="5"/>
      <c r="G834" s="6"/>
      <c r="H834" s="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1"/>
      <c r="B835" s="2"/>
      <c r="C835" s="2"/>
      <c r="D835" s="3"/>
      <c r="E835" s="4"/>
      <c r="F835" s="5"/>
      <c r="G835" s="6"/>
      <c r="H835" s="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1"/>
      <c r="B836" s="2"/>
      <c r="C836" s="2"/>
      <c r="D836" s="3"/>
      <c r="E836" s="4"/>
      <c r="F836" s="5"/>
      <c r="G836" s="6"/>
      <c r="H836" s="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1"/>
      <c r="B837" s="2"/>
      <c r="C837" s="2"/>
      <c r="D837" s="3"/>
      <c r="E837" s="4"/>
      <c r="F837" s="5"/>
      <c r="G837" s="6"/>
      <c r="H837" s="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1"/>
      <c r="B838" s="2"/>
      <c r="C838" s="2"/>
      <c r="D838" s="3"/>
      <c r="E838" s="4"/>
      <c r="F838" s="5"/>
      <c r="G838" s="6"/>
      <c r="H838" s="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1"/>
      <c r="B839" s="2"/>
      <c r="C839" s="2"/>
      <c r="D839" s="3"/>
      <c r="E839" s="4"/>
      <c r="F839" s="5"/>
      <c r="G839" s="6"/>
      <c r="H839" s="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1"/>
      <c r="B840" s="2"/>
      <c r="C840" s="2"/>
      <c r="D840" s="3"/>
      <c r="E840" s="4"/>
      <c r="F840" s="5"/>
      <c r="G840" s="6"/>
      <c r="H840" s="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1"/>
      <c r="B841" s="2"/>
      <c r="C841" s="2"/>
      <c r="D841" s="3"/>
      <c r="E841" s="4"/>
      <c r="F841" s="5"/>
      <c r="G841" s="6"/>
      <c r="H841" s="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1"/>
      <c r="B842" s="2"/>
      <c r="C842" s="2"/>
      <c r="D842" s="3"/>
      <c r="E842" s="4"/>
      <c r="F842" s="5"/>
      <c r="G842" s="6"/>
      <c r="H842" s="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1"/>
      <c r="B843" s="2"/>
      <c r="C843" s="2"/>
      <c r="D843" s="3"/>
      <c r="E843" s="4"/>
      <c r="F843" s="5"/>
      <c r="G843" s="6"/>
      <c r="H843" s="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1"/>
      <c r="B844" s="2"/>
      <c r="C844" s="2"/>
      <c r="D844" s="3"/>
      <c r="E844" s="4"/>
      <c r="F844" s="5"/>
      <c r="G844" s="6"/>
      <c r="H844" s="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1"/>
      <c r="B845" s="2"/>
      <c r="C845" s="2"/>
      <c r="D845" s="3"/>
      <c r="E845" s="4"/>
      <c r="F845" s="5"/>
      <c r="G845" s="6"/>
      <c r="H845" s="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1"/>
      <c r="B846" s="2"/>
      <c r="C846" s="2"/>
      <c r="D846" s="3"/>
      <c r="E846" s="4"/>
      <c r="F846" s="5"/>
      <c r="G846" s="6"/>
      <c r="H846" s="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1"/>
      <c r="B847" s="2"/>
      <c r="C847" s="2"/>
      <c r="D847" s="3"/>
      <c r="E847" s="4"/>
      <c r="F847" s="5"/>
      <c r="G847" s="6"/>
      <c r="H847" s="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1"/>
      <c r="B848" s="2"/>
      <c r="C848" s="2"/>
      <c r="D848" s="3"/>
      <c r="E848" s="4"/>
      <c r="F848" s="5"/>
      <c r="G848" s="6"/>
      <c r="H848" s="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1"/>
      <c r="B849" s="2"/>
      <c r="C849" s="2"/>
      <c r="D849" s="3"/>
      <c r="E849" s="4"/>
      <c r="F849" s="5"/>
      <c r="G849" s="6"/>
      <c r="H849" s="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1"/>
      <c r="B850" s="2"/>
      <c r="C850" s="2"/>
      <c r="D850" s="3"/>
      <c r="E850" s="4"/>
      <c r="F850" s="5"/>
      <c r="G850" s="6"/>
      <c r="H850" s="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1"/>
      <c r="B851" s="2"/>
      <c r="C851" s="2"/>
      <c r="D851" s="3"/>
      <c r="E851" s="4"/>
      <c r="F851" s="5"/>
      <c r="G851" s="6"/>
      <c r="H851" s="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1"/>
      <c r="B852" s="2"/>
      <c r="C852" s="2"/>
      <c r="D852" s="3"/>
      <c r="E852" s="4"/>
      <c r="F852" s="5"/>
      <c r="G852" s="6"/>
      <c r="H852" s="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1"/>
      <c r="B853" s="2"/>
      <c r="C853" s="2"/>
      <c r="D853" s="3"/>
      <c r="E853" s="4"/>
      <c r="F853" s="5"/>
      <c r="G853" s="6"/>
      <c r="H853" s="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1"/>
      <c r="B854" s="2"/>
      <c r="C854" s="2"/>
      <c r="D854" s="3"/>
      <c r="E854" s="4"/>
      <c r="F854" s="5"/>
      <c r="G854" s="6"/>
      <c r="H854" s="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1"/>
      <c r="B855" s="2"/>
      <c r="C855" s="2"/>
      <c r="D855" s="3"/>
      <c r="E855" s="4"/>
      <c r="F855" s="5"/>
      <c r="G855" s="6"/>
      <c r="H855" s="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1"/>
      <c r="B856" s="2"/>
      <c r="C856" s="2"/>
      <c r="D856" s="3"/>
      <c r="E856" s="4"/>
      <c r="F856" s="5"/>
      <c r="G856" s="6"/>
      <c r="H856" s="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1"/>
      <c r="B857" s="2"/>
      <c r="C857" s="2"/>
      <c r="D857" s="3"/>
      <c r="E857" s="4"/>
      <c r="F857" s="5"/>
      <c r="G857" s="6"/>
      <c r="H857" s="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1"/>
      <c r="B858" s="2"/>
      <c r="C858" s="2"/>
      <c r="D858" s="3"/>
      <c r="E858" s="4"/>
      <c r="F858" s="5"/>
      <c r="G858" s="6"/>
      <c r="H858" s="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1"/>
      <c r="B859" s="2"/>
      <c r="C859" s="2"/>
      <c r="D859" s="3"/>
      <c r="E859" s="4"/>
      <c r="F859" s="5"/>
      <c r="G859" s="6"/>
      <c r="H859" s="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1"/>
      <c r="B860" s="2"/>
      <c r="C860" s="2"/>
      <c r="D860" s="3"/>
      <c r="E860" s="4"/>
      <c r="F860" s="5"/>
      <c r="G860" s="6"/>
      <c r="H860" s="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1"/>
      <c r="B861" s="2"/>
      <c r="C861" s="2"/>
      <c r="D861" s="3"/>
      <c r="E861" s="4"/>
      <c r="F861" s="5"/>
      <c r="G861" s="6"/>
      <c r="H861" s="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1"/>
      <c r="B862" s="2"/>
      <c r="C862" s="2"/>
      <c r="D862" s="3"/>
      <c r="E862" s="4"/>
      <c r="F862" s="5"/>
      <c r="G862" s="6"/>
      <c r="H862" s="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1"/>
      <c r="B863" s="2"/>
      <c r="C863" s="2"/>
      <c r="D863" s="3"/>
      <c r="E863" s="4"/>
      <c r="F863" s="5"/>
      <c r="G863" s="6"/>
      <c r="H863" s="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1"/>
      <c r="B864" s="2"/>
      <c r="C864" s="2"/>
      <c r="D864" s="3"/>
      <c r="E864" s="4"/>
      <c r="F864" s="5"/>
      <c r="G864" s="6"/>
      <c r="H864" s="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1"/>
      <c r="B865" s="2"/>
      <c r="C865" s="2"/>
      <c r="D865" s="3"/>
      <c r="E865" s="4"/>
      <c r="F865" s="5"/>
      <c r="G865" s="6"/>
      <c r="H865" s="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1"/>
      <c r="B866" s="2"/>
      <c r="C866" s="2"/>
      <c r="D866" s="3"/>
      <c r="E866" s="4"/>
      <c r="F866" s="5"/>
      <c r="G866" s="6"/>
      <c r="H866" s="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1"/>
      <c r="B867" s="2"/>
      <c r="C867" s="2"/>
      <c r="D867" s="3"/>
      <c r="E867" s="4"/>
      <c r="F867" s="5"/>
      <c r="G867" s="6"/>
      <c r="H867" s="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1"/>
      <c r="B868" s="2"/>
      <c r="C868" s="2"/>
      <c r="D868" s="3"/>
      <c r="E868" s="4"/>
      <c r="F868" s="5"/>
      <c r="G868" s="6"/>
      <c r="H868" s="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1"/>
      <c r="B869" s="2"/>
      <c r="C869" s="2"/>
      <c r="D869" s="3"/>
      <c r="E869" s="4"/>
      <c r="F869" s="5"/>
      <c r="G869" s="6"/>
      <c r="H869" s="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1"/>
      <c r="B870" s="2"/>
      <c r="C870" s="2"/>
      <c r="D870" s="3"/>
      <c r="E870" s="4"/>
      <c r="F870" s="5"/>
      <c r="G870" s="6"/>
      <c r="H870" s="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1"/>
      <c r="B871" s="2"/>
      <c r="C871" s="2"/>
      <c r="D871" s="3"/>
      <c r="E871" s="4"/>
      <c r="F871" s="5"/>
      <c r="G871" s="6"/>
      <c r="H871" s="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1"/>
      <c r="B872" s="2"/>
      <c r="C872" s="2"/>
      <c r="D872" s="3"/>
      <c r="E872" s="4"/>
      <c r="F872" s="5"/>
      <c r="G872" s="6"/>
      <c r="H872" s="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1"/>
      <c r="B873" s="2"/>
      <c r="C873" s="2"/>
      <c r="D873" s="3"/>
      <c r="E873" s="4"/>
      <c r="F873" s="5"/>
      <c r="G873" s="6"/>
      <c r="H873" s="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1"/>
      <c r="B874" s="2"/>
      <c r="C874" s="2"/>
      <c r="D874" s="3"/>
      <c r="E874" s="4"/>
      <c r="F874" s="5"/>
      <c r="G874" s="6"/>
      <c r="H874" s="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1"/>
      <c r="B875" s="2"/>
      <c r="C875" s="2"/>
      <c r="D875" s="3"/>
      <c r="E875" s="4"/>
      <c r="F875" s="5"/>
      <c r="G875" s="6"/>
      <c r="H875" s="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1"/>
      <c r="B876" s="2"/>
      <c r="C876" s="2"/>
      <c r="D876" s="3"/>
      <c r="E876" s="4"/>
      <c r="F876" s="5"/>
      <c r="G876" s="6"/>
      <c r="H876" s="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1"/>
      <c r="B877" s="2"/>
      <c r="C877" s="2"/>
      <c r="D877" s="3"/>
      <c r="E877" s="4"/>
      <c r="F877" s="5"/>
      <c r="G877" s="6"/>
      <c r="H877" s="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1"/>
      <c r="B878" s="2"/>
      <c r="C878" s="2"/>
      <c r="D878" s="3"/>
      <c r="E878" s="4"/>
      <c r="F878" s="5"/>
      <c r="G878" s="6"/>
      <c r="H878" s="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1"/>
      <c r="B879" s="2"/>
      <c r="C879" s="2"/>
      <c r="D879" s="3"/>
      <c r="E879" s="4"/>
      <c r="F879" s="5"/>
      <c r="G879" s="6"/>
      <c r="H879" s="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1"/>
      <c r="B880" s="2"/>
      <c r="C880" s="2"/>
      <c r="D880" s="3"/>
      <c r="E880" s="4"/>
      <c r="F880" s="5"/>
      <c r="G880" s="6"/>
      <c r="H880" s="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1"/>
      <c r="B881" s="2"/>
      <c r="C881" s="2"/>
      <c r="D881" s="3"/>
      <c r="E881" s="4"/>
      <c r="F881" s="5"/>
      <c r="G881" s="6"/>
      <c r="H881" s="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1"/>
      <c r="B882" s="2"/>
      <c r="C882" s="2"/>
      <c r="D882" s="3"/>
      <c r="E882" s="4"/>
      <c r="F882" s="5"/>
      <c r="G882" s="6"/>
      <c r="H882" s="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1"/>
      <c r="B883" s="2"/>
      <c r="C883" s="2"/>
      <c r="D883" s="3"/>
      <c r="E883" s="4"/>
      <c r="F883" s="5"/>
      <c r="G883" s="6"/>
      <c r="H883" s="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1"/>
      <c r="B884" s="2"/>
      <c r="C884" s="2"/>
      <c r="D884" s="3"/>
      <c r="E884" s="4"/>
      <c r="F884" s="5"/>
      <c r="G884" s="6"/>
      <c r="H884" s="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1"/>
      <c r="B885" s="2"/>
      <c r="C885" s="2"/>
      <c r="D885" s="3"/>
      <c r="E885" s="4"/>
      <c r="F885" s="5"/>
      <c r="G885" s="6"/>
      <c r="H885" s="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1"/>
      <c r="B886" s="2"/>
      <c r="C886" s="2"/>
      <c r="D886" s="3"/>
      <c r="E886" s="4"/>
      <c r="F886" s="5"/>
      <c r="G886" s="6"/>
      <c r="H886" s="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1"/>
      <c r="B887" s="2"/>
      <c r="C887" s="2"/>
      <c r="D887" s="3"/>
      <c r="E887" s="4"/>
      <c r="F887" s="5"/>
      <c r="G887" s="6"/>
      <c r="H887" s="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1"/>
      <c r="B888" s="2"/>
      <c r="C888" s="2"/>
      <c r="D888" s="3"/>
      <c r="E888" s="4"/>
      <c r="F888" s="5"/>
      <c r="G888" s="6"/>
      <c r="H888" s="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1"/>
      <c r="B889" s="2"/>
      <c r="C889" s="2"/>
      <c r="D889" s="3"/>
      <c r="E889" s="4"/>
      <c r="F889" s="5"/>
      <c r="G889" s="6"/>
      <c r="H889" s="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1"/>
      <c r="B890" s="2"/>
      <c r="C890" s="2"/>
      <c r="D890" s="3"/>
      <c r="E890" s="4"/>
      <c r="F890" s="5"/>
      <c r="G890" s="6"/>
      <c r="H890" s="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1"/>
      <c r="B891" s="2"/>
      <c r="C891" s="2"/>
      <c r="D891" s="3"/>
      <c r="E891" s="4"/>
      <c r="F891" s="5"/>
      <c r="G891" s="6"/>
      <c r="H891" s="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1"/>
      <c r="B892" s="2"/>
      <c r="C892" s="2"/>
      <c r="D892" s="3"/>
      <c r="E892" s="4"/>
      <c r="F892" s="5"/>
      <c r="G892" s="6"/>
      <c r="H892" s="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1"/>
      <c r="B893" s="2"/>
      <c r="C893" s="2"/>
      <c r="D893" s="3"/>
      <c r="E893" s="4"/>
      <c r="F893" s="5"/>
      <c r="G893" s="6"/>
      <c r="H893" s="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1"/>
      <c r="B894" s="2"/>
      <c r="C894" s="2"/>
      <c r="D894" s="3"/>
      <c r="E894" s="4"/>
      <c r="F894" s="5"/>
      <c r="G894" s="6"/>
      <c r="H894" s="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1"/>
      <c r="B895" s="2"/>
      <c r="C895" s="2"/>
      <c r="D895" s="3"/>
      <c r="E895" s="4"/>
      <c r="F895" s="5"/>
      <c r="G895" s="6"/>
      <c r="H895" s="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1"/>
      <c r="B896" s="2"/>
      <c r="C896" s="2"/>
      <c r="D896" s="3"/>
      <c r="E896" s="4"/>
      <c r="F896" s="5"/>
      <c r="G896" s="6"/>
      <c r="H896" s="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1"/>
      <c r="B897" s="2"/>
      <c r="C897" s="2"/>
      <c r="D897" s="3"/>
      <c r="E897" s="4"/>
      <c r="F897" s="5"/>
      <c r="G897" s="6"/>
      <c r="H897" s="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1"/>
      <c r="B898" s="2"/>
      <c r="C898" s="2"/>
      <c r="D898" s="3"/>
      <c r="E898" s="4"/>
      <c r="F898" s="5"/>
      <c r="G898" s="6"/>
      <c r="H898" s="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1"/>
      <c r="B899" s="2"/>
      <c r="C899" s="2"/>
      <c r="D899" s="3"/>
      <c r="E899" s="4"/>
      <c r="F899" s="5"/>
      <c r="G899" s="6"/>
      <c r="H899" s="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1"/>
      <c r="B900" s="2"/>
      <c r="C900" s="2"/>
      <c r="D900" s="3"/>
      <c r="E900" s="4"/>
      <c r="F900" s="5"/>
      <c r="G900" s="6"/>
      <c r="H900" s="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1"/>
      <c r="B901" s="2"/>
      <c r="C901" s="2"/>
      <c r="D901" s="3"/>
      <c r="E901" s="4"/>
      <c r="F901" s="5"/>
      <c r="G901" s="6"/>
      <c r="H901" s="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1"/>
      <c r="B902" s="2"/>
      <c r="C902" s="2"/>
      <c r="D902" s="3"/>
      <c r="E902" s="4"/>
      <c r="F902" s="5"/>
      <c r="G902" s="6"/>
      <c r="H902" s="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1"/>
      <c r="B903" s="2"/>
      <c r="C903" s="2"/>
      <c r="D903" s="3"/>
      <c r="E903" s="4"/>
      <c r="F903" s="5"/>
      <c r="G903" s="6"/>
      <c r="H903" s="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1"/>
      <c r="B904" s="2"/>
      <c r="C904" s="2"/>
      <c r="D904" s="3"/>
      <c r="E904" s="4"/>
      <c r="F904" s="5"/>
      <c r="G904" s="6"/>
      <c r="H904" s="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1"/>
      <c r="B905" s="2"/>
      <c r="C905" s="2"/>
      <c r="D905" s="3"/>
      <c r="E905" s="4"/>
      <c r="F905" s="5"/>
      <c r="G905" s="6"/>
      <c r="H905" s="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1"/>
      <c r="B906" s="2"/>
      <c r="C906" s="2"/>
      <c r="D906" s="3"/>
      <c r="E906" s="4"/>
      <c r="F906" s="5"/>
      <c r="G906" s="6"/>
      <c r="H906" s="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1"/>
      <c r="B907" s="2"/>
      <c r="C907" s="2"/>
      <c r="D907" s="3"/>
      <c r="E907" s="4"/>
      <c r="F907" s="5"/>
      <c r="G907" s="6"/>
      <c r="H907" s="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1"/>
      <c r="B908" s="2"/>
      <c r="C908" s="2"/>
      <c r="D908" s="3"/>
      <c r="E908" s="4"/>
      <c r="F908" s="5"/>
      <c r="G908" s="6"/>
      <c r="H908" s="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1"/>
      <c r="B909" s="2"/>
      <c r="C909" s="2"/>
      <c r="D909" s="3"/>
      <c r="E909" s="4"/>
      <c r="F909" s="5"/>
      <c r="G909" s="6"/>
      <c r="H909" s="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1"/>
      <c r="B910" s="2"/>
      <c r="C910" s="2"/>
      <c r="D910" s="3"/>
      <c r="E910" s="4"/>
      <c r="F910" s="5"/>
      <c r="G910" s="6"/>
      <c r="H910" s="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1"/>
      <c r="B911" s="2"/>
      <c r="C911" s="2"/>
      <c r="D911" s="3"/>
      <c r="E911" s="4"/>
      <c r="F911" s="5"/>
      <c r="G911" s="6"/>
      <c r="H911" s="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1"/>
      <c r="B912" s="2"/>
      <c r="C912" s="2"/>
      <c r="D912" s="3"/>
      <c r="E912" s="4"/>
      <c r="F912" s="5"/>
      <c r="G912" s="6"/>
      <c r="H912" s="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1"/>
      <c r="B913" s="2"/>
      <c r="C913" s="2"/>
      <c r="D913" s="3"/>
      <c r="E913" s="4"/>
      <c r="F913" s="5"/>
      <c r="G913" s="6"/>
      <c r="H913" s="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1"/>
      <c r="B914" s="2"/>
      <c r="C914" s="2"/>
      <c r="D914" s="3"/>
      <c r="E914" s="4"/>
      <c r="F914" s="5"/>
      <c r="G914" s="6"/>
      <c r="H914" s="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1"/>
      <c r="B915" s="2"/>
      <c r="C915" s="2"/>
      <c r="D915" s="3"/>
      <c r="E915" s="4"/>
      <c r="F915" s="5"/>
      <c r="G915" s="6"/>
      <c r="H915" s="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1"/>
      <c r="B916" s="2"/>
      <c r="C916" s="2"/>
      <c r="D916" s="3"/>
      <c r="E916" s="4"/>
      <c r="F916" s="5"/>
      <c r="G916" s="6"/>
      <c r="H916" s="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1"/>
      <c r="B917" s="2"/>
      <c r="C917" s="2"/>
      <c r="D917" s="3"/>
      <c r="E917" s="4"/>
      <c r="F917" s="5"/>
      <c r="G917" s="6"/>
      <c r="H917" s="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1"/>
      <c r="B918" s="2"/>
      <c r="C918" s="2"/>
      <c r="D918" s="3"/>
      <c r="E918" s="4"/>
      <c r="F918" s="5"/>
      <c r="G918" s="6"/>
      <c r="H918" s="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1"/>
      <c r="B919" s="2"/>
      <c r="C919" s="2"/>
      <c r="D919" s="3"/>
      <c r="E919" s="4"/>
      <c r="F919" s="5"/>
      <c r="G919" s="6"/>
      <c r="H919" s="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1"/>
      <c r="B920" s="2"/>
      <c r="C920" s="2"/>
      <c r="D920" s="3"/>
      <c r="E920" s="4"/>
      <c r="F920" s="5"/>
      <c r="G920" s="6"/>
      <c r="H920" s="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1"/>
      <c r="B921" s="2"/>
      <c r="C921" s="2"/>
      <c r="D921" s="3"/>
      <c r="E921" s="4"/>
      <c r="F921" s="5"/>
      <c r="G921" s="6"/>
      <c r="H921" s="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1"/>
      <c r="B922" s="2"/>
      <c r="C922" s="2"/>
      <c r="D922" s="3"/>
      <c r="E922" s="4"/>
      <c r="F922" s="5"/>
      <c r="G922" s="6"/>
      <c r="H922" s="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1"/>
      <c r="B923" s="2"/>
      <c r="C923" s="2"/>
      <c r="D923" s="3"/>
      <c r="E923" s="4"/>
      <c r="F923" s="5"/>
      <c r="G923" s="6"/>
      <c r="H923" s="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1"/>
      <c r="B924" s="2"/>
      <c r="C924" s="2"/>
      <c r="D924" s="3"/>
      <c r="E924" s="4"/>
      <c r="F924" s="5"/>
      <c r="G924" s="6"/>
      <c r="H924" s="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1"/>
      <c r="B925" s="2"/>
      <c r="C925" s="2"/>
      <c r="D925" s="3"/>
      <c r="E925" s="4"/>
      <c r="F925" s="5"/>
      <c r="G925" s="6"/>
      <c r="H925" s="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1"/>
      <c r="B926" s="2"/>
      <c r="C926" s="2"/>
      <c r="D926" s="3"/>
      <c r="E926" s="4"/>
      <c r="F926" s="5"/>
      <c r="G926" s="6"/>
      <c r="H926" s="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1"/>
      <c r="B927" s="2"/>
      <c r="C927" s="2"/>
      <c r="D927" s="3"/>
      <c r="E927" s="4"/>
      <c r="F927" s="5"/>
      <c r="G927" s="6"/>
      <c r="H927" s="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1"/>
      <c r="B928" s="2"/>
      <c r="C928" s="2"/>
      <c r="D928" s="3"/>
      <c r="E928" s="4"/>
      <c r="F928" s="5"/>
      <c r="G928" s="6"/>
      <c r="H928" s="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1"/>
      <c r="B929" s="2"/>
      <c r="C929" s="2"/>
      <c r="D929" s="3"/>
      <c r="E929" s="4"/>
      <c r="F929" s="5"/>
      <c r="G929" s="6"/>
      <c r="H929" s="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1"/>
      <c r="B930" s="2"/>
      <c r="C930" s="2"/>
      <c r="D930" s="3"/>
      <c r="E930" s="4"/>
      <c r="F930" s="5"/>
      <c r="G930" s="6"/>
      <c r="H930" s="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1"/>
      <c r="B931" s="2"/>
      <c r="C931" s="2"/>
      <c r="D931" s="3"/>
      <c r="E931" s="4"/>
      <c r="F931" s="5"/>
      <c r="G931" s="6"/>
      <c r="H931" s="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1"/>
      <c r="B932" s="2"/>
      <c r="C932" s="2"/>
      <c r="D932" s="3"/>
      <c r="E932" s="4"/>
      <c r="F932" s="5"/>
      <c r="G932" s="6"/>
      <c r="H932" s="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1"/>
      <c r="B933" s="2"/>
      <c r="C933" s="2"/>
      <c r="D933" s="3"/>
      <c r="E933" s="4"/>
      <c r="F933" s="5"/>
      <c r="G933" s="6"/>
      <c r="H933" s="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1"/>
      <c r="B934" s="2"/>
      <c r="C934" s="2"/>
      <c r="D934" s="3"/>
      <c r="E934" s="4"/>
      <c r="F934" s="5"/>
      <c r="G934" s="6"/>
      <c r="H934" s="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1"/>
      <c r="B935" s="2"/>
      <c r="C935" s="2"/>
      <c r="D935" s="3"/>
      <c r="E935" s="4"/>
      <c r="F935" s="5"/>
      <c r="G935" s="6"/>
      <c r="H935" s="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1"/>
      <c r="B936" s="2"/>
      <c r="C936" s="2"/>
      <c r="D936" s="3"/>
      <c r="E936" s="4"/>
      <c r="F936" s="5"/>
      <c r="G936" s="6"/>
      <c r="H936" s="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1"/>
      <c r="B937" s="2"/>
      <c r="C937" s="2"/>
      <c r="D937" s="3"/>
      <c r="E937" s="4"/>
      <c r="F937" s="5"/>
      <c r="G937" s="6"/>
      <c r="H937" s="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1"/>
      <c r="B938" s="2"/>
      <c r="C938" s="2"/>
      <c r="D938" s="3"/>
      <c r="E938" s="4"/>
      <c r="F938" s="5"/>
      <c r="G938" s="6"/>
      <c r="H938" s="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1"/>
      <c r="B939" s="2"/>
      <c r="C939" s="2"/>
      <c r="D939" s="3"/>
      <c r="E939" s="4"/>
      <c r="F939" s="5"/>
      <c r="G939" s="6"/>
      <c r="H939" s="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1"/>
      <c r="B940" s="2"/>
      <c r="C940" s="2"/>
      <c r="D940" s="3"/>
      <c r="E940" s="4"/>
      <c r="F940" s="5"/>
      <c r="G940" s="6"/>
      <c r="H940" s="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1"/>
      <c r="B941" s="2"/>
      <c r="C941" s="2"/>
      <c r="D941" s="3"/>
      <c r="E941" s="4"/>
      <c r="F941" s="5"/>
      <c r="G941" s="6"/>
      <c r="H941" s="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1"/>
      <c r="B942" s="2"/>
      <c r="C942" s="2"/>
      <c r="D942" s="3"/>
      <c r="E942" s="4"/>
      <c r="F942" s="5"/>
      <c r="G942" s="6"/>
      <c r="H942" s="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1"/>
      <c r="B943" s="2"/>
      <c r="C943" s="2"/>
      <c r="D943" s="3"/>
      <c r="E943" s="4"/>
      <c r="F943" s="5"/>
      <c r="G943" s="6"/>
      <c r="H943" s="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1"/>
      <c r="B944" s="2"/>
      <c r="C944" s="2"/>
      <c r="D944" s="3"/>
      <c r="E944" s="4"/>
      <c r="F944" s="5"/>
      <c r="G944" s="6"/>
      <c r="H944" s="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1"/>
      <c r="B945" s="2"/>
      <c r="C945" s="2"/>
      <c r="D945" s="3"/>
      <c r="E945" s="4"/>
      <c r="F945" s="5"/>
      <c r="G945" s="6"/>
      <c r="H945" s="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1"/>
      <c r="B946" s="2"/>
      <c r="C946" s="2"/>
      <c r="D946" s="3"/>
      <c r="E946" s="4"/>
      <c r="F946" s="5"/>
      <c r="G946" s="6"/>
      <c r="H946" s="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1"/>
      <c r="B947" s="2"/>
      <c r="C947" s="2"/>
      <c r="D947" s="3"/>
      <c r="E947" s="4"/>
      <c r="F947" s="5"/>
      <c r="G947" s="6"/>
      <c r="H947" s="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1"/>
      <c r="B948" s="2"/>
      <c r="C948" s="2"/>
      <c r="D948" s="3"/>
      <c r="E948" s="4"/>
      <c r="F948" s="5"/>
      <c r="G948" s="6"/>
      <c r="H948" s="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1"/>
      <c r="B949" s="2"/>
      <c r="C949" s="2"/>
      <c r="D949" s="3"/>
      <c r="E949" s="4"/>
      <c r="F949" s="5"/>
      <c r="G949" s="6"/>
      <c r="H949" s="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1"/>
      <c r="B950" s="2"/>
      <c r="C950" s="2"/>
      <c r="D950" s="3"/>
      <c r="E950" s="4"/>
      <c r="F950" s="5"/>
      <c r="G950" s="6"/>
      <c r="H950" s="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1"/>
      <c r="B951" s="2"/>
      <c r="C951" s="2"/>
      <c r="D951" s="3"/>
      <c r="E951" s="4"/>
      <c r="F951" s="5"/>
      <c r="G951" s="6"/>
      <c r="H951" s="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1"/>
      <c r="B952" s="2"/>
      <c r="C952" s="2"/>
      <c r="D952" s="3"/>
      <c r="E952" s="4"/>
      <c r="F952" s="5"/>
      <c r="G952" s="6"/>
      <c r="H952" s="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1"/>
      <c r="B953" s="2"/>
      <c r="C953" s="2"/>
      <c r="D953" s="3"/>
      <c r="E953" s="4"/>
      <c r="F953" s="5"/>
      <c r="G953" s="6"/>
      <c r="H953" s="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1"/>
      <c r="B954" s="2"/>
      <c r="C954" s="2"/>
      <c r="D954" s="3"/>
      <c r="E954" s="4"/>
      <c r="F954" s="5"/>
      <c r="G954" s="6"/>
      <c r="H954" s="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1"/>
      <c r="B955" s="2"/>
      <c r="C955" s="2"/>
      <c r="D955" s="3"/>
      <c r="E955" s="4"/>
      <c r="F955" s="5"/>
      <c r="G955" s="6"/>
      <c r="H955" s="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1"/>
      <c r="B956" s="2"/>
      <c r="C956" s="2"/>
      <c r="D956" s="3"/>
      <c r="E956" s="4"/>
      <c r="F956" s="5"/>
      <c r="G956" s="6"/>
      <c r="H956" s="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1"/>
      <c r="B957" s="2"/>
      <c r="C957" s="2"/>
      <c r="D957" s="3"/>
      <c r="E957" s="4"/>
      <c r="F957" s="5"/>
      <c r="G957" s="6"/>
      <c r="H957" s="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1"/>
      <c r="B958" s="2"/>
      <c r="C958" s="2"/>
      <c r="D958" s="3"/>
      <c r="E958" s="4"/>
      <c r="F958" s="5"/>
      <c r="G958" s="6"/>
      <c r="H958" s="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1"/>
      <c r="B959" s="2"/>
      <c r="C959" s="2"/>
      <c r="D959" s="3"/>
      <c r="E959" s="4"/>
      <c r="F959" s="5"/>
      <c r="G959" s="6"/>
      <c r="H959" s="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1"/>
      <c r="B960" s="2"/>
      <c r="C960" s="2"/>
      <c r="D960" s="3"/>
      <c r="E960" s="4"/>
      <c r="F960" s="5"/>
      <c r="G960" s="6"/>
      <c r="H960" s="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1"/>
      <c r="B961" s="2"/>
      <c r="C961" s="2"/>
      <c r="D961" s="3"/>
      <c r="E961" s="4"/>
      <c r="F961" s="5"/>
      <c r="G961" s="6"/>
      <c r="H961" s="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1"/>
      <c r="B962" s="2"/>
      <c r="C962" s="2"/>
      <c r="D962" s="3"/>
      <c r="E962" s="4"/>
      <c r="F962" s="5"/>
      <c r="G962" s="6"/>
      <c r="H962" s="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1"/>
      <c r="B963" s="2"/>
      <c r="C963" s="2"/>
      <c r="D963" s="3"/>
      <c r="E963" s="4"/>
      <c r="F963" s="5"/>
      <c r="G963" s="6"/>
      <c r="H963" s="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1"/>
      <c r="B964" s="2"/>
      <c r="C964" s="2"/>
      <c r="D964" s="3"/>
      <c r="E964" s="4"/>
      <c r="F964" s="5"/>
      <c r="G964" s="6"/>
      <c r="H964" s="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1"/>
      <c r="B965" s="2"/>
      <c r="C965" s="2"/>
      <c r="D965" s="3"/>
      <c r="E965" s="4"/>
      <c r="F965" s="5"/>
      <c r="G965" s="6"/>
      <c r="H965" s="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1"/>
      <c r="B966" s="2"/>
      <c r="C966" s="2"/>
      <c r="D966" s="3"/>
      <c r="E966" s="4"/>
      <c r="F966" s="5"/>
      <c r="G966" s="6"/>
      <c r="H966" s="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1"/>
      <c r="B967" s="2"/>
      <c r="C967" s="2"/>
      <c r="D967" s="3"/>
      <c r="E967" s="4"/>
      <c r="F967" s="5"/>
      <c r="G967" s="6"/>
      <c r="H967" s="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1"/>
      <c r="B968" s="2"/>
      <c r="C968" s="2"/>
      <c r="D968" s="3"/>
      <c r="E968" s="4"/>
      <c r="F968" s="5"/>
      <c r="G968" s="6"/>
      <c r="H968" s="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1"/>
      <c r="B969" s="2"/>
      <c r="C969" s="2"/>
      <c r="D969" s="3"/>
      <c r="E969" s="4"/>
      <c r="F969" s="5"/>
      <c r="G969" s="6"/>
      <c r="H969" s="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1"/>
      <c r="B970" s="2"/>
      <c r="C970" s="2"/>
      <c r="D970" s="3"/>
      <c r="E970" s="4"/>
      <c r="F970" s="5"/>
      <c r="G970" s="6"/>
      <c r="H970" s="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1"/>
      <c r="B971" s="2"/>
      <c r="C971" s="2"/>
      <c r="D971" s="3"/>
      <c r="E971" s="4"/>
      <c r="F971" s="5"/>
      <c r="G971" s="6"/>
      <c r="H971" s="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1"/>
      <c r="B972" s="2"/>
      <c r="C972" s="2"/>
      <c r="D972" s="3"/>
      <c r="E972" s="4"/>
      <c r="F972" s="5"/>
      <c r="G972" s="6"/>
      <c r="H972" s="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1"/>
      <c r="B973" s="2"/>
      <c r="C973" s="2"/>
      <c r="D973" s="3"/>
      <c r="E973" s="4"/>
      <c r="F973" s="5"/>
      <c r="G973" s="6"/>
      <c r="H973" s="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1"/>
      <c r="B974" s="2"/>
      <c r="C974" s="2"/>
      <c r="D974" s="3"/>
      <c r="E974" s="4"/>
      <c r="F974" s="5"/>
      <c r="G974" s="6"/>
      <c r="H974" s="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1"/>
      <c r="B975" s="2"/>
      <c r="C975" s="2"/>
      <c r="D975" s="3"/>
      <c r="E975" s="4"/>
      <c r="F975" s="5"/>
      <c r="G975" s="6"/>
      <c r="H975" s="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1"/>
      <c r="B976" s="2"/>
      <c r="C976" s="2"/>
      <c r="D976" s="3"/>
      <c r="E976" s="4"/>
      <c r="F976" s="5"/>
      <c r="G976" s="6"/>
      <c r="H976" s="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1"/>
      <c r="B977" s="2"/>
      <c r="C977" s="2"/>
      <c r="D977" s="3"/>
      <c r="E977" s="4"/>
      <c r="F977" s="5"/>
      <c r="G977" s="6"/>
      <c r="H977" s="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1"/>
      <c r="B978" s="2"/>
      <c r="C978" s="2"/>
      <c r="D978" s="3"/>
      <c r="E978" s="4"/>
      <c r="F978" s="5"/>
      <c r="G978" s="6"/>
      <c r="H978" s="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1"/>
      <c r="B979" s="2"/>
      <c r="C979" s="2"/>
      <c r="D979" s="3"/>
      <c r="E979" s="4"/>
      <c r="F979" s="5"/>
      <c r="G979" s="6"/>
      <c r="H979" s="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1"/>
      <c r="B980" s="2"/>
      <c r="C980" s="2"/>
      <c r="D980" s="3"/>
      <c r="E980" s="4"/>
      <c r="F980" s="5"/>
      <c r="G980" s="6"/>
      <c r="H980" s="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1"/>
      <c r="B981" s="2"/>
      <c r="C981" s="2"/>
      <c r="D981" s="3"/>
      <c r="E981" s="4"/>
      <c r="F981" s="5"/>
      <c r="G981" s="6"/>
      <c r="H981" s="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1"/>
      <c r="B982" s="2"/>
      <c r="C982" s="2"/>
      <c r="D982" s="3"/>
      <c r="E982" s="4"/>
      <c r="F982" s="5"/>
      <c r="G982" s="6"/>
      <c r="H982" s="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1"/>
      <c r="B983" s="2"/>
      <c r="C983" s="2"/>
      <c r="D983" s="3"/>
      <c r="E983" s="4"/>
      <c r="F983" s="5"/>
      <c r="G983" s="6"/>
      <c r="H983" s="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1"/>
      <c r="B984" s="2"/>
      <c r="C984" s="2"/>
      <c r="D984" s="3"/>
      <c r="E984" s="4"/>
      <c r="F984" s="5"/>
      <c r="G984" s="6"/>
      <c r="H984" s="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1"/>
      <c r="B985" s="2"/>
      <c r="C985" s="2"/>
      <c r="D985" s="3"/>
      <c r="E985" s="4"/>
      <c r="F985" s="5"/>
      <c r="G985" s="6"/>
      <c r="H985" s="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1"/>
      <c r="B986" s="2"/>
      <c r="C986" s="2"/>
      <c r="D986" s="3"/>
      <c r="E986" s="4"/>
      <c r="F986" s="5"/>
      <c r="G986" s="6"/>
      <c r="H986" s="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1"/>
      <c r="B987" s="2"/>
      <c r="C987" s="2"/>
      <c r="D987" s="3"/>
      <c r="E987" s="4"/>
      <c r="F987" s="5"/>
      <c r="G987" s="6"/>
      <c r="H987" s="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1"/>
      <c r="B988" s="2"/>
      <c r="C988" s="2"/>
      <c r="D988" s="3"/>
      <c r="E988" s="4"/>
      <c r="F988" s="5"/>
      <c r="G988" s="6"/>
      <c r="H988" s="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1"/>
      <c r="B989" s="2"/>
      <c r="C989" s="2"/>
      <c r="D989" s="3"/>
      <c r="E989" s="4"/>
      <c r="F989" s="5"/>
      <c r="G989" s="6"/>
      <c r="H989" s="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1"/>
      <c r="B990" s="2"/>
      <c r="C990" s="2"/>
      <c r="D990" s="3"/>
      <c r="E990" s="4"/>
      <c r="F990" s="5"/>
      <c r="G990" s="6"/>
      <c r="H990" s="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1"/>
      <c r="B991" s="2"/>
      <c r="C991" s="2"/>
      <c r="D991" s="3"/>
      <c r="E991" s="4"/>
      <c r="F991" s="5"/>
      <c r="G991" s="6"/>
      <c r="H991" s="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1"/>
      <c r="B992" s="2"/>
      <c r="C992" s="2"/>
      <c r="D992" s="3"/>
      <c r="E992" s="4"/>
      <c r="F992" s="5"/>
      <c r="G992" s="6"/>
      <c r="H992" s="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1"/>
      <c r="B993" s="2"/>
      <c r="C993" s="2"/>
      <c r="D993" s="3"/>
      <c r="E993" s="4"/>
      <c r="F993" s="5"/>
      <c r="G993" s="6"/>
      <c r="H993" s="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1"/>
      <c r="B994" s="2"/>
      <c r="C994" s="2"/>
      <c r="D994" s="3"/>
      <c r="E994" s="4"/>
      <c r="F994" s="5"/>
      <c r="G994" s="6"/>
      <c r="H994" s="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1"/>
      <c r="B995" s="2"/>
      <c r="C995" s="2"/>
      <c r="D995" s="3"/>
      <c r="E995" s="4"/>
      <c r="F995" s="5"/>
      <c r="G995" s="6"/>
      <c r="H995" s="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1"/>
      <c r="B996" s="2"/>
      <c r="C996" s="2"/>
      <c r="D996" s="3"/>
      <c r="E996" s="4"/>
      <c r="F996" s="5"/>
      <c r="G996" s="6"/>
      <c r="H996" s="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1"/>
      <c r="B997" s="2"/>
      <c r="C997" s="2"/>
      <c r="D997" s="3"/>
      <c r="E997" s="4"/>
      <c r="F997" s="5"/>
      <c r="G997" s="6"/>
      <c r="H997" s="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1"/>
      <c r="B998" s="2"/>
      <c r="C998" s="2"/>
      <c r="D998" s="3"/>
      <c r="E998" s="4"/>
      <c r="F998" s="5"/>
      <c r="G998" s="6"/>
      <c r="H998" s="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1"/>
      <c r="B999" s="2"/>
      <c r="C999" s="2"/>
      <c r="D999" s="3"/>
      <c r="E999" s="4"/>
      <c r="F999" s="5"/>
      <c r="G999" s="6"/>
      <c r="H999" s="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1"/>
      <c r="B1000" s="2"/>
      <c r="C1000" s="2"/>
      <c r="D1000" s="3"/>
      <c r="E1000" s="4"/>
      <c r="F1000" s="5"/>
      <c r="G1000" s="6"/>
      <c r="H1000" s="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3:D3"/>
  </mergeCells>
  <printOptions/>
  <pageMargins bottom="0.2755905511811024" footer="0.0" header="0.0" left="0.5118110236220472" right="0.5118110236220472" top="0.5511811023622047"/>
  <pageSetup fitToHeight="0" paperSize="9"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2009-08-14T11:49:32Z</dcterms:created>
  <dc:creator>Claudia Johanna Gacitúa Toloza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0x010100EB42FBC7814B3F43A0733B5B3EB89D95</vt:lpwstr>
  </property>
  <property fmtid="{D5CDD505-2E9C-101B-9397-08002B2CF9AE}" pid="3" name="Order">
    <vt:r8>188200.0</vt:r8>
  </property>
  <property fmtid="{D5CDD505-2E9C-101B-9397-08002B2CF9AE}" pid="4" name="MediaServiceImageTags">
    <vt:lpwstr/>
  </property>
</Properties>
</file>