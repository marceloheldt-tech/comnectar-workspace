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e\Desktop\"/>
    </mc:Choice>
  </mc:AlternateContent>
  <bookViews>
    <workbookView xWindow="0" yWindow="0" windowWidth="23040" windowHeight="8268"/>
  </bookViews>
  <sheets>
    <sheet name="Planilha1" sheetId="1" r:id="rId1"/>
  </sheets>
  <definedNames>
    <definedName name="_xlnm._FilterDatabase" localSheetId="0" hidden="1">Planilha1!$A$11:$F$1236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27" i="1" l="1"/>
  <c r="E1226" i="1"/>
  <c r="E1224" i="1"/>
  <c r="E1223" i="1"/>
  <c r="E1220" i="1"/>
  <c r="E1219" i="1"/>
  <c r="E1218" i="1"/>
  <c r="E1216" i="1"/>
  <c r="E1214" i="1"/>
  <c r="E1213" i="1"/>
  <c r="E1208" i="1"/>
  <c r="E1207" i="1"/>
  <c r="E1206" i="1"/>
  <c r="E1205" i="1"/>
  <c r="E1204" i="1"/>
  <c r="E1203" i="1"/>
  <c r="E1202" i="1"/>
  <c r="E1200" i="1"/>
  <c r="E1199" i="1"/>
  <c r="E1198" i="1"/>
  <c r="E1197" i="1"/>
  <c r="E1194" i="1"/>
  <c r="E1192" i="1"/>
  <c r="E1191" i="1"/>
  <c r="E1190" i="1"/>
  <c r="E1187" i="1"/>
  <c r="E1186" i="1"/>
  <c r="E1184" i="1"/>
  <c r="E1179" i="1"/>
  <c r="E1178" i="1"/>
  <c r="E1173" i="1"/>
  <c r="E1172" i="1"/>
  <c r="E1171" i="1"/>
  <c r="E1169" i="1"/>
  <c r="E1168" i="1"/>
  <c r="E1167" i="1"/>
  <c r="E1166" i="1"/>
  <c r="E1165" i="1"/>
  <c r="E1164" i="1"/>
  <c r="E1163" i="1"/>
  <c r="E1161" i="1"/>
  <c r="E1156" i="1"/>
  <c r="E1155" i="1"/>
  <c r="E1154" i="1"/>
  <c r="E1153" i="1"/>
  <c r="E1152" i="1"/>
  <c r="E1151" i="1"/>
  <c r="E1150" i="1"/>
  <c r="E1149" i="1"/>
  <c r="E1147" i="1"/>
  <c r="E1146" i="1"/>
  <c r="E1145" i="1"/>
  <c r="E1144" i="1"/>
  <c r="E1141" i="1"/>
  <c r="E1140" i="1"/>
  <c r="E1139" i="1"/>
  <c r="E1138" i="1"/>
  <c r="E1133" i="1"/>
  <c r="E1131" i="1"/>
  <c r="E1129" i="1"/>
  <c r="E1128" i="1"/>
  <c r="E1127" i="1"/>
  <c r="E1126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7" i="1"/>
  <c r="E1106" i="1"/>
  <c r="E1105" i="1"/>
  <c r="E1099" i="1"/>
  <c r="E1098" i="1"/>
  <c r="E1097" i="1"/>
  <c r="E1096" i="1"/>
  <c r="E1091" i="1"/>
  <c r="E1090" i="1"/>
  <c r="E1089" i="1"/>
  <c r="E1088" i="1"/>
  <c r="E1087" i="1"/>
  <c r="E1086" i="1"/>
  <c r="E1085" i="1"/>
  <c r="E1084" i="1"/>
  <c r="E1083" i="1"/>
  <c r="E1082" i="1"/>
  <c r="E1081" i="1"/>
  <c r="E1079" i="1"/>
  <c r="E1078" i="1"/>
  <c r="E1076" i="1"/>
  <c r="E1075" i="1"/>
  <c r="E1074" i="1"/>
  <c r="E1073" i="1"/>
  <c r="E1072" i="1"/>
  <c r="E1069" i="1"/>
  <c r="E1068" i="1"/>
  <c r="E1067" i="1"/>
  <c r="E1065" i="1"/>
  <c r="E1062" i="1"/>
  <c r="E1061" i="1"/>
  <c r="E1060" i="1"/>
  <c r="E1059" i="1"/>
  <c r="E1058" i="1"/>
  <c r="E1057" i="1"/>
  <c r="E1056" i="1"/>
  <c r="E1055" i="1"/>
  <c r="E1053" i="1"/>
  <c r="E1052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4" i="1"/>
  <c r="E1032" i="1"/>
  <c r="E1031" i="1"/>
  <c r="E1030" i="1"/>
  <c r="E1029" i="1"/>
  <c r="E1023" i="1"/>
  <c r="E1018" i="1"/>
  <c r="E1017" i="1"/>
  <c r="E1016" i="1"/>
  <c r="E1014" i="1"/>
  <c r="E1013" i="1"/>
  <c r="E1008" i="1"/>
  <c r="E1006" i="1"/>
  <c r="E1004" i="1"/>
  <c r="E996" i="1"/>
  <c r="E995" i="1"/>
  <c r="E994" i="1"/>
  <c r="E993" i="1"/>
  <c r="E992" i="1"/>
  <c r="E991" i="1"/>
  <c r="E990" i="1"/>
  <c r="E989" i="1"/>
  <c r="E988" i="1"/>
  <c r="E983" i="1"/>
  <c r="E982" i="1"/>
  <c r="E981" i="1"/>
  <c r="E980" i="1"/>
  <c r="E974" i="1"/>
  <c r="E973" i="1"/>
  <c r="E972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5" i="1"/>
  <c r="E953" i="1"/>
  <c r="E952" i="1"/>
  <c r="E951" i="1"/>
  <c r="E950" i="1"/>
  <c r="E945" i="1"/>
  <c r="E940" i="1"/>
  <c r="E939" i="1"/>
  <c r="E938" i="1"/>
  <c r="E937" i="1"/>
  <c r="E936" i="1"/>
  <c r="E934" i="1"/>
  <c r="E932" i="1"/>
  <c r="E931" i="1"/>
  <c r="E930" i="1"/>
  <c r="E929" i="1"/>
  <c r="E923" i="1"/>
  <c r="E921" i="1"/>
  <c r="E919" i="1"/>
  <c r="E918" i="1"/>
  <c r="E915" i="1"/>
  <c r="E912" i="1"/>
  <c r="E911" i="1"/>
  <c r="E909" i="1"/>
  <c r="E906" i="1"/>
  <c r="E905" i="1"/>
  <c r="E904" i="1"/>
  <c r="E902" i="1"/>
  <c r="E901" i="1"/>
  <c r="E900" i="1"/>
  <c r="E899" i="1"/>
  <c r="E898" i="1"/>
  <c r="E895" i="1"/>
  <c r="E894" i="1"/>
  <c r="E893" i="1"/>
  <c r="E891" i="1"/>
  <c r="E886" i="1"/>
  <c r="E885" i="1"/>
  <c r="E882" i="1"/>
  <c r="E881" i="1"/>
  <c r="E878" i="1"/>
  <c r="E875" i="1"/>
  <c r="E874" i="1"/>
  <c r="E873" i="1"/>
  <c r="E872" i="1"/>
  <c r="E870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0" i="1"/>
  <c r="E849" i="1"/>
  <c r="E848" i="1"/>
  <c r="E847" i="1"/>
  <c r="E846" i="1"/>
  <c r="E845" i="1"/>
  <c r="E844" i="1"/>
  <c r="E841" i="1"/>
  <c r="E840" i="1"/>
  <c r="E839" i="1"/>
  <c r="E838" i="1"/>
  <c r="E834" i="1"/>
  <c r="E833" i="1"/>
  <c r="E831" i="1"/>
  <c r="E826" i="1"/>
  <c r="E825" i="1"/>
  <c r="E824" i="1"/>
  <c r="E822" i="1"/>
  <c r="E819" i="1"/>
  <c r="E818" i="1"/>
  <c r="E817" i="1"/>
  <c r="E816" i="1"/>
  <c r="E814" i="1"/>
  <c r="E813" i="1"/>
  <c r="E812" i="1"/>
  <c r="E811" i="1"/>
  <c r="E806" i="1"/>
  <c r="E805" i="1"/>
  <c r="E800" i="1"/>
  <c r="E798" i="1"/>
  <c r="E794" i="1"/>
  <c r="E792" i="1"/>
  <c r="E791" i="1"/>
  <c r="E790" i="1"/>
  <c r="E789" i="1"/>
  <c r="E787" i="1"/>
  <c r="E784" i="1"/>
  <c r="E783" i="1"/>
  <c r="E782" i="1"/>
  <c r="E781" i="1"/>
  <c r="E779" i="1"/>
  <c r="E778" i="1"/>
  <c r="E777" i="1"/>
  <c r="E776" i="1"/>
  <c r="E775" i="1"/>
  <c r="E774" i="1"/>
  <c r="E773" i="1"/>
  <c r="E772" i="1"/>
  <c r="E770" i="1"/>
  <c r="E769" i="1"/>
  <c r="E766" i="1"/>
  <c r="E764" i="1"/>
  <c r="E763" i="1"/>
  <c r="E762" i="1"/>
  <c r="E761" i="1"/>
  <c r="E760" i="1"/>
  <c r="E757" i="1"/>
  <c r="E756" i="1"/>
  <c r="E753" i="1"/>
  <c r="E750" i="1"/>
  <c r="E749" i="1"/>
  <c r="E748" i="1"/>
  <c r="E742" i="1"/>
  <c r="E741" i="1"/>
  <c r="E739" i="1"/>
  <c r="E736" i="1"/>
  <c r="E735" i="1"/>
  <c r="E733" i="1"/>
  <c r="E732" i="1"/>
  <c r="E729" i="1"/>
  <c r="E727" i="1"/>
  <c r="E724" i="1"/>
  <c r="E723" i="1"/>
  <c r="E722" i="1"/>
  <c r="E720" i="1"/>
  <c r="E719" i="1"/>
  <c r="E716" i="1"/>
  <c r="E715" i="1"/>
  <c r="E713" i="1"/>
  <c r="E712" i="1"/>
  <c r="E711" i="1"/>
  <c r="E710" i="1"/>
  <c r="E708" i="1"/>
  <c r="E706" i="1"/>
  <c r="E701" i="1"/>
  <c r="E699" i="1"/>
  <c r="E698" i="1"/>
  <c r="E687" i="1"/>
  <c r="E686" i="1"/>
  <c r="E685" i="1"/>
  <c r="E683" i="1"/>
  <c r="E680" i="1"/>
  <c r="E679" i="1"/>
  <c r="E677" i="1"/>
  <c r="E676" i="1"/>
  <c r="E675" i="1"/>
  <c r="E670" i="1"/>
  <c r="E668" i="1"/>
  <c r="E667" i="1"/>
  <c r="E662" i="1"/>
  <c r="E661" i="1"/>
  <c r="E660" i="1"/>
  <c r="E659" i="1"/>
  <c r="E658" i="1"/>
  <c r="E657" i="1"/>
  <c r="E652" i="1"/>
  <c r="E651" i="1"/>
  <c r="E648" i="1"/>
  <c r="E647" i="1"/>
  <c r="E646" i="1"/>
  <c r="E643" i="1"/>
  <c r="E642" i="1"/>
  <c r="E641" i="1"/>
  <c r="E640" i="1"/>
  <c r="E637" i="1"/>
  <c r="E634" i="1"/>
  <c r="E633" i="1"/>
  <c r="E632" i="1"/>
  <c r="E631" i="1"/>
  <c r="E630" i="1"/>
  <c r="E629" i="1"/>
  <c r="E628" i="1"/>
  <c r="E627" i="1"/>
  <c r="E626" i="1"/>
  <c r="E625" i="1"/>
  <c r="E623" i="1"/>
  <c r="E622" i="1"/>
  <c r="E621" i="1"/>
  <c r="E620" i="1"/>
  <c r="E619" i="1"/>
  <c r="E616" i="1"/>
  <c r="E613" i="1"/>
  <c r="E611" i="1"/>
  <c r="E609" i="1"/>
  <c r="E603" i="1"/>
  <c r="E598" i="1"/>
  <c r="E593" i="1"/>
  <c r="E590" i="1"/>
  <c r="E587" i="1"/>
  <c r="E584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4" i="1"/>
  <c r="E561" i="1"/>
  <c r="E556" i="1"/>
  <c r="E553" i="1"/>
  <c r="E548" i="1"/>
  <c r="E545" i="1"/>
  <c r="E540" i="1"/>
  <c r="E539" i="1"/>
  <c r="E534" i="1"/>
  <c r="E531" i="1"/>
  <c r="E528" i="1"/>
  <c r="E523" i="1"/>
  <c r="E522" i="1"/>
  <c r="E517" i="1"/>
  <c r="E514" i="1"/>
  <c r="E511" i="1"/>
  <c r="E506" i="1"/>
  <c r="E504" i="1"/>
  <c r="E499" i="1"/>
  <c r="E496" i="1"/>
  <c r="E495" i="1"/>
  <c r="E492" i="1"/>
  <c r="E483" i="1"/>
  <c r="E482" i="1"/>
  <c r="E476" i="1"/>
  <c r="E473" i="1"/>
  <c r="E472" i="1"/>
  <c r="E471" i="1"/>
  <c r="E470" i="1"/>
  <c r="E468" i="1"/>
  <c r="E462" i="1"/>
  <c r="E461" i="1"/>
  <c r="E460" i="1"/>
  <c r="E458" i="1"/>
  <c r="E457" i="1"/>
  <c r="E451" i="1"/>
  <c r="E450" i="1"/>
  <c r="E449" i="1"/>
  <c r="E448" i="1"/>
  <c r="E446" i="1"/>
  <c r="E443" i="1"/>
  <c r="E442" i="1"/>
  <c r="E441" i="1"/>
  <c r="E440" i="1"/>
  <c r="E436" i="1"/>
  <c r="E434" i="1"/>
  <c r="E433" i="1"/>
  <c r="E430" i="1"/>
  <c r="E429" i="1"/>
  <c r="E428" i="1"/>
  <c r="E427" i="1"/>
  <c r="E426" i="1"/>
  <c r="E424" i="1"/>
  <c r="E421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5" i="1"/>
  <c r="E400" i="1"/>
  <c r="E399" i="1"/>
  <c r="E398" i="1"/>
  <c r="E396" i="1"/>
  <c r="E392" i="1"/>
  <c r="E391" i="1"/>
  <c r="E390" i="1"/>
  <c r="E389" i="1"/>
  <c r="E388" i="1"/>
  <c r="E387" i="1"/>
  <c r="E385" i="1"/>
  <c r="E384" i="1"/>
  <c r="E379" i="1"/>
  <c r="E378" i="1"/>
  <c r="E377" i="1"/>
  <c r="E376" i="1"/>
  <c r="E375" i="1"/>
  <c r="E374" i="1"/>
  <c r="E373" i="1"/>
  <c r="E372" i="1"/>
  <c r="E371" i="1"/>
  <c r="E369" i="1"/>
  <c r="E368" i="1"/>
  <c r="E363" i="1"/>
  <c r="E362" i="1"/>
  <c r="E361" i="1"/>
  <c r="E360" i="1"/>
  <c r="E359" i="1"/>
  <c r="E358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36" i="1"/>
  <c r="E335" i="1"/>
  <c r="E333" i="1"/>
  <c r="E331" i="1"/>
  <c r="E330" i="1"/>
  <c r="E325" i="1"/>
  <c r="E323" i="1"/>
  <c r="E322" i="1"/>
  <c r="E321" i="1"/>
  <c r="E320" i="1"/>
  <c r="E315" i="1"/>
  <c r="E314" i="1"/>
  <c r="E313" i="1"/>
  <c r="E312" i="1"/>
  <c r="E310" i="1"/>
  <c r="E309" i="1"/>
  <c r="E304" i="1"/>
  <c r="E302" i="1"/>
  <c r="E300" i="1"/>
  <c r="E299" i="1"/>
  <c r="E298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79" i="1"/>
  <c r="E274" i="1"/>
  <c r="E273" i="1"/>
  <c r="E272" i="1"/>
  <c r="E269" i="1"/>
  <c r="E268" i="1"/>
  <c r="E266" i="1"/>
  <c r="E265" i="1"/>
  <c r="E258" i="1"/>
  <c r="E257" i="1"/>
  <c r="E256" i="1"/>
  <c r="E255" i="1"/>
  <c r="E254" i="1"/>
  <c r="E252" i="1"/>
  <c r="E248" i="1"/>
  <c r="E247" i="1"/>
  <c r="E246" i="1"/>
  <c r="E242" i="1"/>
  <c r="E241" i="1"/>
  <c r="E239" i="1"/>
  <c r="E238" i="1"/>
  <c r="E235" i="1"/>
  <c r="E234" i="1"/>
  <c r="E233" i="1"/>
  <c r="E232" i="1"/>
  <c r="E231" i="1"/>
  <c r="E229" i="1"/>
  <c r="E228" i="1"/>
  <c r="E227" i="1"/>
  <c r="E226" i="1"/>
  <c r="E225" i="1"/>
  <c r="E222" i="1"/>
  <c r="E220" i="1"/>
  <c r="E217" i="1"/>
  <c r="E216" i="1"/>
  <c r="E215" i="1"/>
  <c r="E214" i="1"/>
  <c r="E213" i="1"/>
  <c r="E212" i="1"/>
  <c r="E211" i="1"/>
  <c r="E210" i="1"/>
  <c r="E207" i="1"/>
  <c r="E205" i="1"/>
  <c r="E204" i="1"/>
  <c r="E203" i="1"/>
  <c r="E202" i="1"/>
  <c r="E199" i="1"/>
  <c r="E194" i="1"/>
  <c r="E193" i="1"/>
  <c r="E192" i="1"/>
  <c r="E191" i="1"/>
  <c r="E190" i="1"/>
  <c r="E188" i="1"/>
  <c r="E186" i="1"/>
  <c r="E185" i="1"/>
  <c r="E184" i="1"/>
  <c r="E183" i="1"/>
  <c r="E182" i="1"/>
  <c r="E180" i="1"/>
  <c r="E175" i="1"/>
  <c r="E173" i="1"/>
  <c r="E170" i="1"/>
  <c r="E169" i="1"/>
  <c r="E168" i="1"/>
  <c r="E167" i="1"/>
  <c r="E166" i="1"/>
  <c r="E164" i="1"/>
  <c r="E163" i="1"/>
  <c r="E162" i="1"/>
  <c r="E161" i="1"/>
  <c r="E152" i="1"/>
  <c r="E151" i="1"/>
  <c r="E145" i="1"/>
  <c r="E140" i="1"/>
  <c r="E139" i="1"/>
  <c r="E138" i="1"/>
  <c r="E137" i="1"/>
  <c r="E136" i="1"/>
  <c r="E135" i="1"/>
  <c r="E134" i="1"/>
  <c r="E132" i="1"/>
  <c r="E131" i="1"/>
  <c r="E130" i="1"/>
  <c r="E129" i="1"/>
  <c r="E127" i="1"/>
  <c r="E122" i="1"/>
  <c r="E121" i="1"/>
  <c r="E120" i="1"/>
  <c r="E119" i="1"/>
  <c r="E118" i="1"/>
  <c r="E113" i="1"/>
  <c r="E112" i="1"/>
  <c r="E111" i="1"/>
  <c r="E110" i="1"/>
  <c r="E109" i="1"/>
  <c r="E108" i="1"/>
  <c r="E106" i="1"/>
  <c r="E103" i="1"/>
  <c r="E102" i="1"/>
  <c r="E101" i="1"/>
  <c r="E100" i="1"/>
  <c r="E98" i="1"/>
  <c r="E95" i="1"/>
  <c r="E94" i="1"/>
  <c r="E89" i="1"/>
  <c r="E84" i="1"/>
  <c r="E83" i="1"/>
  <c r="E82" i="1"/>
  <c r="E75" i="1"/>
  <c r="E74" i="1"/>
  <c r="E73" i="1"/>
  <c r="E72" i="1"/>
  <c r="E71" i="1"/>
  <c r="E63" i="1"/>
  <c r="E62" i="1"/>
  <c r="E57" i="1"/>
  <c r="E55" i="1"/>
  <c r="E54" i="1"/>
  <c r="E49" i="1"/>
  <c r="E48" i="1"/>
  <c r="E47" i="1"/>
  <c r="E46" i="1"/>
  <c r="E45" i="1"/>
  <c r="E44" i="1"/>
  <c r="E42" i="1"/>
  <c r="E41" i="1"/>
  <c r="E40" i="1"/>
  <c r="E34" i="1"/>
  <c r="E32" i="1"/>
  <c r="E31" i="1"/>
  <c r="E30" i="1"/>
  <c r="E29" i="1"/>
  <c r="E24" i="1"/>
  <c r="E21" i="1"/>
  <c r="E19" i="1"/>
  <c r="E18" i="1"/>
  <c r="E17" i="1"/>
  <c r="E16" i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<sst xmlns="http://schemas.openxmlformats.org/spreadsheetml/2006/main" count="1225" uniqueCount="933">
  <si>
    <t>TABELA 2026 H</t>
  </si>
  <si>
    <t>A L E M A N H A</t>
  </si>
  <si>
    <t>Mosel</t>
  </si>
  <si>
    <r>
      <t xml:space="preserve">CLEMENS BUSCH - </t>
    </r>
    <r>
      <rPr>
        <b/>
        <sz val="14"/>
        <color rgb="FFC65911"/>
        <rFont val="Calibri"/>
        <family val="2"/>
      </rPr>
      <t>BIO</t>
    </r>
  </si>
  <si>
    <t>PREÇO C/IPI</t>
  </si>
  <si>
    <t>Branco:</t>
  </si>
  <si>
    <t>CLEMENS BUSCH VDP. Gutswein Riesling Trocken  2024</t>
  </si>
  <si>
    <t>CLEMENS BUSCH VDP. Ortswein Riesling Vom Roten Schiefer Trocken 2022</t>
  </si>
  <si>
    <t>CLEMENS BUSCH VDP. Ortswein Riesling Vom Roten Schiefer Trocken 2023</t>
  </si>
  <si>
    <t>CLEMENS BUSCH VDP. Erste Lage Riesling Nonnengarten 2022</t>
  </si>
  <si>
    <r>
      <t xml:space="preserve">CLEMENS BUSCH VDP. Grosse Lage Marienburg Riesling Trocken GG - </t>
    </r>
    <r>
      <rPr>
        <b/>
        <sz val="12"/>
        <rFont val="Calibri"/>
        <family val="2"/>
      </rPr>
      <t xml:space="preserve">S.E.  </t>
    </r>
  </si>
  <si>
    <t>INDISP.</t>
  </si>
  <si>
    <r>
      <t xml:space="preserve">CLEMENS BUSCH VDP. Grosse Lage Marienburg Fahrlay Riesling Trocken GG 2022 - </t>
    </r>
    <r>
      <rPr>
        <b/>
        <sz val="12"/>
        <rFont val="Calibri"/>
        <family val="2"/>
      </rPr>
      <t xml:space="preserve">S.E. </t>
    </r>
    <r>
      <rPr>
        <sz val="12"/>
        <rFont val="Calibri"/>
        <family val="2"/>
      </rPr>
      <t xml:space="preserve"> </t>
    </r>
  </si>
  <si>
    <t>Sobremesa:</t>
  </si>
  <si>
    <t xml:space="preserve">CLEMENS BUSCH VDP. Grosse Lage Marienburg Kabinett Riesling </t>
  </si>
  <si>
    <r>
      <t xml:space="preserve">CLEMENS BUSCH VDP. G. Lage Marienburg Fahrlay Riesling Auslese - 375 ml 2023 - </t>
    </r>
    <r>
      <rPr>
        <b/>
        <sz val="12"/>
        <rFont val="Calibri"/>
        <family val="2"/>
      </rPr>
      <t>S.E.</t>
    </r>
  </si>
  <si>
    <t>Pfalz</t>
  </si>
  <si>
    <t>KOEHLER-RUPRECHT</t>
  </si>
  <si>
    <t>KOEHLER-RUPRECHT Riesling Kabinett Trocken 2022</t>
  </si>
  <si>
    <t>KOEHLER-RUPRECHT Kallstadter Saumagen Riesling Kabinett Trocken 2020</t>
  </si>
  <si>
    <t>KOEHLER-RUPRECHT Kallstadter Saumagen Riesling Spätlese Trocken 2020</t>
  </si>
  <si>
    <r>
      <t xml:space="preserve">KOEHLER-RUPRECHT Kallstadter Saumagen Riesling Auslese Trocken 2021 - </t>
    </r>
    <r>
      <rPr>
        <b/>
        <sz val="12"/>
        <rFont val="Calibri"/>
        <family val="2"/>
      </rPr>
      <t>S.E.</t>
    </r>
  </si>
  <si>
    <t>Tinto:</t>
  </si>
  <si>
    <t>KOEHLER-RUPRECHT Spätburgunder Kabinett Trocken 2023</t>
  </si>
  <si>
    <t>E S P A N H A</t>
  </si>
  <si>
    <t>Catalunya</t>
  </si>
  <si>
    <t>ALTAVINS</t>
  </si>
  <si>
    <t>ALTAVINS Almodi Petit Blanc DO Terra Alta 2021</t>
  </si>
  <si>
    <t>ALTAVINS Ilercavònia DO Terra Alta 2024</t>
  </si>
  <si>
    <r>
      <t xml:space="preserve">ALTAVINS Selecció Garnatxa Blanca DO Terra Alta 2020 - </t>
    </r>
    <r>
      <rPr>
        <b/>
        <sz val="12"/>
        <rFont val="Calibri"/>
        <family val="2"/>
      </rPr>
      <t>S.E.</t>
    </r>
  </si>
  <si>
    <t>ALTAVINS Almodi Petit Negre DO Terra Alta 2022</t>
  </si>
  <si>
    <t>ALTAVINS Almodi DO Terra Alta 2020</t>
  </si>
  <si>
    <t>ALTAVINS Tempus DO Terra Alta 2021</t>
  </si>
  <si>
    <t>ALTAVINS Domus Pensi DO Terra Alta 2018</t>
  </si>
  <si>
    <r>
      <t xml:space="preserve">ALTAVINS Selecció Carinyena DO Terra Alta 2018- </t>
    </r>
    <r>
      <rPr>
        <b/>
        <sz val="12"/>
        <rFont val="Calibri"/>
        <family val="2"/>
      </rPr>
      <t>S.E.</t>
    </r>
  </si>
  <si>
    <r>
      <t xml:space="preserve">ALTAVINS Selecció Carinyena DO Terra Alta 2020- </t>
    </r>
    <r>
      <rPr>
        <b/>
        <sz val="12"/>
        <rFont val="Calibri"/>
        <family val="2"/>
      </rPr>
      <t>S.E.</t>
    </r>
  </si>
  <si>
    <t>Galicia - Monterrei</t>
  </si>
  <si>
    <t>GRANDES PAGOS GALLEGOS</t>
  </si>
  <si>
    <t>FRAGA DO CORVO Godello DO Monterrei 2018</t>
  </si>
  <si>
    <t>FRAGA DO CORVO Godello DO Monterrei 2022</t>
  </si>
  <si>
    <t>FRAGA DO CORVO Mencia DO Monterrei  2022</t>
  </si>
  <si>
    <t>Galicia - Rias Baixas</t>
  </si>
  <si>
    <t>QUINTA COUSELO</t>
  </si>
  <si>
    <t>QUINTA COUSELO Albariño Turonia DO Rias Baixas 2018</t>
  </si>
  <si>
    <t>QUINTA COUSELO Albariño Turonia DO Rias Baixas 2022</t>
  </si>
  <si>
    <t>Jerez</t>
  </si>
  <si>
    <t>DELGADO ZULETA</t>
  </si>
  <si>
    <t>DELGADO ZULETA Fino Zuleta</t>
  </si>
  <si>
    <t>DELGADO ZULETA Oloroso Zuleta</t>
  </si>
  <si>
    <t xml:space="preserve">DELGADO ZULETA Manzanilla La Goya </t>
  </si>
  <si>
    <t xml:space="preserve">DELGADO ZULETA Oloroso Monteagudo </t>
  </si>
  <si>
    <r>
      <t xml:space="preserve">DELGADO ZULETA Manzanilla Entusiastico - 500 ml - </t>
    </r>
    <r>
      <rPr>
        <b/>
        <sz val="12"/>
        <rFont val="Calibri"/>
        <family val="2"/>
        <charset val="1"/>
      </rPr>
      <t>ORG</t>
    </r>
  </si>
  <si>
    <t xml:space="preserve">DELGADO ZULETA Amontillado Monteagudo </t>
  </si>
  <si>
    <t xml:space="preserve">DELGADO ZULETA Palo Cortado Monteagudo </t>
  </si>
  <si>
    <t xml:space="preserve">DELGADO ZULETA Manzanilla La Goya XL Manzanilla en Rama Reposada - 500 ml </t>
  </si>
  <si>
    <t>DELGADO ZULETA Pedro Ximenes Monteagudo - 375 ml</t>
  </si>
  <si>
    <t>Navarra</t>
  </si>
  <si>
    <t>CASTILLO DE ENERIZ</t>
  </si>
  <si>
    <t>CASTILLO DE ENERIZ Graciano/Garnacha 2024</t>
  </si>
  <si>
    <t>CASTILLO DE ENERIZ Crianza 2022</t>
  </si>
  <si>
    <t>CASTILLO DE ENERIZ Reserva 2018</t>
  </si>
  <si>
    <t>Priorato</t>
  </si>
  <si>
    <t>TERROIR AL LIMIT - ORG</t>
  </si>
  <si>
    <r>
      <t>TERROIR AL LIMIT Pedra de Guix 2012 -</t>
    </r>
    <r>
      <rPr>
        <b/>
        <sz val="12"/>
        <color rgb="FF000000"/>
        <rFont val="Calibri"/>
        <family val="2"/>
        <charset val="1"/>
      </rPr>
      <t xml:space="preserve"> S.E.</t>
    </r>
  </si>
  <si>
    <t>Rioja</t>
  </si>
  <si>
    <t>BENJAMIN ROMEO/BODEGA CONTADOR</t>
  </si>
  <si>
    <r>
      <t xml:space="preserve">BENJAMIN ROMEO Predicador Blanco 2019 - </t>
    </r>
    <r>
      <rPr>
        <b/>
        <sz val="12"/>
        <rFont val="Calibri"/>
        <family val="2"/>
        <charset val="1"/>
      </rPr>
      <t>S.E.</t>
    </r>
  </si>
  <si>
    <r>
      <t>BENJAMIN ROMEO Qué Bonito Cacareaba 2019 -</t>
    </r>
    <r>
      <rPr>
        <b/>
        <sz val="12"/>
        <color rgb="FF000000"/>
        <rFont val="Calibri"/>
        <family val="2"/>
        <charset val="1"/>
      </rPr>
      <t xml:space="preserve"> S.E. </t>
    </r>
  </si>
  <si>
    <t>FINCA VALDEGUINEA</t>
  </si>
  <si>
    <t>FINCA VALDEGUINEA Blanco (Joven) 2024</t>
  </si>
  <si>
    <t>FINCA VALDEGUINEA (Joven) 2023</t>
  </si>
  <si>
    <t>FINCA VALDEGUINEA 6 F.V. (Semi Crianza) 2024</t>
  </si>
  <si>
    <t>FINCA VALDEGUINEA Crianza 2019</t>
  </si>
  <si>
    <t>FINCA VALDEGUINEA Reserva Etiqueta Negra 15 meses 2017</t>
  </si>
  <si>
    <t>VIÑA ANE</t>
  </si>
  <si>
    <t>VIÑA ANE Centenaria DOC Rioja 2021</t>
  </si>
  <si>
    <t>VIÑA ANE Autor DOC Rioja 2018</t>
  </si>
  <si>
    <t>VIÑA ANE Autor DOC Rioja 2021</t>
  </si>
  <si>
    <t>VIÑA ANE Selección DOC Rioja 2018</t>
  </si>
  <si>
    <r>
      <t xml:space="preserve">VIÑA ANE Selección DOC Rioja 2021 - </t>
    </r>
    <r>
      <rPr>
        <b/>
        <sz val="12"/>
        <rFont val="Calibri"/>
        <family val="2"/>
      </rPr>
      <t>S.E.</t>
    </r>
  </si>
  <si>
    <r>
      <t xml:space="preserve">VIÑA ANE El Laberinto de Viña Ane DOC Rioja 2019 - </t>
    </r>
    <r>
      <rPr>
        <b/>
        <sz val="12"/>
        <rFont val="Calibri"/>
        <family val="2"/>
        <charset val="1"/>
      </rPr>
      <t>S.E.</t>
    </r>
  </si>
  <si>
    <r>
      <t xml:space="preserve">VIÑA ANE El Laberinto de Viña Ane DOC Rioja 2023 - </t>
    </r>
    <r>
      <rPr>
        <b/>
        <sz val="12"/>
        <rFont val="Calibri"/>
        <family val="2"/>
        <charset val="1"/>
      </rPr>
      <t>S.E.</t>
    </r>
  </si>
  <si>
    <t>Rueda</t>
  </si>
  <si>
    <t>VINOS SANZ</t>
  </si>
  <si>
    <t xml:space="preserve">VINOS SANZ Clásico 2024 </t>
  </si>
  <si>
    <t xml:space="preserve">VINOS SANZ Clásico 2024 - 375 ml </t>
  </si>
  <si>
    <t>VINOS SANZ Verdejo 2022</t>
  </si>
  <si>
    <t>VINOS SANZ El Loco de Finca La Colina 2023</t>
  </si>
  <si>
    <t>VINOS SANZ Finca La Colina Verdejo 2021</t>
  </si>
  <si>
    <t>Valencia</t>
  </si>
  <si>
    <t>BODEGAS ENGUERA - ORG</t>
  </si>
  <si>
    <t>Espumante:</t>
  </si>
  <si>
    <t xml:space="preserve">Finca in a Bubble Cava Brut Nature </t>
  </si>
  <si>
    <t>ENGUERA Finca Enguera Blanc 2024</t>
  </si>
  <si>
    <t>ENGUERA Aliats Branco 2024</t>
  </si>
  <si>
    <t>ENGUERA Pellnua Naranja 2024</t>
  </si>
  <si>
    <t>ENGUERA Blanc D'Enguera 2019</t>
  </si>
  <si>
    <t>ENGUERA Finca Enguera Tempranillo 2025</t>
  </si>
  <si>
    <t>ENGUERA Finca Enguera Crianza 2023</t>
  </si>
  <si>
    <t>ENGUERA Pellnua Monastrell 2024</t>
  </si>
  <si>
    <t>ENGUERA Aliats Tinto 2021</t>
  </si>
  <si>
    <t>ENGUERA Aliats Tinto 2023</t>
  </si>
  <si>
    <t>ENGUERA Castillo de Enguera Reserva 2021</t>
  </si>
  <si>
    <t>ENGUERA Paradigma 2019</t>
  </si>
  <si>
    <t>Vinos de Madrid</t>
  </si>
  <si>
    <t>VINOS SANZ La Capital 2022</t>
  </si>
  <si>
    <t>G RÉ C I A</t>
  </si>
  <si>
    <t>Santorini</t>
  </si>
  <si>
    <t>ESTATE ARGYROS Atlantis White 2022</t>
  </si>
  <si>
    <r>
      <t>ESTATE ARGYROS Assyrtiko PDO Santorini 2022 -</t>
    </r>
    <r>
      <rPr>
        <b/>
        <sz val="12"/>
        <rFont val="Calibri"/>
        <family val="2"/>
      </rPr>
      <t xml:space="preserve"> S.E.</t>
    </r>
  </si>
  <si>
    <t xml:space="preserve">ESTATE ARGYROS Cuvee Monsignori PDO Santorini </t>
  </si>
  <si>
    <r>
      <t xml:space="preserve">ESTATE ARGYROS Vinsanto First Release PDO Santorini - 500 ml - </t>
    </r>
    <r>
      <rPr>
        <b/>
        <sz val="12"/>
        <rFont val="Calibri"/>
        <family val="2"/>
        <charset val="1"/>
      </rPr>
      <t xml:space="preserve">S.E. </t>
    </r>
  </si>
  <si>
    <t>P O R T U G A L</t>
  </si>
  <si>
    <t>Alentejo</t>
  </si>
  <si>
    <t>LOBO DE VASCONCELLOS</t>
  </si>
  <si>
    <t>LOBO DE VASCONCELLOS Perescuma Branco 2023</t>
  </si>
  <si>
    <t>LOBO DE VASCONCELLOS LV Branco 2024</t>
  </si>
  <si>
    <t>LOBO DE VASCONCELLOS LV Reserva Branco 2020</t>
  </si>
  <si>
    <t>LOBO DE VASCONCELLOS LV Reserva Branco 2021</t>
  </si>
  <si>
    <t>LOBO DE VASCONCELLOS Perescuma Tinto 2021</t>
  </si>
  <si>
    <t>LOBO DE VASCONCELLOS LV Tinto 2022</t>
  </si>
  <si>
    <t>LOBO DE VASCONCELLOS LV Tinto 2022 - Magnum</t>
  </si>
  <si>
    <t>LOBO DE VASCONCELLOS LV Reserva Tinto 2019</t>
  </si>
  <si>
    <t>LOBO DE VASCONCELLOS LV Reserva Tinto 2020</t>
  </si>
  <si>
    <t>NUNES BARATA</t>
  </si>
  <si>
    <t>VINHAS DE CABEÇÃO Branco 2024</t>
  </si>
  <si>
    <t>VINHAS DE CABEÇÃO Tinto 2023</t>
  </si>
  <si>
    <t>Bairrada</t>
  </si>
  <si>
    <t>QUINTA DAS BÁGEIRAS</t>
  </si>
  <si>
    <t>QUINTA DAS BÁGEIRAS Bruto Natural 2022</t>
  </si>
  <si>
    <t>QUINTA DAS BÁGEIRAS Colheita Branco 2023</t>
  </si>
  <si>
    <r>
      <t xml:space="preserve">QUINTA DAS BÁGEIRAS Garrafeira Branco 2018 - </t>
    </r>
    <r>
      <rPr>
        <b/>
        <sz val="12"/>
        <rFont val="Calibri"/>
        <family val="2"/>
        <charset val="1"/>
      </rPr>
      <t>S.E.</t>
    </r>
  </si>
  <si>
    <r>
      <t xml:space="preserve">QUINTA DAS BÁGEIRAS Pai Abel 2019 - </t>
    </r>
    <r>
      <rPr>
        <b/>
        <sz val="12"/>
        <rFont val="Calibri"/>
        <family val="2"/>
        <charset val="1"/>
      </rPr>
      <t>S.E.</t>
    </r>
  </si>
  <si>
    <r>
      <t xml:space="preserve">QUINTA DAS BÁGEIRAS Pai Abel 2022 - </t>
    </r>
    <r>
      <rPr>
        <b/>
        <sz val="12"/>
        <rFont val="Calibri"/>
        <family val="2"/>
        <charset val="1"/>
      </rPr>
      <t>S.E.</t>
    </r>
  </si>
  <si>
    <r>
      <t xml:space="preserve">QUINTA DAS BÁGEIRAS Cercial 2021 - </t>
    </r>
    <r>
      <rPr>
        <b/>
        <sz val="12"/>
        <color theme="1"/>
        <rFont val="Calibri"/>
        <family val="2"/>
      </rPr>
      <t>S.E.</t>
    </r>
  </si>
  <si>
    <t>Rosé:</t>
  </si>
  <si>
    <t>QUINTA DAS BÁGEIRAS Rosé Reserva 2022</t>
  </si>
  <si>
    <t>QUINTA DAS BÁGEIRAS Reserva 2021</t>
  </si>
  <si>
    <r>
      <t xml:space="preserve">QUINTA DAS BÁGEIRAS Avô Fausto 2019 - </t>
    </r>
    <r>
      <rPr>
        <b/>
        <sz val="12"/>
        <rFont val="Calibri"/>
        <family val="2"/>
      </rPr>
      <t>S.E.</t>
    </r>
  </si>
  <si>
    <r>
      <t xml:space="preserve">QUINTA DAS BÁGEIRAS Avô Fausto 2022 - </t>
    </r>
    <r>
      <rPr>
        <b/>
        <sz val="12"/>
        <rFont val="Calibri"/>
        <family val="2"/>
      </rPr>
      <t>S.E.</t>
    </r>
  </si>
  <si>
    <r>
      <t xml:space="preserve">QUINTA DAS BÁGEIRAS Garrafeira Tinto 2019 - </t>
    </r>
    <r>
      <rPr>
        <b/>
        <sz val="12"/>
        <rFont val="Calibri"/>
        <family val="2"/>
      </rPr>
      <t xml:space="preserve">S.E. </t>
    </r>
  </si>
  <si>
    <r>
      <t xml:space="preserve">QUINTA DAS BÁGEIRAS Aldeia da Fogueira 2012 - </t>
    </r>
    <r>
      <rPr>
        <b/>
        <sz val="12"/>
        <rFont val="Calibri"/>
        <family val="2"/>
      </rPr>
      <t xml:space="preserve">S.E. </t>
    </r>
  </si>
  <si>
    <t>Dão</t>
  </si>
  <si>
    <t>CASA DA PASSARELLA</t>
  </si>
  <si>
    <r>
      <t xml:space="preserve">CASA DA PASSARELLA O Fugitivo Bruto Natural - </t>
    </r>
    <r>
      <rPr>
        <b/>
        <sz val="12"/>
        <rFont val="Calibri"/>
        <family val="2"/>
        <charset val="1"/>
      </rPr>
      <t>S.E.</t>
    </r>
  </si>
  <si>
    <t xml:space="preserve">CASA DA PASSARELLA A Descoberta Colheita Branco </t>
  </si>
  <si>
    <t>CASA DA PASSARELLA Abanico Reserva Branco 2020</t>
  </si>
  <si>
    <t>CASA DA PASSARELLA O Oenologo Encruzado 2020</t>
  </si>
  <si>
    <r>
      <t xml:space="preserve">CASA DA PASSARELLA O Fugitivo Barcelo 2022 - </t>
    </r>
    <r>
      <rPr>
        <b/>
        <sz val="12"/>
        <rFont val="Calibri"/>
        <family val="2"/>
        <charset val="1"/>
      </rPr>
      <t xml:space="preserve">S.E. </t>
    </r>
  </si>
  <si>
    <r>
      <t xml:space="preserve">CASA DA PASSARELLA O Fugitivo Branco em Curtimenta 2018 - </t>
    </r>
    <r>
      <rPr>
        <b/>
        <sz val="12"/>
        <rFont val="Calibri"/>
        <family val="2"/>
        <charset val="1"/>
      </rPr>
      <t xml:space="preserve">S.E. </t>
    </r>
  </si>
  <si>
    <t>CASA DA PASSARELLA A Descoberta Rosé 2023</t>
  </si>
  <si>
    <t xml:space="preserve">CASA DA PASSARELLA A Descoberta Colheita Tinto </t>
  </si>
  <si>
    <t>CASA DA PASSARELLA Abanico Reserva 2019</t>
  </si>
  <si>
    <t>CASA DA PASSARELLA Enxertia Jaen 2018</t>
  </si>
  <si>
    <t>CASA DA PASSARELLA O Oenologo Vinhas Velhas 2021</t>
  </si>
  <si>
    <r>
      <t xml:space="preserve">CASA DA PASSARELLA O Oenologo Vinhas Velhas 2019 - Magnum - </t>
    </r>
    <r>
      <rPr>
        <b/>
        <sz val="12"/>
        <rFont val="Calibri"/>
        <family val="2"/>
      </rPr>
      <t>S.E.</t>
    </r>
  </si>
  <si>
    <r>
      <t xml:space="preserve">CASA DA PASSARELLA O Fugitivo Bastardo 2021 - </t>
    </r>
    <r>
      <rPr>
        <b/>
        <sz val="12"/>
        <rFont val="Calibri"/>
        <family val="2"/>
        <charset val="1"/>
      </rPr>
      <t>S.E.</t>
    </r>
  </si>
  <si>
    <r>
      <t xml:space="preserve">CASA DA PASSARELLA O Fugitivo Baga 2022 - </t>
    </r>
    <r>
      <rPr>
        <b/>
        <sz val="12"/>
        <rFont val="Calibri"/>
        <family val="2"/>
        <charset val="1"/>
      </rPr>
      <t>S.E.</t>
    </r>
  </si>
  <si>
    <r>
      <t xml:space="preserve">CASA DA PASSARELLA O Fugitivo Tinta Carvalha 2021 - </t>
    </r>
    <r>
      <rPr>
        <b/>
        <sz val="12"/>
        <rFont val="Calibri"/>
        <family val="2"/>
        <charset val="1"/>
      </rPr>
      <t>S.E.</t>
    </r>
  </si>
  <si>
    <r>
      <t xml:space="preserve">CASA DA PASSARELLA O Fugitivo Vinhas Centenárias 2019 - </t>
    </r>
    <r>
      <rPr>
        <b/>
        <sz val="12"/>
        <rFont val="Calibri"/>
        <family val="2"/>
        <charset val="1"/>
      </rPr>
      <t>S.E.</t>
    </r>
  </si>
  <si>
    <t>CASA DA PASSARELLA - LINHA SOMONTES</t>
  </si>
  <si>
    <t>SOMONTES Colheita Branco 2024</t>
  </si>
  <si>
    <t>SOMONTES Colheita Tinto 2022</t>
  </si>
  <si>
    <t>CASA DA PASSARELLA - LINHA VILLA OLIVEIRA</t>
  </si>
  <si>
    <r>
      <t xml:space="preserve">VILLA OLIVEIRA Encruzado 2018 -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</si>
  <si>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VILLA OLIVEIRA Encruzado 2021 - </t>
    </r>
    <r>
      <rPr>
        <b/>
        <sz val="12"/>
        <color rgb="FF000000"/>
        <rFont val="Calibri"/>
        <family val="2"/>
        <charset val="1"/>
      </rPr>
      <t>S.E.</t>
    </r>
  </si>
  <si>
    <r>
      <t>VILLA OLIVEIRA 1ª Edição -</t>
    </r>
    <r>
      <rPr>
        <b/>
        <sz val="12"/>
        <rFont val="Calibri"/>
        <family val="2"/>
        <charset val="1"/>
      </rPr>
      <t xml:space="preserve"> S.E</t>
    </r>
  </si>
  <si>
    <r>
      <t>VILLA OLIVEIRA 3ª Edição -</t>
    </r>
    <r>
      <rPr>
        <b/>
        <sz val="12"/>
        <rFont val="Calibri"/>
        <family val="2"/>
        <charset val="1"/>
      </rPr>
      <t xml:space="preserve"> S.E</t>
    </r>
  </si>
  <si>
    <r>
      <t>VILLA OLIVEIRA Uva Cão 2021 -</t>
    </r>
    <r>
      <rPr>
        <b/>
        <sz val="12"/>
        <rFont val="Calibri"/>
        <family val="2"/>
        <charset val="1"/>
      </rPr>
      <t xml:space="preserve"> S.E</t>
    </r>
  </si>
  <si>
    <r>
      <t>VILLA OLIVEIRA Touriga Nacional 2017 -</t>
    </r>
    <r>
      <rPr>
        <b/>
        <sz val="12"/>
        <rFont val="Calibri"/>
        <family val="2"/>
      </rPr>
      <t xml:space="preserve"> S.E.</t>
    </r>
  </si>
  <si>
    <r>
      <t>VILLA OLIVEIRA Touriga Nacional 2019 -</t>
    </r>
    <r>
      <rPr>
        <b/>
        <sz val="12"/>
        <rFont val="Calibri"/>
        <family val="2"/>
      </rPr>
      <t xml:space="preserve"> S.E.</t>
    </r>
  </si>
  <si>
    <r>
      <t>VILLA OLIVEIRA Touriga Nacional 2014 -</t>
    </r>
    <r>
      <rPr>
        <b/>
        <sz val="12"/>
        <rFont val="Calibri"/>
        <family val="2"/>
      </rPr>
      <t xml:space="preserve"> </t>
    </r>
    <r>
      <rPr>
        <sz val="12"/>
        <rFont val="Calibri"/>
        <family val="2"/>
      </rPr>
      <t>Magnum</t>
    </r>
    <r>
      <rPr>
        <b/>
        <sz val="12"/>
        <rFont val="Calibri"/>
        <family val="2"/>
      </rPr>
      <t xml:space="preserve"> - S.E.</t>
    </r>
  </si>
  <si>
    <r>
      <t xml:space="preserve">VILLA OLIVEIRA Vinha das Pedras Altas 2016 - </t>
    </r>
    <r>
      <rPr>
        <b/>
        <sz val="12"/>
        <rFont val="Calibri"/>
        <family val="2"/>
        <charset val="1"/>
      </rPr>
      <t>S.E.</t>
    </r>
  </si>
  <si>
    <r>
      <t xml:space="preserve">VILLA OLIVEIRA Vinha Centenária Pai D'Aviz 2018 - </t>
    </r>
    <r>
      <rPr>
        <b/>
        <sz val="12"/>
        <rFont val="Calibri"/>
        <family val="2"/>
        <charset val="1"/>
      </rPr>
      <t>S.E.</t>
    </r>
  </si>
  <si>
    <t>QUINTA DA PERDONDA</t>
  </si>
  <si>
    <t>QUINTA DA PERDONDA Dão DOC Talhões Branco 2021</t>
  </si>
  <si>
    <r>
      <t xml:space="preserve">QUINTA DA PERDONDA Dão DOC Branco da Estrela 2020 - </t>
    </r>
    <r>
      <rPr>
        <b/>
        <sz val="12"/>
        <rFont val="Calibri"/>
        <family val="2"/>
      </rPr>
      <t>S.E.</t>
    </r>
    <r>
      <rPr>
        <sz val="12"/>
        <rFont val="Calibri"/>
        <family val="2"/>
        <charset val="1"/>
      </rPr>
      <t xml:space="preserve"> </t>
    </r>
  </si>
  <si>
    <t>QUINTA DA PERDONDA Dão DOC Talhões Tinto 2018</t>
  </si>
  <si>
    <r>
      <t xml:space="preserve">QUINTA DA PERDONDA Dão DOC 1º Talhão (1948) 2018 - </t>
    </r>
    <r>
      <rPr>
        <b/>
        <sz val="12"/>
        <rFont val="Calibri"/>
        <family val="2"/>
      </rPr>
      <t>S.E.</t>
    </r>
  </si>
  <si>
    <t>Douro</t>
  </si>
  <si>
    <r>
      <t xml:space="preserve">LOBO DE VASCONCELLOS Matriz Vinha do Norte Douro 2020 – </t>
    </r>
    <r>
      <rPr>
        <b/>
        <sz val="12"/>
        <rFont val="Calibri"/>
        <family val="2"/>
        <charset val="1"/>
      </rPr>
      <t>S.E.</t>
    </r>
  </si>
  <si>
    <r>
      <t xml:space="preserve">LOBO DE VASCONCELLOS Matriz Vinha do Norte Douro 2020 - Magnum - </t>
    </r>
    <r>
      <rPr>
        <b/>
        <sz val="12"/>
        <rFont val="Calibri"/>
        <family val="2"/>
        <charset val="1"/>
      </rPr>
      <t>S.E.</t>
    </r>
  </si>
  <si>
    <r>
      <t xml:space="preserve">LOBO DE VASCONCELLOS Vinha do Norte Douro 2019 – </t>
    </r>
    <r>
      <rPr>
        <b/>
        <sz val="12"/>
        <rFont val="Calibri"/>
        <family val="2"/>
        <charset val="1"/>
      </rPr>
      <t>S.E.</t>
    </r>
  </si>
  <si>
    <t>QUINTA DO INFANTADO</t>
  </si>
  <si>
    <t xml:space="preserve">INFANTADO Douro Branco Colheita </t>
  </si>
  <si>
    <t>INFANTADO Douro Branco Rabigato 2022</t>
  </si>
  <si>
    <t>INFANTADO Douro Tinto 2020</t>
  </si>
  <si>
    <t>INFANTADO Júnior Palhete 2024</t>
  </si>
  <si>
    <t>QUINTA DO INFANTADO Douro Colheita Tinto 2021</t>
  </si>
  <si>
    <r>
      <t xml:space="preserve">QUINTA DO INFANTADO Douro Colheita Tinto 2017 - </t>
    </r>
    <r>
      <rPr>
        <b/>
        <sz val="12"/>
        <rFont val="Calibri"/>
        <family val="2"/>
      </rPr>
      <t>ORG</t>
    </r>
  </si>
  <si>
    <t>QUINTA DO INFANTADO Roseira Douro DOP 2015</t>
  </si>
  <si>
    <t>Minho (Vinhos Verdes)</t>
  </si>
  <si>
    <t>QUINTA DE LINHARES</t>
  </si>
  <si>
    <t xml:space="preserve">QUINTA DE LINHARES Vinho Verde </t>
  </si>
  <si>
    <t>QUINTA DE LINHARES Verde Azal</t>
  </si>
  <si>
    <t>QUINTA DE LINHARES Verde Premium 2024</t>
  </si>
  <si>
    <t>QUINTA DE LINHARES Verde Avesso 2023</t>
  </si>
  <si>
    <t xml:space="preserve">Rosé: </t>
  </si>
  <si>
    <t>QUINTA DE LINHARES Verde Rosé 2022</t>
  </si>
  <si>
    <t>QUINTA DE LINHARES Verde Rosé 2023</t>
  </si>
  <si>
    <t>QUINTAS DE MELGAÇO</t>
  </si>
  <si>
    <t>QUINTAS DE MELGAÇO Torre de Menagem Alvarinho Trajadura Escolha 2025</t>
  </si>
  <si>
    <t>QUINTAS DE MELGAÇO Alvarinho QM 2023</t>
  </si>
  <si>
    <t xml:space="preserve">QUINTAS DE MELGAÇO Alvarinho QM Homenagem 2019 </t>
  </si>
  <si>
    <t>Porto</t>
  </si>
  <si>
    <t>Porto Branco:</t>
  </si>
  <si>
    <t xml:space="preserve">QUINTA DO INFANTADO Porto White </t>
  </si>
  <si>
    <t>Porto Tinto:</t>
  </si>
  <si>
    <t xml:space="preserve">QUINTA DO INFANTADO Porto Tawny </t>
  </si>
  <si>
    <t xml:space="preserve">QUINTA DO INFANTADO Porto Ruby </t>
  </si>
  <si>
    <t>QUINTA DO INFANTADO Porto Reserva Especial Ruby</t>
  </si>
  <si>
    <t xml:space="preserve">QUINTA DO INFANTADO Porto Reserva Tawny Dona Margarida </t>
  </si>
  <si>
    <t>QUINTA DO INFANTADO Porto LBV 2018</t>
  </si>
  <si>
    <t>QUINTA DO INFANTADO Porto LBV 2021</t>
  </si>
  <si>
    <t xml:space="preserve">QUINTA DO INFANTADO Porto Tawny 10 anos </t>
  </si>
  <si>
    <r>
      <t>QUINTA DO INFANTADO Porto Colheita 2015 -</t>
    </r>
    <r>
      <rPr>
        <b/>
        <sz val="12"/>
        <rFont val="Calibri"/>
        <family val="2"/>
      </rPr>
      <t xml:space="preserve"> S.E.</t>
    </r>
  </si>
  <si>
    <r>
      <t>QUINTA DO INFANTADO Porto Tawny 20 anos -</t>
    </r>
    <r>
      <rPr>
        <b/>
        <sz val="12"/>
        <rFont val="Calibri"/>
        <family val="2"/>
      </rPr>
      <t xml:space="preserve"> S.E.</t>
    </r>
  </si>
  <si>
    <r>
      <t xml:space="preserve">QUINTA DO INFANTADO Porto Vintage 2007 - </t>
    </r>
    <r>
      <rPr>
        <b/>
        <sz val="12"/>
        <color rgb="FF000000"/>
        <rFont val="Calibri"/>
        <family val="2"/>
      </rPr>
      <t>S.E.</t>
    </r>
  </si>
  <si>
    <r>
      <t xml:space="preserve">QUINTA DO INFANTADO Porto Vintage 2017 - </t>
    </r>
    <r>
      <rPr>
        <b/>
        <sz val="12"/>
        <color rgb="FF000000"/>
        <rFont val="Calibri"/>
        <family val="2"/>
      </rPr>
      <t>S.E.</t>
    </r>
  </si>
  <si>
    <r>
      <t xml:space="preserve">QUINTA DO INFANTADO Porto Vintage 2020 - </t>
    </r>
    <r>
      <rPr>
        <b/>
        <sz val="12"/>
        <color rgb="FF000000"/>
        <rFont val="Calibri"/>
        <family val="2"/>
      </rPr>
      <t>S.E.</t>
    </r>
  </si>
  <si>
    <t>I T Á L I A</t>
  </si>
  <si>
    <t>Abruzzo</t>
  </si>
  <si>
    <t>NOVARIPA</t>
  </si>
  <si>
    <t>ARENILE Trebbiano d'Abruzzo DOC 2025</t>
  </si>
  <si>
    <t>ARENILE Pecorino IGT Terre di Chieti 2023</t>
  </si>
  <si>
    <t>ARENILE Pinot Grigio IGT Terre di Chieti 2025</t>
  </si>
  <si>
    <t>ARENILE Cerasuolo d'Abruzzo DOC 2025</t>
  </si>
  <si>
    <t xml:space="preserve">Tinto: </t>
  </si>
  <si>
    <t>ARENILE Montepulciano d'Abruzzo DOC 2024</t>
  </si>
  <si>
    <t>Campânia</t>
  </si>
  <si>
    <t>DONNACHIARA</t>
  </si>
  <si>
    <t>DONNACHIARA Greco di Tufo DOCG 2022</t>
  </si>
  <si>
    <t>DONNACHIARA Fiano di Avellino DOCG 2022</t>
  </si>
  <si>
    <t>DONNACHIARA Campania Aglianico IGT 2022</t>
  </si>
  <si>
    <t>DONNACHIARA Irpinia Aglianico DOC 2021</t>
  </si>
  <si>
    <r>
      <t xml:space="preserve">DONNACHIARA Taurasi DOCG 2019 -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</si>
  <si>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DONNACHIARA Taurasi Riserva DOCG 2019 - </t>
    </r>
    <r>
      <rPr>
        <b/>
        <sz val="12"/>
        <color rgb="FF000000"/>
        <rFont val="Calibri"/>
        <family val="2"/>
        <charset val="1"/>
      </rPr>
      <t xml:space="preserve">S.E. </t>
    </r>
  </si>
  <si>
    <t>Friuli</t>
  </si>
  <si>
    <t>COLUTTA</t>
  </si>
  <si>
    <t xml:space="preserve">Branco: </t>
  </si>
  <si>
    <t>COLUTTA Pinot Grigio DOC Friuli 2023</t>
  </si>
  <si>
    <t>COLUTTA Friulano DOC Friuli Colli Orientalli 2018</t>
  </si>
  <si>
    <t>COLUTTA Sauvignon DOC Friuli Colli Orientalli 2019</t>
  </si>
  <si>
    <t>COLUTTA Ribolla Gialla DOC Friuli Colli Orientali 2022</t>
  </si>
  <si>
    <t>COLUTTA Refosco dal Pedunculo Rosso DOC Friuli 2021</t>
  </si>
  <si>
    <t>Marche</t>
  </si>
  <si>
    <t>COLONNARA</t>
  </si>
  <si>
    <t>COLONNARA Lyricus Verdicchio dei Castelli di Jesi DOC Classico 2017</t>
  </si>
  <si>
    <t>COLONNARA Lyricus Verdicchio dei Castelli di Jesi DOC Classico 2024</t>
  </si>
  <si>
    <t xml:space="preserve">COLONNARA Anfora Verdicchio dei Castelli di Jesi DOC Classico </t>
  </si>
  <si>
    <t>COLONNARA Cuprese Verdicchio dei Castelli di Jesi DOC Classico Superiore 2016</t>
  </si>
  <si>
    <t>COLONNARA Lyricus Rosso Piceno DOC 2022</t>
  </si>
  <si>
    <t>COLONNARA Lacrima di Morro d'Alba DOC 2019</t>
  </si>
  <si>
    <t>Piemonte</t>
  </si>
  <si>
    <t>BREZZA - ORG</t>
  </si>
  <si>
    <t>BREZZA Dolcetto d’Alba DOC 2023</t>
  </si>
  <si>
    <t>BREZZA Barbera d’Alba DOC Superiore 2020</t>
  </si>
  <si>
    <t>BREZZA Barbera d’Alba DOC Superiore 2021</t>
  </si>
  <si>
    <t>BREZZA Nebbiolo d’Alba DOC Vigna Santa Rosalia 2021</t>
  </si>
  <si>
    <t>BREZZA Nebbiolo d’Alba DOC Vigna Santa Rosalia 2022</t>
  </si>
  <si>
    <r>
      <t xml:space="preserve">BREZZA Barolo DOCG 2021 -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</si>
  <si>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BREZZA Barolo DOCG Castellero 2019 - </t>
    </r>
    <r>
      <rPr>
        <b/>
        <sz val="12"/>
        <color rgb="FF000000"/>
        <rFont val="Calibri"/>
        <family val="2"/>
        <charset val="1"/>
      </rPr>
      <t>S.E.</t>
    </r>
  </si>
  <si>
    <r>
      <t>BREZZA Barolo DOCG Cannubi 2019 -</t>
    </r>
    <r>
      <rPr>
        <b/>
        <sz val="12"/>
        <color rgb="FF000000"/>
        <rFont val="Calibri"/>
        <family val="2"/>
        <charset val="1"/>
      </rPr>
      <t xml:space="preserve"> S.E.</t>
    </r>
  </si>
  <si>
    <r>
      <t>BREZZA Barolo DOCG Cannubi 2021 -</t>
    </r>
    <r>
      <rPr>
        <b/>
        <sz val="12"/>
        <color rgb="FF000000"/>
        <rFont val="Calibri"/>
        <family val="2"/>
        <charset val="1"/>
      </rPr>
      <t xml:space="preserve"> S.E.</t>
    </r>
  </si>
  <si>
    <r>
      <t>BREZZA Barolo DOCG Cannubi 2021 - Magnum -</t>
    </r>
    <r>
      <rPr>
        <b/>
        <sz val="12"/>
        <color rgb="FF000000"/>
        <rFont val="Calibri"/>
        <family val="2"/>
        <charset val="1"/>
      </rPr>
      <t xml:space="preserve"> S.E.</t>
    </r>
  </si>
  <si>
    <r>
      <t xml:space="preserve">BREZZA Barolo DOCG Sarmassa 2019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</si>
  <si>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BREZZA Barolo DOCG Sarmassa 2021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</si>
  <si>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BREZZA Barolo DOCG Sarmassa 2021 - Magnum </t>
    </r>
    <r>
      <rPr>
        <b/>
        <sz val="12"/>
        <color rgb="FF000000"/>
        <rFont val="Calibri"/>
        <family val="2"/>
        <charset val="1"/>
      </rPr>
      <t>- S.E.</t>
    </r>
  </si>
  <si>
    <r>
      <t>BREZZA Barolo Riserva DOCG Sarmassa Vigna Bricco 2017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</si>
  <si>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 xml:space="preserve">BREZZA Barolo Riserva DOCG Sarmassa Vigna Bricco - Magnum </t>
    </r>
    <r>
      <rPr>
        <b/>
        <sz val="12"/>
        <color rgb="FF000000"/>
        <rFont val="Calibri"/>
        <family val="2"/>
        <charset val="1"/>
      </rPr>
      <t>- S.E.</t>
    </r>
  </si>
  <si>
    <t>SOCRÉ</t>
  </si>
  <si>
    <t>SOCRÉ Barbera d'Asti DOC 2018</t>
  </si>
  <si>
    <t>SOCRÉ Langhe Nebbiolo DOC 2021</t>
  </si>
  <si>
    <r>
      <t xml:space="preserve">SOCRÉ Barbaresco DOCG 2018 - </t>
    </r>
    <r>
      <rPr>
        <b/>
        <sz val="12"/>
        <rFont val="Calibri"/>
        <family val="2"/>
        <charset val="1"/>
      </rPr>
      <t>S.E.</t>
    </r>
  </si>
  <si>
    <r>
      <t xml:space="preserve">SOCRÉ Barbaresco DOCG 2020 - </t>
    </r>
    <r>
      <rPr>
        <b/>
        <sz val="12"/>
        <rFont val="Calibri"/>
        <family val="2"/>
        <charset val="1"/>
      </rPr>
      <t>S.E.</t>
    </r>
  </si>
  <si>
    <r>
      <t>SOCRÉ Barbaresco Roncaglie DOCG 2019 -</t>
    </r>
    <r>
      <rPr>
        <b/>
        <sz val="12"/>
        <color rgb="FF000000"/>
        <rFont val="Calibri"/>
        <family val="2"/>
        <charset val="1"/>
      </rPr>
      <t xml:space="preserve"> S.E.</t>
    </r>
  </si>
  <si>
    <r>
      <t>SOCRÉ Barbaresco Pajoré DOCG 2019 -</t>
    </r>
    <r>
      <rPr>
        <b/>
        <sz val="12"/>
        <color rgb="FF000000"/>
        <rFont val="Calibri"/>
        <family val="2"/>
        <charset val="1"/>
      </rPr>
      <t xml:space="preserve"> S.E.</t>
    </r>
  </si>
  <si>
    <t>Puglia</t>
  </si>
  <si>
    <t>PAOLOLEO</t>
  </si>
  <si>
    <t>PAOLOLEO Malvasia Bianca Puglia IGP 2023</t>
  </si>
  <si>
    <t>PAOLOLEO Pinot Grigio Puglia IGP 2024</t>
  </si>
  <si>
    <t>PAOLOLEO Primitivo Puglia IGP 2025</t>
  </si>
  <si>
    <t xml:space="preserve">PAOLOLEO Primitivo Puglia IGP 2024 - 375 ml </t>
  </si>
  <si>
    <t>PAOLOLEO Negroamaro Puglia IGP 2023</t>
  </si>
  <si>
    <r>
      <t xml:space="preserve">PAOLOLEO Primitivo Puglia IGP Biologico 2022 - </t>
    </r>
    <r>
      <rPr>
        <b/>
        <sz val="12"/>
        <rFont val="Calibri"/>
        <family val="2"/>
        <charset val="1"/>
      </rPr>
      <t xml:space="preserve">ORG </t>
    </r>
  </si>
  <si>
    <r>
      <t xml:space="preserve">PAOLOLEO Negroamaro Salento IGT Biologico 2022 - </t>
    </r>
    <r>
      <rPr>
        <b/>
        <sz val="12"/>
        <rFont val="Calibri"/>
        <family val="2"/>
        <charset val="1"/>
      </rPr>
      <t xml:space="preserve">ORG </t>
    </r>
  </si>
  <si>
    <t>PAOLOLEO Passo del Cardinale Primitivo di Manduria DOP 2024</t>
  </si>
  <si>
    <t>PAOLOLEO Salice Salentino Riserva DOC 2019</t>
  </si>
  <si>
    <t>PAOLOLEO Orfeo Negroamaro Puglia IGT 2018</t>
  </si>
  <si>
    <t>PAOLOLEO Fiore di Vigna Primitivo Salento IGT 2019</t>
  </si>
  <si>
    <t>Sicilia</t>
  </si>
  <si>
    <t>MONTELEONE</t>
  </si>
  <si>
    <t>MONTELEONE Etna Bianco DOC 2022</t>
  </si>
  <si>
    <r>
      <t xml:space="preserve">MONTELEONE Anthemis Etna Bianco DOC 2021 - </t>
    </r>
    <r>
      <rPr>
        <b/>
        <sz val="12"/>
        <color rgb="FF000000"/>
        <rFont val="Calibri"/>
        <family val="2"/>
        <charset val="1"/>
      </rPr>
      <t>S.E.</t>
    </r>
  </si>
  <si>
    <t>MONTELEONE Etna Rosso DOC 2020</t>
  </si>
  <si>
    <t>MONTELEONE Etna Rosso DOC 2022</t>
  </si>
  <si>
    <r>
      <t xml:space="preserve">MONTELEONE Qubba Etna Rosso DOC 2020 -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</si>
  <si>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MONTELEONE Qubba Etna Rosso DOC 2021 -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</si>
  <si>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MONTELEONE Rumex Etna Rosso DOC 2020 -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</si>
  <si>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MONTELEONE Rumex Etna Rosso DOC 2021 - </t>
    </r>
    <r>
      <rPr>
        <b/>
        <sz val="12"/>
        <color rgb="FF000000"/>
        <rFont val="Calibri"/>
        <family val="2"/>
        <charset val="1"/>
      </rPr>
      <t>S.E.</t>
    </r>
  </si>
  <si>
    <t>MUSÌTA</t>
  </si>
  <si>
    <r>
      <t xml:space="preserve">MUSÌTA Catarratto Biologico Sicilia DOC - </t>
    </r>
    <r>
      <rPr>
        <b/>
        <sz val="12"/>
        <rFont val="Calibri"/>
        <family val="2"/>
        <charset val="1"/>
      </rPr>
      <t xml:space="preserve">ORG </t>
    </r>
  </si>
  <si>
    <r>
      <t xml:space="preserve">MUSÌTA Grillo Biologico Sicilia DOC 2024 - </t>
    </r>
    <r>
      <rPr>
        <b/>
        <sz val="12"/>
        <rFont val="Calibri"/>
        <family val="2"/>
        <charset val="1"/>
      </rPr>
      <t xml:space="preserve">ORG </t>
    </r>
  </si>
  <si>
    <t>MUSÌTA Nero D'Avola Biologico Sicilia IGP 2022 - ORG</t>
  </si>
  <si>
    <t>MUSÌTA Nero D'Avola Biologico Sicilia IGP 2024 - ORG</t>
  </si>
  <si>
    <r>
      <t xml:space="preserve">MUSÌTA Syrah Biologico Sicilia IGP 2022- </t>
    </r>
    <r>
      <rPr>
        <b/>
        <sz val="12"/>
        <rFont val="Calibri"/>
        <family val="2"/>
        <charset val="1"/>
      </rPr>
      <t xml:space="preserve">ORG </t>
    </r>
  </si>
  <si>
    <t>Toscana</t>
  </si>
  <si>
    <t>CASTELLO DI VOLPAIA - ORG</t>
  </si>
  <si>
    <t>VOLPAIA Vermentino Maremma Toscana DOC 2024</t>
  </si>
  <si>
    <t>VOLPAIA Citto IGT Toscana 2022</t>
  </si>
  <si>
    <t>VOLPAIA Citto IGT Toscana 2024</t>
  </si>
  <si>
    <t xml:space="preserve">VOLPAIA Chianti Classico DOCG 2022 </t>
  </si>
  <si>
    <t>VOLPAIA Chianti Classico DOCG 2021 - 375 ml</t>
  </si>
  <si>
    <t xml:space="preserve">VOLPAIA Chianti Classico DOCG 2023 - Magnum </t>
  </si>
  <si>
    <t xml:space="preserve">VOLPAIA Chianti Classico DOCG 2022 - Double Magnum </t>
  </si>
  <si>
    <r>
      <t xml:space="preserve">VOLPAIA Chianti Classico Riserva DOCG 2017 - </t>
    </r>
    <r>
      <rPr>
        <b/>
        <sz val="12"/>
        <rFont val="Calibri"/>
        <family val="2"/>
      </rPr>
      <t xml:space="preserve">S.E. </t>
    </r>
  </si>
  <si>
    <r>
      <t xml:space="preserve">VOLPAIA Chianti Classico Riserva DOCG 2021 - </t>
    </r>
    <r>
      <rPr>
        <b/>
        <sz val="12"/>
        <rFont val="Calibri"/>
        <family val="2"/>
      </rPr>
      <t xml:space="preserve">S.E. </t>
    </r>
  </si>
  <si>
    <r>
      <t xml:space="preserve">VOLPAIA Coltassala Chianti Classico Gran Selezione DOCG 2017 - </t>
    </r>
    <r>
      <rPr>
        <b/>
        <sz val="12"/>
        <color rgb="FF000000"/>
        <rFont val="Calibri"/>
        <family val="2"/>
      </rPr>
      <t xml:space="preserve">S.E. </t>
    </r>
  </si>
  <si>
    <r>
      <t xml:space="preserve">VOLPAIA Balifico IGT Toscana 2018 - </t>
    </r>
    <r>
      <rPr>
        <b/>
        <sz val="12"/>
        <color rgb="FF000000"/>
        <rFont val="Calibri"/>
        <family val="2"/>
      </rPr>
      <t>S.E.</t>
    </r>
  </si>
  <si>
    <r>
      <t xml:space="preserve">VOLPAIA Il Puro Casanova Chianti Classico Gran Selezione DOCG 2015 - </t>
    </r>
    <r>
      <rPr>
        <b/>
        <sz val="12"/>
        <color rgb="FF000000"/>
        <rFont val="Calibri"/>
        <family val="2"/>
      </rPr>
      <t>S.E.</t>
    </r>
  </si>
  <si>
    <r>
      <t xml:space="preserve">VOLPAIA Il Puro Casanova Chianti Classico Gran Selezione DOCG 2020 - </t>
    </r>
    <r>
      <rPr>
        <b/>
        <sz val="12"/>
        <color rgb="FF000000"/>
        <rFont val="Calibri"/>
        <family val="2"/>
      </rPr>
      <t>S.E.</t>
    </r>
  </si>
  <si>
    <t>COLI</t>
  </si>
  <si>
    <t>MONTOSTOLI Chianti DOCG 2025</t>
  </si>
  <si>
    <t>FONTEMORSI - ORG</t>
  </si>
  <si>
    <t xml:space="preserve">FONTEMORSI Tresassi Toscana IGT 2020 </t>
  </si>
  <si>
    <t>FONTEMORSI Le Tinte Montescudaio DOC 2020</t>
  </si>
  <si>
    <t xml:space="preserve">FONTEMORSI Le Tinte IGT Toscana 2020 - Magnum </t>
  </si>
  <si>
    <t>FONTEMORSI Spazzavento Montescudaio DOC 2019</t>
  </si>
  <si>
    <t>FONTEMORSI Guadipiani IGT Toscana 2016</t>
  </si>
  <si>
    <t>FONTEMORSI Guadipiani IGT Toscana 2019</t>
  </si>
  <si>
    <t>MONTE BERNARDI - BIO</t>
  </si>
  <si>
    <t>MONTE BERNARDI Sangio Chianti Classico DOCG 2021</t>
  </si>
  <si>
    <t>MONTE BERNARDI Retromarcia Chianti Classico DOCG 2022</t>
  </si>
  <si>
    <t xml:space="preserve">MONTE BERNARDI Chianti Classico Riserva DOCG </t>
  </si>
  <si>
    <r>
      <t xml:space="preserve">MONTE BERNARDI Sa'etta Chianti Classico Riserva DOCG  2019 -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</si>
  <si>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MONTE BERNARDI Tzingana Toscana IGT - </t>
    </r>
    <r>
      <rPr>
        <b/>
        <sz val="12"/>
        <color rgb="FF000000"/>
        <rFont val="Calibri"/>
        <family val="2"/>
        <charset val="1"/>
      </rPr>
      <t>S.E.</t>
    </r>
  </si>
  <si>
    <t xml:space="preserve"> </t>
  </si>
  <si>
    <t>PODERE LA VIGNA</t>
  </si>
  <si>
    <t>PODERE LA VIGNA Dragone IGT Toscana 2022</t>
  </si>
  <si>
    <t>PODERE LA VIGNA Rosso di Montalcino DOC 2022</t>
  </si>
  <si>
    <r>
      <t xml:space="preserve">PODERE LA VIGNA Brunello di Montalcino DOCG 2021 - </t>
    </r>
    <r>
      <rPr>
        <b/>
        <sz val="12"/>
        <rFont val="Calibri"/>
        <family val="2"/>
        <charset val="1"/>
      </rPr>
      <t xml:space="preserve">S.E. </t>
    </r>
  </si>
  <si>
    <r>
      <t xml:space="preserve">PODERE LA VIGNA Brunello di Montalcino Riserva DOCG 2016 - </t>
    </r>
    <r>
      <rPr>
        <b/>
        <sz val="12"/>
        <color rgb="FF000000"/>
        <rFont val="Calibri"/>
        <family val="2"/>
        <charset val="1"/>
      </rPr>
      <t>S.E.</t>
    </r>
  </si>
  <si>
    <t>TIBERINI</t>
  </si>
  <si>
    <t>TIBERINI Maturato Bianco IGT Biologico 2018</t>
  </si>
  <si>
    <r>
      <t xml:space="preserve">TIBERINI Pogiardello IGT Toscana Rosso Biologico 2024 - </t>
    </r>
    <r>
      <rPr>
        <b/>
        <sz val="12"/>
        <rFont val="Calibri"/>
        <family val="2"/>
        <charset val="1"/>
      </rPr>
      <t>ORG</t>
    </r>
  </si>
  <si>
    <t>TIBERINI Sabrèo Rosso di Montepulciano DOC 2024</t>
  </si>
  <si>
    <t>TIBERINI Podere Le Caggiole Vino Nobile di Montepulciano DOCG 2018</t>
  </si>
  <si>
    <r>
      <t xml:space="preserve">TIBERINI Vigneto Campaccio Vino Nobile di Montepulciano Riserva DOCG 2013 - </t>
    </r>
    <r>
      <rPr>
        <b/>
        <sz val="12"/>
        <rFont val="Calibri"/>
        <family val="2"/>
        <charset val="1"/>
      </rPr>
      <t>S.E.</t>
    </r>
  </si>
  <si>
    <t>Veneto</t>
  </si>
  <si>
    <t>AZIENDA AGRICOLA VILLA ERBICE</t>
  </si>
  <si>
    <t>VILLA ERBICE Soave Superiore DOCG 2022</t>
  </si>
  <si>
    <t>VILLA ERBICE Vigneto Panvinio Soave Superiore DOCG 2018</t>
  </si>
  <si>
    <t>VILLA ERBICE Vigneto Monte Tombole Valpolicella Superiore DOC 2020</t>
  </si>
  <si>
    <t>VILLA ERBICE Valpolicella Ripasso Superiore DOC 2019</t>
  </si>
  <si>
    <r>
      <t xml:space="preserve">VILLA ERBICE Vigneto Tremenel Amarone della Valpolicella DOC 2016 - </t>
    </r>
    <r>
      <rPr>
        <b/>
        <sz val="12"/>
        <color rgb="FF000000"/>
        <rFont val="Calibri"/>
        <family val="2"/>
        <charset val="1"/>
      </rPr>
      <t>S.E.</t>
    </r>
  </si>
  <si>
    <t>F R A N Ç A</t>
  </si>
  <si>
    <t>Alsace</t>
  </si>
  <si>
    <t>DOMAINE VALENTIN ZUSSLIN ET FILS - BIO</t>
  </si>
  <si>
    <t>Espumante</t>
  </si>
  <si>
    <t xml:space="preserve">DOMAINE ZUSSLIN Crémant d'Alsace Prestige </t>
  </si>
  <si>
    <t xml:space="preserve">DOMAINE ZUSSLIN Chasselas Wolfhag 2020 </t>
  </si>
  <si>
    <t xml:space="preserve">DOMAINE ZUSSLIN Riesling Les Chapelles 2020 </t>
  </si>
  <si>
    <r>
      <t xml:space="preserve">DOMAINE ZUSSLIN Riesling Bollenberg 2015 - </t>
    </r>
    <r>
      <rPr>
        <b/>
        <sz val="12"/>
        <rFont val="Calibri"/>
        <family val="2"/>
        <charset val="1"/>
      </rPr>
      <t>S.E.</t>
    </r>
  </si>
  <si>
    <r>
      <t xml:space="preserve">DOMAINE ZUSSLIN Riesling Bollenberg 2020 - </t>
    </r>
    <r>
      <rPr>
        <b/>
        <sz val="12"/>
        <rFont val="Calibri"/>
        <family val="2"/>
        <charset val="1"/>
      </rPr>
      <t>S.E.</t>
    </r>
  </si>
  <si>
    <r>
      <t xml:space="preserve">DOMAINE ZUSSLIN Gewurztraminer Bollenberg - </t>
    </r>
    <r>
      <rPr>
        <b/>
        <sz val="12"/>
        <rFont val="Calibri"/>
        <family val="2"/>
        <charset val="1"/>
      </rPr>
      <t xml:space="preserve">S.E. </t>
    </r>
  </si>
  <si>
    <r>
      <t xml:space="preserve">DOMAINE ZUSSLIN Pinot Gris Bollenberg - </t>
    </r>
    <r>
      <rPr>
        <b/>
        <sz val="12"/>
        <rFont val="Calibri"/>
        <family val="2"/>
        <charset val="1"/>
      </rPr>
      <t>S.E.</t>
    </r>
  </si>
  <si>
    <r>
      <t xml:space="preserve">DOMAINE ZUSSLIN Riesling Grand Cru Pfingstberg 2016 -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</si>
  <si>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DOMAINE ZUSSLIN Riesling Grand Cru Pfingstberg - Magnum - </t>
    </r>
    <r>
      <rPr>
        <b/>
        <sz val="12"/>
        <color rgb="FF000000"/>
        <rFont val="Calibri"/>
        <family val="2"/>
        <charset val="1"/>
      </rPr>
      <t xml:space="preserve">S.E. </t>
    </r>
  </si>
  <si>
    <t>Beaujolais</t>
  </si>
  <si>
    <t>AVIRON</t>
  </si>
  <si>
    <t>AVIRON Beaujolais Villages 2023</t>
  </si>
  <si>
    <t>AVIRON Beaujolais Morgon Côte du Py Vieilles Vignes 2021</t>
  </si>
  <si>
    <t>MATHILDE &amp; STEPHEN DURIEU</t>
  </si>
  <si>
    <t xml:space="preserve">MATHILDE &amp; STEPHEN DURIEU Lou y Es Tu? Beaujolais Villages </t>
  </si>
  <si>
    <t xml:space="preserve">MATHILDE &amp; STEPHEN DURIEU Loubellule Beaujolais Villages </t>
  </si>
  <si>
    <t>Bordeaux</t>
  </si>
  <si>
    <t>CHÂTEAU BAUVALLON</t>
  </si>
  <si>
    <t>CHÂTEAU BAUVALLON AC Bordeaux 2022</t>
  </si>
  <si>
    <t>CHÂTEAU LABATUT</t>
  </si>
  <si>
    <t>CHÂTEAU LABATUT Cuvée Prestige AC Bordeaux Supérieur 2023</t>
  </si>
  <si>
    <t>CHÂTEAU LABATUT Grande Reserve AC Bordeaux Supérieur 2020</t>
  </si>
  <si>
    <t>CHÂTEAU LA ROCHE</t>
  </si>
  <si>
    <t>CHÂTEAU LA ROCHE AC Bordeaux Supérieur 2018</t>
  </si>
  <si>
    <t>Bordeaux - Graves</t>
  </si>
  <si>
    <t>CHÂTEAU SAINT-JEAN DES GRAVES</t>
  </si>
  <si>
    <t>CHÂTEAU SAINT-JEAN DES GRAVES Blanc 2023</t>
  </si>
  <si>
    <t>CHÂTEAU SAINT-JEAN DES GRAVES Rouge 2021</t>
  </si>
  <si>
    <t>Bordeaux - Haut-Médoc</t>
  </si>
  <si>
    <t>CHÂTEAU BEL AIR GLORIA</t>
  </si>
  <si>
    <t>CHÂTEAU BEL AIR GLORIA Haut-Médoc Cru Bourgeois 2020</t>
  </si>
  <si>
    <t>CHÂTEAU SOCIANDO-MALLET</t>
  </si>
  <si>
    <t xml:space="preserve">CHÂTEAU SOCIANDO MALLET Haut-Médoc 2020 </t>
  </si>
  <si>
    <t>CHÂTEAU SÉNÈJAC</t>
  </si>
  <si>
    <t xml:space="preserve">CHÂTEAU SÉNÉJAC Haut-Médoc 2021 </t>
  </si>
  <si>
    <t xml:space="preserve">Bordeaux - Lalande Pomerol </t>
  </si>
  <si>
    <t>CHÂTEAU VIAUD-LALANDE</t>
  </si>
  <si>
    <t>CHÂTEAU VIAUD-LALANDE Lalande Pomerol 2022</t>
  </si>
  <si>
    <t>CHÂTEAU VIAUD-LALANDE Lalande Pomerol 2023 - Magnum</t>
  </si>
  <si>
    <t>Bordeaux - Margaux</t>
  </si>
  <si>
    <t>CHÂTEAU FERRIÈRE</t>
  </si>
  <si>
    <t xml:space="preserve">CHÂTEAU FERRIERE Grand Cru Classé 2019 </t>
  </si>
  <si>
    <t>CHÂTEAU LABÉGORCE</t>
  </si>
  <si>
    <t xml:space="preserve">CHÂTEAU LABÉGORCE Margaux 2020 </t>
  </si>
  <si>
    <t>CHÂTEAU DU TERTRE</t>
  </si>
  <si>
    <t xml:space="preserve">CHATEAU DU TERTRE Grand Cru Classé 2020 </t>
  </si>
  <si>
    <t>Bordeaux - Médoc</t>
  </si>
  <si>
    <t>CHÂTEAU POTENSAC</t>
  </si>
  <si>
    <r>
      <t xml:space="preserve">CHÂTEAU POTENSAC AC Médoc 2020 - </t>
    </r>
    <r>
      <rPr>
        <b/>
        <sz val="12"/>
        <rFont val="Calibri"/>
        <family val="2"/>
        <charset val="1"/>
      </rPr>
      <t>S.E.</t>
    </r>
  </si>
  <si>
    <r>
      <t xml:space="preserve">CHÂTEAU POTENSAC AC Médoc 2021 - </t>
    </r>
    <r>
      <rPr>
        <b/>
        <sz val="12"/>
        <rFont val="Calibri"/>
        <family val="2"/>
        <charset val="1"/>
      </rPr>
      <t>S.E.</t>
    </r>
  </si>
  <si>
    <t>Bordeaux - Pauillac</t>
  </si>
  <si>
    <t>CHÂTEAU LYNCH-MOUSSAS</t>
  </si>
  <si>
    <t xml:space="preserve">CHÂTEAU LYNCH-MOUSSAS Grand Cru Classé 2021 </t>
  </si>
  <si>
    <t>CHÂTEAU GRAND-PUY DUCASSE</t>
  </si>
  <si>
    <t xml:space="preserve">CHÂTEAU GRAND-PUY DUCASSE Pauillac 2021 </t>
  </si>
  <si>
    <t>Bordeaux - Pessac-Léognan</t>
  </si>
  <si>
    <t>CHÂTEAU HAUT-BAILLY</t>
  </si>
  <si>
    <t xml:space="preserve">CHÂTEAU HAUT-BAILLY Gran Cru Classé Pessac-Léognan Rouge 2017 </t>
  </si>
  <si>
    <t>CHÂTEAU LE THIL</t>
  </si>
  <si>
    <t xml:space="preserve">CHÂTEAU LE THIL Pessac-Léognan 2018 </t>
  </si>
  <si>
    <t xml:space="preserve">Bordeaux - Saint-Émilion </t>
  </si>
  <si>
    <t>CHÂTEAU MÉLIN</t>
  </si>
  <si>
    <t>CHÂTEAU MELIN Saint-Émilion 2023</t>
  </si>
  <si>
    <t>JCP MALTUS</t>
  </si>
  <si>
    <t>PEZAT Bordeaux Blanc Sec 2023</t>
  </si>
  <si>
    <t>PEZAT Bordeaux Supérieur 2022</t>
  </si>
  <si>
    <r>
      <t xml:space="preserve">CHÂTEAU TEYSSIER Saint-Émilion Grand Cru 2019 - </t>
    </r>
    <r>
      <rPr>
        <b/>
        <sz val="12"/>
        <rFont val="Calibri"/>
        <family val="2"/>
      </rPr>
      <t>S.E.</t>
    </r>
  </si>
  <si>
    <r>
      <t xml:space="preserve">CHÂTEAU TEYSSIER Saint-Émilion Grand Cru 2022 - </t>
    </r>
    <r>
      <rPr>
        <b/>
        <sz val="12"/>
        <rFont val="Calibri"/>
        <family val="2"/>
      </rPr>
      <t>S.E.</t>
    </r>
  </si>
  <si>
    <r>
      <t xml:space="preserve">CHÂTEAU TEYSSIER Saint-Émilion Grand Cru 2022 - Magnum - </t>
    </r>
    <r>
      <rPr>
        <b/>
        <sz val="12"/>
        <rFont val="Calibri"/>
        <family val="2"/>
        <charset val="1"/>
      </rPr>
      <t>S.E.</t>
    </r>
  </si>
  <si>
    <r>
      <t xml:space="preserve">CHÂTEAU LAFORGE Saint-Émilion Grand Cru 2020 </t>
    </r>
    <r>
      <rPr>
        <b/>
        <sz val="12"/>
        <rFont val="Calibri"/>
        <family val="2"/>
        <charset val="1"/>
      </rPr>
      <t>- S.E.</t>
    </r>
  </si>
  <si>
    <r>
      <t xml:space="preserve">LES ASTÉRIES Saint-Émilion Grand Cru 2005 -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</si>
  <si>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LES ASTÉRIES Saint-Émilion Grand Cru 2006 -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</si>
  <si>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LES ASTÉRIES Saint-Émilion Grand Cru 2007 -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</si>
  <si>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LES ASTÉRIES Saint-Émilion Grand Cru 2008 -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</si>
  <si>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LES ASTÉRIES Saint-Émilion Grand Cru 2011 -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</si>
  <si>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LES ASTÉRIES Saint-Émilion Grand Cru 2012 -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</si>
  <si>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 DOME Saint-Émilion Grand Cru 2007 -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</si>
  <si>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 DOME Saint-Émilion Grand Cru 2011 -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</si>
  <si>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LE DOME Saint-Émilion Grand Cru 2012 - </t>
    </r>
    <r>
      <rPr>
        <b/>
        <sz val="12"/>
        <color rgb="FF000000"/>
        <rFont val="Calibri"/>
        <family val="2"/>
        <charset val="1"/>
      </rPr>
      <t>S.E.</t>
    </r>
  </si>
  <si>
    <t>Bordeaux - Saint-Esthèphe</t>
  </si>
  <si>
    <t>CHÂTEAU COS-LABORY</t>
  </si>
  <si>
    <t>CHÂTEAU COS-LABORY Grand Cru Classé 2021</t>
  </si>
  <si>
    <t>CHÂTEAU LES ORMES DE PEZ</t>
  </si>
  <si>
    <t xml:space="preserve">CHÂTEAU LES ORMES DE PEZ Saint-Esthèphe 2020  </t>
  </si>
  <si>
    <t>CHÂTEAU MONTROSE</t>
  </si>
  <si>
    <t xml:space="preserve">LA DAME DE MONTROSE Saint-Esthèphe 2021 </t>
  </si>
  <si>
    <t>CHÂTEAU SÉGUR DE CABANAC</t>
  </si>
  <si>
    <t>LES HAUTS DE CABANAC Saint-Esthèphe 2022</t>
  </si>
  <si>
    <t>Bordeaux - Saint-Julien</t>
  </si>
  <si>
    <t>CHÂTEAU GLORIA</t>
  </si>
  <si>
    <t xml:space="preserve">CHÂTEAU GLORIA Saint-Julien 2021 </t>
  </si>
  <si>
    <t>Bordeaux - Sauternes</t>
  </si>
  <si>
    <t>CHÂTEAU LIOT</t>
  </si>
  <si>
    <t>CHÂTEAU DU LEVANT Sauternes 2022 - 375 ml</t>
  </si>
  <si>
    <t>Bourgogne</t>
  </si>
  <si>
    <t>DOMAINE DE BELLENE</t>
  </si>
  <si>
    <r>
      <t xml:space="preserve">DOMAINE DE BELLENE Meursault Les Forges 2023 - </t>
    </r>
    <r>
      <rPr>
        <b/>
        <sz val="12"/>
        <rFont val="Calibri"/>
        <family val="2"/>
        <charset val="1"/>
      </rPr>
      <t>S.E.</t>
    </r>
  </si>
  <si>
    <r>
      <t xml:space="preserve">DOMAINE DE BELLENE Bourgogne Pinot Noir Maison Dieu 2022 - </t>
    </r>
    <r>
      <rPr>
        <b/>
        <sz val="12"/>
        <rFont val="Calibri"/>
        <family val="2"/>
        <charset val="1"/>
      </rPr>
      <t>S.E.</t>
    </r>
  </si>
  <si>
    <r>
      <t xml:space="preserve">DOMAINE DE BELLENE Bourgogne Pinot Noir Maison Dieu - Magnum - </t>
    </r>
    <r>
      <rPr>
        <b/>
        <sz val="12"/>
        <rFont val="Calibri"/>
        <family val="2"/>
        <charset val="1"/>
      </rPr>
      <t>S.E.</t>
    </r>
  </si>
  <si>
    <r>
      <t xml:space="preserve">DOMAINE DE BELLENE Beaune 1er Cru Les Teurons 2018 - </t>
    </r>
    <r>
      <rPr>
        <b/>
        <sz val="12"/>
        <color rgb="FF000000"/>
        <rFont val="Calibri"/>
        <family val="2"/>
        <charset val="1"/>
      </rPr>
      <t>S.E.</t>
    </r>
  </si>
  <si>
    <t>DOMAINE ROBERT GIBOURG</t>
  </si>
  <si>
    <t>DOMAINE ROBERT GIBOURG AOP Côteaux Bourguignons 2020</t>
  </si>
  <si>
    <t xml:space="preserve">MAISON ROCHE DE BELLENE </t>
  </si>
  <si>
    <t>MAISON ROCHE DE BELLENE Bourgogne Chardonnay Cuvée Reserve 2022</t>
  </si>
  <si>
    <r>
      <t xml:space="preserve">MAISON ROCHE DE BELLENE Montagny Villages 2017 - </t>
    </r>
    <r>
      <rPr>
        <b/>
        <sz val="12"/>
        <rFont val="Calibri"/>
        <family val="2"/>
      </rPr>
      <t>S.E.</t>
    </r>
  </si>
  <si>
    <r>
      <t xml:space="preserve">MAISON ROCHE DE BELLENE Saint-Aubin 1er Cru En Remilly 2017 - </t>
    </r>
    <r>
      <rPr>
        <b/>
        <sz val="12"/>
        <rFont val="Calibri"/>
        <family val="2"/>
      </rPr>
      <t>S.E.</t>
    </r>
  </si>
  <si>
    <r>
      <t xml:space="preserve">MAISON ROCHE DE BELLENE Chassagne-Montrachet 1er Cru Vieilles Vignes 2017 - </t>
    </r>
    <r>
      <rPr>
        <b/>
        <sz val="12"/>
        <rFont val="Calibri"/>
        <family val="2"/>
      </rPr>
      <t>S.E.</t>
    </r>
  </si>
  <si>
    <r>
      <t xml:space="preserve">MAISON ROCHE DE BELLENE Puligny-Montrachet Villages Vieilles Vignes 2021 - </t>
    </r>
    <r>
      <rPr>
        <b/>
        <sz val="12"/>
        <rFont val="Calibri"/>
        <family val="2"/>
      </rPr>
      <t>S.E.</t>
    </r>
  </si>
  <si>
    <t>MAISON ROCHE DE BELLENE Bourgogne Pinot Noir Cuvée Reserve 2022</t>
  </si>
  <si>
    <t>MAISON ROCHE DE BELLENE Bourgogne Hautes-Côtes de Beaune 2021</t>
  </si>
  <si>
    <r>
      <t xml:space="preserve">MAISON ROCHE DE BELLENE Savigny Les Beaune Villages Vielles Vignes 2022 - </t>
    </r>
    <r>
      <rPr>
        <b/>
        <sz val="12"/>
        <rFont val="Calibri"/>
        <family val="2"/>
      </rPr>
      <t>S.E.</t>
    </r>
  </si>
  <si>
    <r>
      <t xml:space="preserve">MAISON ROCHE DE BELLENE Volnay Vieilles Vignes 2023 - </t>
    </r>
    <r>
      <rPr>
        <b/>
        <sz val="12"/>
        <rFont val="Calibri"/>
        <family val="2"/>
      </rPr>
      <t xml:space="preserve">S.E. </t>
    </r>
  </si>
  <si>
    <r>
      <t xml:space="preserve">MAISON ROCHE DE BELLENE Nuits-Saint-Georges Vieilles Vignes 2021 - </t>
    </r>
    <r>
      <rPr>
        <b/>
        <sz val="12"/>
        <rFont val="Calibri"/>
        <family val="2"/>
      </rPr>
      <t>S.E.</t>
    </r>
  </si>
  <si>
    <r>
      <t xml:space="preserve">MAISON ROCHE DE BELLENE Gevrey-Chambertin Villages Vielles Vignes 2021 - </t>
    </r>
    <r>
      <rPr>
        <b/>
        <sz val="12"/>
        <rFont val="Calibri"/>
        <family val="2"/>
      </rPr>
      <t>S.E.</t>
    </r>
  </si>
  <si>
    <r>
      <t xml:space="preserve">MAISON ROCHE DE BELLENE Chambolle-Musigny Vieilles Vignes 2018 </t>
    </r>
    <r>
      <rPr>
        <b/>
        <sz val="12"/>
        <rFont val="Calibri"/>
        <family val="2"/>
      </rPr>
      <t>- S.E.</t>
    </r>
  </si>
  <si>
    <r>
      <t xml:space="preserve">MAISON ROCHE DE BELLENE Vosne-Romanée Vieilles Vignes 2018 </t>
    </r>
    <r>
      <rPr>
        <b/>
        <sz val="12"/>
        <rFont val="Calibri"/>
        <family val="2"/>
      </rPr>
      <t>- S.E.</t>
    </r>
  </si>
  <si>
    <r>
      <t xml:space="preserve">MAISON ROCHE DE BELLENE Chambolle-Musigny 1er Cru Les Chabiots 2015 - </t>
    </r>
    <r>
      <rPr>
        <b/>
        <sz val="12"/>
        <color rgb="FF000000"/>
        <rFont val="Calibri"/>
        <family val="2"/>
      </rPr>
      <t>S.E.</t>
    </r>
  </si>
  <si>
    <r>
      <t xml:space="preserve">MAISON ROCHE DE BELLENE Corton Grand Cru Le Rognet 2021 - </t>
    </r>
    <r>
      <rPr>
        <b/>
        <sz val="12"/>
        <rFont val="Calibri"/>
        <family val="2"/>
      </rPr>
      <t>S.E.</t>
    </r>
  </si>
  <si>
    <t>PATRICK JAVILLIER</t>
  </si>
  <si>
    <r>
      <t xml:space="preserve">PATRICK JAVILLIER Savigny-lès-Beaune Les Grands Liards 2021 - </t>
    </r>
    <r>
      <rPr>
        <b/>
        <sz val="12"/>
        <rFont val="Calibri"/>
        <family val="2"/>
        <charset val="1"/>
      </rPr>
      <t xml:space="preserve">S.E. </t>
    </r>
  </si>
  <si>
    <t>TERRES SECRÈTES</t>
  </si>
  <si>
    <t>CAVE DES HAUTES CÔTES Bourgogne Chardonnay 2022</t>
  </si>
  <si>
    <t>TERRES SECRÈTES Mâcon Verzé Blanc Croix-Jarrier 2021</t>
  </si>
  <si>
    <t>TERRES SECRÈTES Saint-Veran les Plantés 2022</t>
  </si>
  <si>
    <t>TERRES SECRÈTES Pouilly-Fuissé Em Barvay 2020</t>
  </si>
  <si>
    <t xml:space="preserve">CAVE DES HAUTES CÔTES Bourgogne Pinot Noir </t>
  </si>
  <si>
    <t>CAVE DES HAUTES CÔTES Bourgogne Hautes Côtes de Nuits 2020</t>
  </si>
  <si>
    <t>CAVE DES HAUTES CÔTES Bourgogne Hautes Côtes de Nuits 2023</t>
  </si>
  <si>
    <t xml:space="preserve">CAVE DES HAUTES CÔTES Santenay 2019 </t>
  </si>
  <si>
    <t>VEUVE AMBAL</t>
  </si>
  <si>
    <t>COMTE DE BAILLY Brut</t>
  </si>
  <si>
    <t xml:space="preserve">COMTE DE BAILLY Brut Grande Réserve Crémant de Bourgogne </t>
  </si>
  <si>
    <t>Bourgogne (Chablis)</t>
  </si>
  <si>
    <t>DOMAINE COLLET - ORG</t>
  </si>
  <si>
    <t>COLLET Petit Chablis 2023</t>
  </si>
  <si>
    <t>COLLET Chablis AC 2024</t>
  </si>
  <si>
    <r>
      <t xml:space="preserve">COLLET Chablis 1er Cru Vaillons AC 2024 - </t>
    </r>
    <r>
      <rPr>
        <b/>
        <sz val="12"/>
        <rFont val="Calibri"/>
        <family val="2"/>
        <charset val="1"/>
      </rPr>
      <t xml:space="preserve">S.E. </t>
    </r>
  </si>
  <si>
    <r>
      <t xml:space="preserve">COLLET Chablis 1er Cru Montée de Tonnerre AC 2022 - </t>
    </r>
    <r>
      <rPr>
        <b/>
        <sz val="12"/>
        <rFont val="Calibri"/>
        <family val="2"/>
        <charset val="1"/>
      </rPr>
      <t>S.E.</t>
    </r>
  </si>
  <si>
    <r>
      <t xml:space="preserve">COLLET Chablis Grand Cru Valmur AC 2021 - </t>
    </r>
    <r>
      <rPr>
        <b/>
        <sz val="12"/>
        <rFont val="Calibri"/>
        <family val="2"/>
        <charset val="1"/>
      </rPr>
      <t>S.E.</t>
    </r>
  </si>
  <si>
    <r>
      <t xml:space="preserve">COLLET Chablis Grand Cru Les Clos AC 2021 - </t>
    </r>
    <r>
      <rPr>
        <b/>
        <sz val="12"/>
        <rFont val="Calibri"/>
        <family val="2"/>
        <charset val="1"/>
      </rPr>
      <t>S.E.</t>
    </r>
  </si>
  <si>
    <t>Champagne</t>
  </si>
  <si>
    <t>PIERRE GIMONNET &amp; FILS</t>
  </si>
  <si>
    <r>
      <t xml:space="preserve">PIERRE GIMONNET &amp; FILS Champagne Cuis 1er Cru Brut NS - </t>
    </r>
    <r>
      <rPr>
        <b/>
        <sz val="12"/>
        <color rgb="FF000000"/>
        <rFont val="Calibri"/>
        <family val="2"/>
      </rPr>
      <t>S.E.</t>
    </r>
    <r>
      <rPr>
        <sz val="12"/>
        <rFont val="Calibri"/>
        <family val="2"/>
      </rPr>
      <t xml:space="preserve">  </t>
    </r>
  </si>
  <si>
    <r>
      <t>PIERRE GIMONNET &amp; FILS Champagne Fleuron 1er Cru Brut 2019 -</t>
    </r>
    <r>
      <rPr>
        <b/>
        <sz val="12"/>
        <color rgb="FF000000"/>
        <rFont val="Calibri"/>
        <family val="2"/>
      </rPr>
      <t xml:space="preserve"> S.E. </t>
    </r>
  </si>
  <si>
    <t>Espumante Rosé:</t>
  </si>
  <si>
    <r>
      <t xml:space="preserve">PIERRE GIMONNET &amp; FILS Champagne Rosé de Blancs 1er Cru Brut - </t>
    </r>
    <r>
      <rPr>
        <b/>
        <sz val="12"/>
        <color rgb="FF000000"/>
        <rFont val="Calibri"/>
        <family val="2"/>
      </rPr>
      <t>S.E.</t>
    </r>
    <r>
      <rPr>
        <sz val="12"/>
        <rFont val="Calibri"/>
        <family val="2"/>
      </rPr>
      <t xml:space="preserve">  </t>
    </r>
  </si>
  <si>
    <t>Jura</t>
  </si>
  <si>
    <t>DOMAINE DE LA BORDE - BIO</t>
  </si>
  <si>
    <r>
      <t xml:space="preserve">DOMAINE DE LA BORDE Chardonnay La Marcette AOC Arbois 2023 - </t>
    </r>
    <r>
      <rPr>
        <b/>
        <sz val="12"/>
        <rFont val="Calibri"/>
        <family val="2"/>
        <charset val="1"/>
      </rPr>
      <t>S.E.</t>
    </r>
  </si>
  <si>
    <r>
      <t xml:space="preserve">DOMAINE DE LA BORDE Naturé Foudre à Canon AOC Arbois 2021 - </t>
    </r>
    <r>
      <rPr>
        <b/>
        <sz val="12"/>
        <rFont val="Calibri"/>
        <family val="2"/>
        <charset val="1"/>
      </rPr>
      <t>S.E.</t>
    </r>
  </si>
  <si>
    <r>
      <t xml:space="preserve">DOMAINE DE LA BORDE Vin Jaune AOC Arbois 2016 - 620 ml - </t>
    </r>
    <r>
      <rPr>
        <b/>
        <sz val="12"/>
        <rFont val="Calibri"/>
        <family val="2"/>
        <charset val="1"/>
      </rPr>
      <t>S.E.</t>
    </r>
  </si>
  <si>
    <r>
      <t xml:space="preserve">DOMAINE DE LA BORDE Ad Infernum et Salutem AOC Arbois 2024 - </t>
    </r>
    <r>
      <rPr>
        <b/>
        <sz val="12"/>
        <rFont val="Calibri"/>
        <family val="2"/>
      </rPr>
      <t>S.E.</t>
    </r>
  </si>
  <si>
    <r>
      <t xml:space="preserve">DOMAINE DE LA BORDE Chamoz AOC Côtes du Jura 2023 - </t>
    </r>
    <r>
      <rPr>
        <b/>
        <sz val="12"/>
        <rFont val="Calibri"/>
        <family val="2"/>
      </rPr>
      <t>S.E.</t>
    </r>
  </si>
  <si>
    <t>DOMAINE PIGNIER - BIO</t>
  </si>
  <si>
    <t xml:space="preserve">DOMAINE PIGNIER AOP Crémant du Jura Brut Nature </t>
  </si>
  <si>
    <t>DOMAINE PIGNIER AOC Côtes du Jura GPS 2023</t>
  </si>
  <si>
    <r>
      <t xml:space="preserve">DOMAINE PIGNIER AOC Côtes du Jura Sauvageon 2019 - </t>
    </r>
    <r>
      <rPr>
        <b/>
        <sz val="12"/>
        <rFont val="Calibri"/>
        <family val="2"/>
      </rPr>
      <t>S.E.</t>
    </r>
  </si>
  <si>
    <r>
      <t xml:space="preserve">DOMAINE PIGNIER AOC Côtes du Jura Sauvageon 2023 - </t>
    </r>
    <r>
      <rPr>
        <b/>
        <sz val="12"/>
        <rFont val="Calibri"/>
        <family val="2"/>
      </rPr>
      <t>S.E.</t>
    </r>
  </si>
  <si>
    <r>
      <t>DOMAINE PIGNIER À Table Avec Leandre Vin de France -</t>
    </r>
    <r>
      <rPr>
        <b/>
        <sz val="12"/>
        <rFont val="Calibri"/>
        <family val="2"/>
      </rPr>
      <t xml:space="preserve"> S.E.</t>
    </r>
  </si>
  <si>
    <t>DOMAINE DE SAINT PIERRE (FABRICE DODANE) - ORG</t>
  </si>
  <si>
    <r>
      <t xml:space="preserve">DOMAINE DE SAINT PIERRE Chapon AOC Arbois - </t>
    </r>
    <r>
      <rPr>
        <b/>
        <sz val="12"/>
        <rFont val="Calibri"/>
        <family val="2"/>
        <charset val="1"/>
      </rPr>
      <t>S.E.</t>
    </r>
  </si>
  <si>
    <r>
      <t xml:space="preserve">DOMAINE DE SAINT PIERRE Rouge AOC Arbois </t>
    </r>
    <r>
      <rPr>
        <b/>
        <sz val="12"/>
        <rFont val="Calibri"/>
        <family val="2"/>
        <charset val="1"/>
      </rPr>
      <t>- S.E.</t>
    </r>
  </si>
  <si>
    <r>
      <t xml:space="preserve">DOMAINE DE SAINT PIERRE Rouge AOC Arbois - Magnum </t>
    </r>
    <r>
      <rPr>
        <b/>
        <sz val="12"/>
        <rFont val="Calibri"/>
        <family val="2"/>
        <charset val="1"/>
      </rPr>
      <t>- S.E.</t>
    </r>
  </si>
  <si>
    <t>FABRICE DODANE</t>
  </si>
  <si>
    <t>FABRICE DODANE Du Quin Quin Le Dos D'Chat Rouge Vin de France 2020</t>
  </si>
  <si>
    <t>FABRICE DODANE G.G Le Dos D'Chat Rouge Vin de France 2020 - S.E.</t>
  </si>
  <si>
    <r>
      <t xml:space="preserve">FABRICE DODANE Ploussard Le Dos D'Chat Rouge AOC Arbois - </t>
    </r>
    <r>
      <rPr>
        <b/>
        <sz val="12"/>
        <rFont val="Calibri"/>
        <family val="2"/>
        <charset val="1"/>
      </rPr>
      <t>S.E.</t>
    </r>
  </si>
  <si>
    <r>
      <t xml:space="preserve">FABRICE DODANE G.G Le Dos D'Chat Rouge Vin de France 2020 - Magnum - </t>
    </r>
    <r>
      <rPr>
        <b/>
        <sz val="12"/>
        <rFont val="Calibri"/>
        <family val="2"/>
        <charset val="1"/>
      </rPr>
      <t>S.E.</t>
    </r>
  </si>
  <si>
    <t>Languedoc-Roussillon</t>
  </si>
  <si>
    <t>CAVE D'EMBRES ET CASTELMAURE</t>
  </si>
  <si>
    <t>CASTELMAURE Les Fondamentaux Le Blanc AOP Corbières 2020</t>
  </si>
  <si>
    <t>CASTELMAURE Les Fondamentaux Le Rosé AOP Corbières 2020</t>
  </si>
  <si>
    <t>CASTELMAURE Les Fondamentaux En Rouge AOP Corbières 2024</t>
  </si>
  <si>
    <t xml:space="preserve">CASTELMAURE Pompadour Rouge AOP Corbières 2018 </t>
  </si>
  <si>
    <t>CASTELMAURE Pompadour Rouge AOP Corbières 2023</t>
  </si>
  <si>
    <t>CASTELMAURE Grande Cuvée Rouge AOP Corbières 2021</t>
  </si>
  <si>
    <t>CASTELMAURE Grande Cuvée Rouge AOP Corbières - Magnum</t>
  </si>
  <si>
    <r>
      <t xml:space="preserve">CASTELMAURE Nº3 de Castelmaure Rouge AOP Corbières 2018 - </t>
    </r>
    <r>
      <rPr>
        <b/>
        <sz val="12"/>
        <rFont val="Calibri"/>
        <family val="2"/>
        <charset val="1"/>
      </rPr>
      <t>S.E.</t>
    </r>
  </si>
  <si>
    <r>
      <t xml:space="preserve">CASTELMAURE Nº3 de Castelmaure Rouge AOP Corbières 2017 - Magnum - </t>
    </r>
    <r>
      <rPr>
        <b/>
        <sz val="12"/>
        <rFont val="Calibri"/>
        <family val="2"/>
        <charset val="1"/>
      </rPr>
      <t>S.E.</t>
    </r>
  </si>
  <si>
    <t>DOMAINE D'AUPILHAC - BIO</t>
  </si>
  <si>
    <t>DOMAINE D'AUPILHAC Blanc Cuvée Aupilhac AOC Languedoc 2019</t>
  </si>
  <si>
    <r>
      <t xml:space="preserve">DOMAINE D'AUPILHAC Cocalieres Blanc AOC Languedoc 2019 - </t>
    </r>
    <r>
      <rPr>
        <b/>
        <sz val="12"/>
        <rFont val="Calibri"/>
        <family val="2"/>
        <charset val="1"/>
      </rPr>
      <t>S.E.</t>
    </r>
  </si>
  <si>
    <t>DOMAINE D'AUPILHAC Lou Maset Rouge AOC Languedoc 2021</t>
  </si>
  <si>
    <t xml:space="preserve">DOMAINE D'AUPILHAC Cocalieres Rouge AOC Languedoc 2018 </t>
  </si>
  <si>
    <r>
      <t xml:space="preserve">DOMAINE D'AUPILHAC La Boda Rouge AOC Languedoc Montpeyroux 2016 - </t>
    </r>
    <r>
      <rPr>
        <b/>
        <sz val="12"/>
        <rFont val="Calibri"/>
        <family val="2"/>
        <charset val="1"/>
      </rPr>
      <t>S.E.</t>
    </r>
  </si>
  <si>
    <t>DOMAINE FERRER-RIBIÈRE - BIO</t>
  </si>
  <si>
    <t xml:space="preserve">FERRER RIBIÈRE Empreinte du Temps Sans Interdit Sec IGP Côtes Catalanes </t>
  </si>
  <si>
    <r>
      <t xml:space="preserve">FERRER RIBIÈRE Cana AOP Côtes du Roussillon 2012 </t>
    </r>
    <r>
      <rPr>
        <b/>
        <sz val="12"/>
        <rFont val="Calibri"/>
        <family val="2"/>
      </rPr>
      <t>- S.E.</t>
    </r>
  </si>
  <si>
    <t>DOMAINE FLO BUSCH - BIO</t>
  </si>
  <si>
    <t>DOMAINE FLO BUSCH Lou Bragalou 2020</t>
  </si>
  <si>
    <t>DOMAINE FLO BUSCH Pierre Qui Rolle 2020</t>
  </si>
  <si>
    <t xml:space="preserve">DOMAINE FLO BUSCH Hereux Qui Comme 2019 </t>
  </si>
  <si>
    <t xml:space="preserve">DOMAINE FLO BUSCH Pointe du Jour 2018 </t>
  </si>
  <si>
    <t>DOMAINE LES AURELLES - BIO</t>
  </si>
  <si>
    <r>
      <t xml:space="preserve">DOMAINE LES AURELLES Aurel Blanc AOC Côteaux de Languedoc 2014 - </t>
    </r>
    <r>
      <rPr>
        <b/>
        <sz val="12"/>
        <rFont val="Calibri"/>
        <family val="2"/>
        <charset val="1"/>
      </rPr>
      <t>S.E.</t>
    </r>
  </si>
  <si>
    <r>
      <t xml:space="preserve">DOMAINE LES AURELLES Solen Rouge AOC Pézenas Languedoc 2013 - </t>
    </r>
    <r>
      <rPr>
        <b/>
        <sz val="12"/>
        <rFont val="Calibri"/>
        <family val="2"/>
        <charset val="1"/>
      </rPr>
      <t>S.E.</t>
    </r>
  </si>
  <si>
    <r>
      <t xml:space="preserve">DOMAINE LES AURELLES Aurel Rouge AOC Pézenas Languedoc 2014 - </t>
    </r>
    <r>
      <rPr>
        <b/>
        <sz val="12"/>
        <rFont val="Calibri"/>
        <family val="2"/>
        <charset val="1"/>
      </rPr>
      <t>S.E.</t>
    </r>
  </si>
  <si>
    <t>Loire</t>
  </si>
  <si>
    <t>CHÉREAU CARRÉ</t>
  </si>
  <si>
    <t>CHÉREAU CARRÉ La Griffe Bernard Chéreau Muscadet Sèvre et Maine Sur Lie 2023</t>
  </si>
  <si>
    <t xml:space="preserve">CHÉREAU CARRÉ La Griffe Bernard Chéreau Muscadet Sèvre et Maine Sur Lie 2021 - 375 ml </t>
  </si>
  <si>
    <t>CHÉREAU CARRÉ Le Clos du Château L'Oiselinière La Haie Fouassière Muscadet Sèvre et Maine 2016</t>
  </si>
  <si>
    <t>FRÉDÉRIC MABILEAU - ORG</t>
  </si>
  <si>
    <t>FRÉDÉRIC MABILEAU Anjou Blanc Chenin des Rouillères 2019</t>
  </si>
  <si>
    <t xml:space="preserve">FRÉDÉRIC MABILEAU Saumur Chenin Blanc </t>
  </si>
  <si>
    <t>FRÉDÉRIC MABILEAU Saint-Nicolas-de-Bourgueil Les Rouillères 2019</t>
  </si>
  <si>
    <t>FRÉDÉRIC MABILEAU Saint-Nicolas-de-Bourgueil Les Coutures 2016</t>
  </si>
  <si>
    <t>FOURNIER PÈRE &amp; FILS</t>
  </si>
  <si>
    <t>FOURNIER Sauvignon "F" de Fournier 2023</t>
  </si>
  <si>
    <t>FOURNIER Touraine AOP Sauvignon Blanc 2017</t>
  </si>
  <si>
    <t>FOURNIER Pouilly-Fumé Les Deux Cailloux 2022</t>
  </si>
  <si>
    <r>
      <t xml:space="preserve">FOURNIER Pouilly-Fumé Grande Cuvée 2015 - </t>
    </r>
    <r>
      <rPr>
        <b/>
        <sz val="12"/>
        <rFont val="Calibri"/>
        <family val="2"/>
        <charset val="1"/>
      </rPr>
      <t>S.E.</t>
    </r>
  </si>
  <si>
    <r>
      <t xml:space="preserve">FOURNIER Sancerre Grande Cuvée La Chaudouillonne 2022 - </t>
    </r>
    <r>
      <rPr>
        <b/>
        <sz val="12"/>
        <rFont val="Calibri"/>
        <family val="2"/>
        <charset val="1"/>
      </rPr>
      <t xml:space="preserve">S.E. </t>
    </r>
  </si>
  <si>
    <r>
      <t xml:space="preserve">FOURNIER Sancerre Rosé Les Belles Vignes 2023 </t>
    </r>
    <r>
      <rPr>
        <b/>
        <sz val="12"/>
        <rFont val="Calibri"/>
        <family val="2"/>
      </rPr>
      <t>- S.E.</t>
    </r>
  </si>
  <si>
    <t>HUET - BIO</t>
  </si>
  <si>
    <t>HUET Vouvray Pétillant Brut - NV</t>
  </si>
  <si>
    <r>
      <t xml:space="preserve">HUET Vouvray Pétillant Brut 2014 - </t>
    </r>
    <r>
      <rPr>
        <b/>
        <sz val="12"/>
        <rFont val="Calibri"/>
        <family val="2"/>
        <charset val="1"/>
      </rPr>
      <t>S.E.</t>
    </r>
  </si>
  <si>
    <r>
      <t xml:space="preserve">HUET Vouvray Le Haut-Lieu Sec 2019 -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</si>
  <si>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HUET Vouvray Le Haut-Lieu Sec 2022 -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</si>
  <si>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HUET Vouvray Le Haut-Lieu Sec 2023 -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</si>
  <si>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HUET Vouvray Le Haut-Lieu Demi-Sec 2022 -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</si>
  <si>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HUET Vouvray Sec Le Mont 2019 -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</si>
  <si>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HUET Vouvray Sec Le Mont 2023 -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</si>
  <si>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HUET Vouvray Le Mont Demi-Sec 2023 -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</si>
  <si>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HUET Vouvray Sec Clos du Bourg 2023 - </t>
    </r>
    <r>
      <rPr>
        <b/>
        <sz val="12"/>
        <color rgb="FF000000"/>
        <rFont val="Calibri"/>
        <family val="2"/>
        <charset val="1"/>
      </rPr>
      <t>S.E.</t>
    </r>
    <r>
      <rPr>
        <sz val="12"/>
        <rFont val="Calibri"/>
        <family val="2"/>
        <charset val="1"/>
      </rPr>
      <t xml:space="preserve"> </t>
    </r>
  </si>
  <si>
    <r>
      <t xml:space="preserve">HUET Vouvray Clos du Bourg Moeullex 2018 - </t>
    </r>
    <r>
      <rPr>
        <b/>
        <sz val="12"/>
        <rFont val="Calibri"/>
        <family val="2"/>
      </rPr>
      <t>S.E.</t>
    </r>
    <r>
      <rPr>
        <sz val="12"/>
        <rFont val="Calibri"/>
        <family val="2"/>
        <charset val="1"/>
      </rPr>
      <t xml:space="preserve"> </t>
    </r>
  </si>
  <si>
    <r>
      <t xml:space="preserve">HUET Vouvray Le Haut-Lieu Moeullex 1ere Trie 2020 - </t>
    </r>
    <r>
      <rPr>
        <b/>
        <sz val="12"/>
        <rFont val="Calibri"/>
        <family val="2"/>
      </rPr>
      <t>S.E.</t>
    </r>
    <r>
      <rPr>
        <sz val="12"/>
        <rFont val="Calibri"/>
        <family val="2"/>
        <charset val="1"/>
      </rPr>
      <t xml:space="preserve"> </t>
    </r>
  </si>
  <si>
    <r>
      <t xml:space="preserve">HUET Vouvray Le Haut-Lieu Moeullex 1ere Trie 2022 - </t>
    </r>
    <r>
      <rPr>
        <b/>
        <sz val="12"/>
        <rFont val="Calibri"/>
        <family val="2"/>
      </rPr>
      <t>S.E.</t>
    </r>
    <r>
      <rPr>
        <sz val="12"/>
        <rFont val="Calibri"/>
        <family val="2"/>
        <charset val="1"/>
      </rPr>
      <t xml:space="preserve"> </t>
    </r>
  </si>
  <si>
    <t>HUET Vouvray Cuvée Constance Moeullex 2018 - 500 ml</t>
  </si>
  <si>
    <t>LE ROCHER DES VIOLETTES - ORG</t>
  </si>
  <si>
    <t>LE ROCHER DES VIOLETTES Pétillant Originel Mountlouis-sur-Loire AOC 2022</t>
  </si>
  <si>
    <t>LE ROCHER DES VIOLETTES Chenin Touche-Mitaine Mountlouis-sur-Loire AOC 2024</t>
  </si>
  <si>
    <t>LE ROCHER DES VIOLETTES Les Borderies Mountlouis-sur-Loire AOC 2015</t>
  </si>
  <si>
    <t xml:space="preserve">LE ROCHER DES VIOLETTES La Négrette Mountlouis-sur-Loire AOC 2015 </t>
  </si>
  <si>
    <t>LE ROCHER DES VIOLETTES Le Grand Clos Mountlouis-sur-Loire AOC 2022</t>
  </si>
  <si>
    <t>LE ROCHER DES VIOLETTES Vin de France Pinot Noir 2024</t>
  </si>
  <si>
    <t>VIGNEAU-CHEVREAU - BIO</t>
  </si>
  <si>
    <t xml:space="preserve">VIGNEAU-CHEVREAU Vouvray Brut </t>
  </si>
  <si>
    <t>VIGNEAU Sélection Vouvray Brut (1)</t>
  </si>
  <si>
    <t>VIGNEAU-CHEVREAU Vouvray Sec Cuvée Silex 2024</t>
  </si>
  <si>
    <t>(1) Produto não biodinâmico</t>
  </si>
  <si>
    <t>Provance</t>
  </si>
  <si>
    <t>CHÂTEAU SAINT-HILAIRE</t>
  </si>
  <si>
    <t>CHÂTEAU SAINT-HILAIRE Tradition Coteaux d'Aix-en-Provence 2023</t>
  </si>
  <si>
    <t>CHÂTEAU SAINT-HILAIRE Cuvée ONE Coteaux d'Aix-en-Provence 2023</t>
  </si>
  <si>
    <t>Rhône Nord</t>
  </si>
  <si>
    <t>ANDRÉ PERRET</t>
  </si>
  <si>
    <r>
      <t xml:space="preserve">ANDRÉ PERRET Condrieu Chery 2021 -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</si>
  <si>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ANDRÉ PERRET Condrieu Chery 2022 -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</si>
  <si>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ANDRÉ PERRET Condrieu Chery 2023 -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</si>
  <si>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ANDRÉ PERRET Condrieu Chery 2024 -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</si>
  <si>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ANDRÉ PERRET Saint-Joseph 2014 - </t>
    </r>
    <r>
      <rPr>
        <b/>
        <sz val="12"/>
        <rFont val="Calibri"/>
        <family val="2"/>
      </rPr>
      <t>S.E.</t>
    </r>
  </si>
  <si>
    <r>
      <t xml:space="preserve">ANDRÉ PERRET Saint-Joseph Les Grisieres 2014 -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</si>
  <si>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ANDRÉ PERRET Saint-Joseph Les Grisieres 2022 -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</si>
  <si>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ANDRÉ PERRET Saint-Joseph Les Grisieres 2023 - </t>
    </r>
    <r>
      <rPr>
        <b/>
        <sz val="12"/>
        <color rgb="FF000000"/>
        <rFont val="Calibri"/>
        <family val="2"/>
        <charset val="1"/>
      </rPr>
      <t>S.E.</t>
    </r>
  </si>
  <si>
    <t>LES DOMAINES DU MONT</t>
  </si>
  <si>
    <t>J. BOUTIN AOP Crozes Hermitage "Nos Granites Ciselés" Blanc 2023</t>
  </si>
  <si>
    <t>MADEMOISELLE DU MONT AOP Côtes-du-Rhône Rouge 2024 (Rhône-Sud)</t>
  </si>
  <si>
    <t>J. BOUTIN AOP Crozes-Hermitage "Les Vedias" Rouge 2023</t>
  </si>
  <si>
    <t>J. BOUTIN AOP Saint Joseph "Parcelle de Jean" Rouge 2023</t>
  </si>
  <si>
    <t>Rhône Sud</t>
  </si>
  <si>
    <t>CLOS BELLANE</t>
  </si>
  <si>
    <t>CLOS BELLANE Côtes-du-Rhône Villages Valréas Blanc 2023</t>
  </si>
  <si>
    <t>CLOS BELLANE La Petite Bellane Côtes-du-Rhône Villages 2020</t>
  </si>
  <si>
    <t>CLOS BELLANE Côtes-du-Rhône Villages Valréas Rouge 2019</t>
  </si>
  <si>
    <t xml:space="preserve">CLOS BELLANE Côtes-du-Rhône Villages Valréas Rouge - Magnum </t>
  </si>
  <si>
    <t>CHÂTEAU D'OR ET DE GUEULES</t>
  </si>
  <si>
    <r>
      <t xml:space="preserve">CHÂTEAU D'OR ET DE GUEULES A Boire Rouge Coteaux du Pont de Gard 2022 - </t>
    </r>
    <r>
      <rPr>
        <b/>
        <sz val="12"/>
        <rFont val="Calibri"/>
        <family val="2"/>
        <charset val="1"/>
      </rPr>
      <t>ORG</t>
    </r>
  </si>
  <si>
    <t>CHÂTEAU D'OR ET DE GUEULES Les Cimels Costières de Nîmes 2021</t>
  </si>
  <si>
    <t>CHÂTEAU D'OR ET DE GUEULES Trassegum Costières de Nîmes 2019</t>
  </si>
  <si>
    <r>
      <t xml:space="preserve">CHÂTEAU D'OR ET DE GUEULES La Bolida Costières de Nîmes 2015 - </t>
    </r>
    <r>
      <rPr>
        <b/>
        <sz val="12"/>
        <color rgb="FF000000"/>
        <rFont val="Calibri"/>
        <family val="2"/>
        <charset val="1"/>
      </rPr>
      <t>S.E.</t>
    </r>
  </si>
  <si>
    <t>CLOS DES PAPES - ORG</t>
  </si>
  <si>
    <r>
      <t xml:space="preserve">CLOS DES PAPES Châteauneuf-du-Pape Blanc 2018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</si>
  <si>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CLOS DES PAPES Châteauneuf-du-Pape Blanc 2019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</si>
  <si>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CLOS DES PAPES Châteauneuf-du-Pape Blanc 2020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</si>
  <si>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CLOS DES PAPES Châteauneuf-du-Pape Blanc 2021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</si>
  <si>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CLOS DES PAPES Châteauneuf-du-Pape Blanc 2023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</si>
  <si>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CLOS DES PAPES Châteauneuf-du-Pape Blanc 2024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</si>
  <si>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CLOS DES PAPES Châteauneuf-du-Pape Blanc 2025 </t>
    </r>
    <r>
      <rPr>
        <b/>
        <sz val="12"/>
        <color rgb="FF000000"/>
        <rFont val="Calibri"/>
        <family val="2"/>
        <charset val="1"/>
      </rPr>
      <t>- S.E.</t>
    </r>
  </si>
  <si>
    <t xml:space="preserve">LE PETIT VIN D’AVRIL </t>
  </si>
  <si>
    <r>
      <t xml:space="preserve">CLOS DES PAPES Châteauneuf-du-Pape Rouge 2011 </t>
    </r>
    <r>
      <rPr>
        <b/>
        <sz val="12"/>
        <rFont val="Calibri"/>
        <family val="2"/>
      </rPr>
      <t>- S.E.</t>
    </r>
  </si>
  <si>
    <r>
      <t>CLOS DES PAPES Châteauneuf-du-Pape Rouge 2012 -</t>
    </r>
    <r>
      <rPr>
        <b/>
        <sz val="12"/>
        <rFont val="Calibri"/>
        <family val="2"/>
      </rPr>
      <t xml:space="preserve"> S.E.</t>
    </r>
  </si>
  <si>
    <r>
      <t>CLOS DES PAPES Châteauneuf-du-Pape Rouge 2013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</si>
  <si>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>CLOS DES PAPES Châteauneuf-du-Pape Rouge 2014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</si>
  <si>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>CLOS DES PAPES Châteauneuf-du-Pape Rouge 2017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</si>
  <si>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>CLOS DES PAPES Châteauneuf-du-Pape Rouge 2018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</si>
  <si>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>CLOS DES PAPES Châteauneuf-du-Pape Rouge 2019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</si>
  <si>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>CLOS DES PAPES Châteauneuf-du-Pape Rouge 2020</t>
    </r>
    <r>
      <rPr>
        <b/>
        <sz val="12"/>
        <color rgb="FF000000"/>
        <rFont val="Calibri"/>
        <family val="2"/>
        <charset val="1"/>
      </rPr>
      <t xml:space="preserve"> </t>
    </r>
  </si>
  <si>
    <r>
      <t>CLOS DES PAPES Châteauneuf-du-Pape Rouge 2021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</si>
  <si>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>CLOS DES PAPES Châteauneuf-du-Pape Rouge 2022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</si>
  <si>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 xml:space="preserve">CLOS DES PAPES Châteauneuf-du-Pape Rouge 2022 - Magnum </t>
    </r>
    <r>
      <rPr>
        <b/>
        <sz val="12"/>
        <color rgb="FF000000"/>
        <rFont val="Calibri"/>
        <family val="2"/>
        <charset val="1"/>
      </rPr>
      <t>- S.E.</t>
    </r>
  </si>
  <si>
    <r>
      <t>CLOS DES PAPES Châteauneuf-du-Pape Rouge 2023</t>
    </r>
    <r>
      <rPr>
        <b/>
        <sz val="12"/>
        <color rgb="FF000000"/>
        <rFont val="Calibri"/>
        <family val="2"/>
        <charset val="1"/>
      </rPr>
      <t xml:space="preserve"> </t>
    </r>
  </si>
  <si>
    <r>
      <t>CLOS DES PAPES Châteauneuf-du-Pape Rouge 2024</t>
    </r>
    <r>
      <rPr>
        <b/>
        <sz val="12"/>
        <color rgb="FF000000"/>
        <rFont val="Calibri"/>
        <family val="2"/>
        <charset val="1"/>
      </rPr>
      <t xml:space="preserve"> - S.E.</t>
    </r>
  </si>
  <si>
    <r>
      <t xml:space="preserve">CLOS DES PAPES Châteauneuf-du-Pape Rouge 2024 - Magnum </t>
    </r>
    <r>
      <rPr>
        <b/>
        <sz val="12"/>
        <color rgb="FF000000"/>
        <rFont val="Calibri"/>
        <family val="2"/>
        <charset val="1"/>
      </rPr>
      <t>- S.E.</t>
    </r>
  </si>
  <si>
    <r>
      <t xml:space="preserve">CLOS DES PAPES Châteauneuf-du-Pape Rouge 2024 - Double Magnum </t>
    </r>
    <r>
      <rPr>
        <b/>
        <sz val="12"/>
        <color rgb="FF000000"/>
        <rFont val="Calibri"/>
        <family val="2"/>
        <charset val="1"/>
      </rPr>
      <t>- S.E.</t>
    </r>
  </si>
  <si>
    <t>FAMILLE GONNET - ORG</t>
  </si>
  <si>
    <r>
      <t xml:space="preserve">FONT DU VENT Châteauneuf-du-Pape Blanc 2023 - </t>
    </r>
    <r>
      <rPr>
        <b/>
        <sz val="12"/>
        <rFont val="Calibri"/>
        <family val="2"/>
        <charset val="1"/>
      </rPr>
      <t>S.E.</t>
    </r>
  </si>
  <si>
    <r>
      <t xml:space="preserve">FONT DU VENT Châteauneuf-du-Pape 2022 - </t>
    </r>
    <r>
      <rPr>
        <b/>
        <sz val="12"/>
        <rFont val="Calibri"/>
        <family val="2"/>
        <charset val="1"/>
      </rPr>
      <t>S.E.</t>
    </r>
  </si>
  <si>
    <r>
      <t xml:space="preserve">FONT DU VENT Châteauneuf-du-Pape 2023 - </t>
    </r>
    <r>
      <rPr>
        <b/>
        <sz val="12"/>
        <rFont val="Calibri"/>
        <family val="2"/>
        <charset val="1"/>
      </rPr>
      <t>S.E.</t>
    </r>
  </si>
  <si>
    <r>
      <t xml:space="preserve">FONT DU VENT Châteauneuf-du-Pape Cuvée Etienne Gonnet 2018 - </t>
    </r>
    <r>
      <rPr>
        <b/>
        <sz val="12"/>
        <rFont val="Calibri"/>
        <family val="2"/>
        <charset val="1"/>
      </rPr>
      <t>S.E.</t>
    </r>
  </si>
  <si>
    <r>
      <t xml:space="preserve">FONT DU VENT Châteauneuf-du-Pape Cuvée Etienne Gonnet 2020 - </t>
    </r>
    <r>
      <rPr>
        <b/>
        <sz val="12"/>
        <rFont val="Calibri"/>
        <family val="2"/>
        <charset val="1"/>
      </rPr>
      <t>S.E.</t>
    </r>
  </si>
  <si>
    <t>DOMAINE JAUME</t>
  </si>
  <si>
    <r>
      <t xml:space="preserve">DOMAINE JAUME Côtes-du-Rhône Villages Vinsobres Clos des Echalas 2015 - </t>
    </r>
    <r>
      <rPr>
        <b/>
        <sz val="12"/>
        <rFont val="Calibri"/>
        <family val="2"/>
        <charset val="1"/>
      </rPr>
      <t>S.E.</t>
    </r>
  </si>
  <si>
    <t>DOMAINE LA MONARDIÈRE - ORG</t>
  </si>
  <si>
    <t>LA MONARDIÈRE Vacqueyras Les 2 Monardes 2020</t>
  </si>
  <si>
    <t xml:space="preserve">LA MONARDIÈRE Vacqueyras Vieilles Vignes 2019 </t>
  </si>
  <si>
    <t>DOMAINE RASPAIL-AY</t>
  </si>
  <si>
    <r>
      <t>DOMAINE RASPAIL-AY Gigondas 2020 -</t>
    </r>
    <r>
      <rPr>
        <b/>
        <sz val="12"/>
        <rFont val="Calibri"/>
        <family val="2"/>
        <charset val="1"/>
      </rPr>
      <t xml:space="preserve"> S.E. </t>
    </r>
  </si>
  <si>
    <t xml:space="preserve">DOMAINE RASPAIL-AY Gigondas 2020 - 375 ml </t>
  </si>
  <si>
    <t>Sud-Ouest</t>
  </si>
  <si>
    <t>CHÂTEAU LAMARTINE</t>
  </si>
  <si>
    <t>CHÂTEAU LAMARTINE Blanc de Lamartine Tandem Côtes du Lot 2018</t>
  </si>
  <si>
    <t>CHÂTEAU LAMARTINE Cahors 2024</t>
  </si>
  <si>
    <r>
      <t>CHÂTEAU LAMARTINE Cahors Expression 2018 -</t>
    </r>
    <r>
      <rPr>
        <b/>
        <sz val="12"/>
        <color rgb="FF000000"/>
        <rFont val="Calibri"/>
        <family val="2"/>
        <charset val="1"/>
      </rPr>
      <t xml:space="preserve"> S.E. </t>
    </r>
  </si>
  <si>
    <r>
      <t>CHÂTEAU LAMARTINE Cahors Expression 2020 -</t>
    </r>
    <r>
      <rPr>
        <b/>
        <sz val="12"/>
        <color rgb="FF000000"/>
        <rFont val="Calibri"/>
        <family val="2"/>
        <charset val="1"/>
      </rPr>
      <t xml:space="preserve"> S.E. </t>
    </r>
  </si>
  <si>
    <t>CLOS LAPEYRE - ORG</t>
  </si>
  <si>
    <t>LAPEYRE Jurançon Sec 2020</t>
  </si>
  <si>
    <t>LAPEYRE Jurançon Sec 2023</t>
  </si>
  <si>
    <t>LAPEYRE Jurançon Sec 2014 - 375 ml</t>
  </si>
  <si>
    <t>LAPEYRE Jurançon Sec 2017 - 375 ml</t>
  </si>
  <si>
    <t>LAPEYRE Vitatge Vielh Jurançon Sec 2022</t>
  </si>
  <si>
    <t>LAPEYRE La Magendia Jurançon Moelleux 2020 - 375 ml</t>
  </si>
  <si>
    <t>LAPEYRE Moelleux Jurançon 2024 - 750 ml</t>
  </si>
  <si>
    <r>
      <t xml:space="preserve">LAPEYRE Moelleux Jurançon Le Vent Balaguèr 2010 - 500ml - </t>
    </r>
    <r>
      <rPr>
        <b/>
        <sz val="12"/>
        <color rgb="FF000000"/>
        <rFont val="Calibri"/>
        <family val="2"/>
        <charset val="1"/>
      </rPr>
      <t>S.E.</t>
    </r>
  </si>
  <si>
    <t>DOMAINE BERTHOUMIEU</t>
  </si>
  <si>
    <t>DOMAINE BERTHOUMIEU Pierre de Grès AOP Pacherenc du Vic Bilh Sec 2017</t>
  </si>
  <si>
    <t>DOMAINE BERTHOUMIEU Constance AOP Madiran 2020</t>
  </si>
  <si>
    <t>DOMAINE BERTHOUMIEU Madiran Cuvée Charles de Batz 2017</t>
  </si>
  <si>
    <t>DOMAINE BERTHOUMIEU Pacherenc du Vic Bilh Symphonie d'Automne</t>
  </si>
  <si>
    <t>Vendange de Novembre 2014 - 500 ml</t>
  </si>
  <si>
    <t>DOMAINE HORGELUS</t>
  </si>
  <si>
    <t>DOMAINE HORGELUS Côtes de Gascogne Colombard Sauvignon 2024</t>
  </si>
  <si>
    <t>DOMAINE HORGELUS Côtes de Gascogne Sauvignon/Gros-Manseng 2024</t>
  </si>
  <si>
    <t>DOMAINE HORGELUS Côtes de Gascogne Rosé 2024</t>
  </si>
  <si>
    <t>DOMAINE HORGELUS Côtes de Gascogne Rouge de Gala 2025</t>
  </si>
  <si>
    <t>C H I L E</t>
  </si>
  <si>
    <t>Valle Central</t>
  </si>
  <si>
    <t>FOX WINES</t>
  </si>
  <si>
    <t>QUEREU Chardonnay 2025</t>
  </si>
  <si>
    <t>QUEREU Chardonnay 2025 - 375 ml</t>
  </si>
  <si>
    <t>QUEREU Sauvignon Blanc 2025</t>
  </si>
  <si>
    <t>QUEREU Sauvignon Blanc 2025 - 375 ml</t>
  </si>
  <si>
    <t>QUEREU Rosé 2024</t>
  </si>
  <si>
    <t>QUEREU Cabernet Sauvignon 2024</t>
  </si>
  <si>
    <t>QUEREU Cabernet Sauvignon 2024 - 375 ml</t>
  </si>
  <si>
    <t>QUEREU Carménère 2024</t>
  </si>
  <si>
    <t>QUEREU Carménère 2023 - 375 ml</t>
  </si>
  <si>
    <t>QUEREU Merlot 2024</t>
  </si>
  <si>
    <t>Valle de Casablanca</t>
  </si>
  <si>
    <t>QUEREU Pinot Noir Reserva 2024</t>
  </si>
  <si>
    <t>Valle del Elqui</t>
  </si>
  <si>
    <t>VIÑA FALERNIA</t>
  </si>
  <si>
    <t>FALERNIA Pedro Ximénez Reserva 2025</t>
  </si>
  <si>
    <t>FALERNIA Sauvignon Blanc Reserva 2024</t>
  </si>
  <si>
    <t>FALERNIA Sauvignon Blanc Reserva 2024 - 375 ml</t>
  </si>
  <si>
    <t>FALERNIA Gran Reserva Chardonnay Titón Single Vineyard 2022</t>
  </si>
  <si>
    <t>FALERNIA Rosé 2024</t>
  </si>
  <si>
    <t>FALERNIA Sangiovese Reserva 2021</t>
  </si>
  <si>
    <t>FALERNIA Merlot Reserva 2020</t>
  </si>
  <si>
    <t>FALERNIA Merlot Reserva 2022</t>
  </si>
  <si>
    <t>FALERNIA Cabernet Sauvignon Reserva 2022</t>
  </si>
  <si>
    <t>FALERNIA Cabernet Sauvignon Reserva 2021 - 375 ml</t>
  </si>
  <si>
    <t>FALERNIA Carménère Reserva 2022</t>
  </si>
  <si>
    <t>FALERNIA Carménère Reserva 2022 - 375 ml</t>
  </si>
  <si>
    <t xml:space="preserve">FALERNIA Pinot Noir Reserva 2023 </t>
  </si>
  <si>
    <t>FALERNIA Pinot Noir Reserva 2023 - 375 ml</t>
  </si>
  <si>
    <t>FALERNIA Syrah Reserva 2023</t>
  </si>
  <si>
    <t>FALERNIA Syrah Reserva 2021 - 375ml</t>
  </si>
  <si>
    <t>FALERNIA Carménère/Syrah Gran Reserva 2022</t>
  </si>
  <si>
    <t>FALERNIA Cabernet Sauvignon Gran Reserva 2021</t>
  </si>
  <si>
    <t>FALERNIA Carménère Gran Reserva 2021</t>
  </si>
  <si>
    <t xml:space="preserve">FALERNIA Carménère Gran Reserva - Magnum </t>
  </si>
  <si>
    <t>FALERNIA Syrah Gran Reserva 2019</t>
  </si>
  <si>
    <t>FALERNIA Pinot Noir Gran Reserva Aaron Single Vineyard 2019</t>
  </si>
  <si>
    <t>FALERNIA Number One 2018</t>
  </si>
  <si>
    <t xml:space="preserve">Valle de Colchagua </t>
  </si>
  <si>
    <t>QUEREU Cabernet Sauvignon Reserva 2023</t>
  </si>
  <si>
    <t>QUEREU Carménère Reserva 2021</t>
  </si>
  <si>
    <t>QUEREU Cabernet Sauvignon Limited Edition 2020</t>
  </si>
  <si>
    <t>QUEREU Carménère Limited Edition 2021</t>
  </si>
  <si>
    <t>Valle de Colchagua (Marchigüe)</t>
  </si>
  <si>
    <t>POLKURA</t>
  </si>
  <si>
    <t>POLKURA La Gota Cabernet Sauvignon 2023</t>
  </si>
  <si>
    <t>POLKURA Syrah Lote D 2017</t>
  </si>
  <si>
    <t>POLKURA Random 2017</t>
  </si>
  <si>
    <t>POLKURA Syrah 2021</t>
  </si>
  <si>
    <t>POLKURA Syrah 2022</t>
  </si>
  <si>
    <t>POLKURA Malbec 2018</t>
  </si>
  <si>
    <r>
      <t xml:space="preserve">POLKURA Syrah Block g+i 2020 - </t>
    </r>
    <r>
      <rPr>
        <b/>
        <sz val="12"/>
        <rFont val="Calibri"/>
        <family val="2"/>
        <charset val="1"/>
      </rPr>
      <t>S.E.</t>
    </r>
  </si>
  <si>
    <r>
      <t xml:space="preserve">POLKURA Syrah Block g+i 2021 - </t>
    </r>
    <r>
      <rPr>
        <b/>
        <sz val="12"/>
        <rFont val="Calibri"/>
        <family val="2"/>
        <charset val="1"/>
      </rPr>
      <t>S.E.</t>
    </r>
  </si>
  <si>
    <r>
      <t xml:space="preserve">POLKURA Syrah Secano 2020 - </t>
    </r>
    <r>
      <rPr>
        <b/>
        <sz val="12"/>
        <rFont val="Calibri"/>
        <family val="2"/>
        <charset val="1"/>
      </rPr>
      <t>S.E.</t>
    </r>
  </si>
  <si>
    <t>Valle de Curicó</t>
  </si>
  <si>
    <t>QUEREU Blanc de Blancs Brut Cuveé Reserve</t>
  </si>
  <si>
    <t>QUEREU Rosé Brut Cuveé Reserve</t>
  </si>
  <si>
    <t>QUEREU Late Harvest Sauvignon Blanc 2023 - 500 ml</t>
  </si>
  <si>
    <t>Valle del Maipo (María Pinto)</t>
  </si>
  <si>
    <t>VIÑA CASA RIVAS</t>
  </si>
  <si>
    <t>CASA RIVAS Sauvignon Blanc 2023</t>
  </si>
  <si>
    <t>CASA RIVAS Chardonnay 2024</t>
  </si>
  <si>
    <t>CASA RIVAS Cabernet Sauvignon 2024</t>
  </si>
  <si>
    <t>CASA RIVAS Carménère 2023</t>
  </si>
  <si>
    <t>CASA RIVAS Carménère Reserva 2018</t>
  </si>
  <si>
    <t>Valle de Santo Antonio (Leyda)</t>
  </si>
  <si>
    <t>AYLIN Sauvignon Blanc 2024</t>
  </si>
  <si>
    <t>A R G E N T I N A</t>
  </si>
  <si>
    <t>Mendoza</t>
  </si>
  <si>
    <t>FABRE MONTMAYOU</t>
  </si>
  <si>
    <t>TEMPORADA Chardonnay 2025</t>
  </si>
  <si>
    <t>FABRE MONTMAYOU Torrontés 2025</t>
  </si>
  <si>
    <t>FABRE MONTMAYOU Reserva Chardonnay 2024</t>
  </si>
  <si>
    <t>FABRE MONTMAYOU Reserva Chardonnay 2024 - 375 ml</t>
  </si>
  <si>
    <t>FABRE MONTMAYOU Rosé 2023</t>
  </si>
  <si>
    <t>TEMPORADA Malbec 2025</t>
  </si>
  <si>
    <t>TEMPORADA Cabernet Sauvignon 2025</t>
  </si>
  <si>
    <t>FABRE MONTMAYOU Reserva Cabernet Franc 2024</t>
  </si>
  <si>
    <t>FABRE MONTMAYOU Reserva Cabernet Sauvignon 2022</t>
  </si>
  <si>
    <t>FABRE MONTMAYOU Reserva Cabernet Sauvignon 2024</t>
  </si>
  <si>
    <t>FABRE MONTMAYOU Reserva Malbec 2024</t>
  </si>
  <si>
    <t xml:space="preserve">FABRE MONTMAYOU Reserva Malbec 2021 - 375 ml </t>
  </si>
  <si>
    <t>FABRE MONTMAYOU Reserva Malbec 2024 - Magnum</t>
  </si>
  <si>
    <t>FABRE MONTMAYOU Reserva Merlot 2023</t>
  </si>
  <si>
    <t>FABRE MONTMAYOU Gran Reserva Cabernet Sauvignon 2023</t>
  </si>
  <si>
    <t>FABRE MONTMAYOU Gran Reserva Malbec 2023</t>
  </si>
  <si>
    <t xml:space="preserve">FABRE MONTMAYOU Gran Reserva Malbec 2021 - Magnum </t>
  </si>
  <si>
    <r>
      <t xml:space="preserve">FABRE MONTMAYOU Grand Vin 2020 - </t>
    </r>
    <r>
      <rPr>
        <b/>
        <sz val="12"/>
        <rFont val="Calibri"/>
        <family val="2"/>
        <charset val="1"/>
      </rPr>
      <t>S.E.</t>
    </r>
  </si>
  <si>
    <r>
      <t xml:space="preserve">FABRE MONTMAYOU Grand Vin 2023 - </t>
    </r>
    <r>
      <rPr>
        <b/>
        <sz val="12"/>
        <rFont val="Calibri"/>
        <family val="2"/>
        <charset val="1"/>
      </rPr>
      <t>S.E.</t>
    </r>
  </si>
  <si>
    <t>GEN DEL ALMA</t>
  </si>
  <si>
    <t>GEN DEL ALMA Jijiji Chenin Blanc 2024</t>
  </si>
  <si>
    <t>GEN DEL ALMA Otra Piel Chardonnay 2021</t>
  </si>
  <si>
    <t>GEN DEL ALMA Jijiji Malbec Pinot Noir 2023</t>
  </si>
  <si>
    <t>GEN DEL ALMA Gene 2021</t>
  </si>
  <si>
    <t>GEN DEL ALMA Superlogico Malbec 2022</t>
  </si>
  <si>
    <t>GEN DEL ALMA Crua Chan Malbec 2020</t>
  </si>
  <si>
    <t>GEN DEL ALMA Otra Piel Blend 2020</t>
  </si>
  <si>
    <t>GEN DEL ALMA Otra Piel Blend 2022</t>
  </si>
  <si>
    <r>
      <t>GEN DEL ALMA Seminare Malbec 2020 -</t>
    </r>
    <r>
      <rPr>
        <b/>
        <sz val="12"/>
        <rFont val="Calibri"/>
        <family val="2"/>
        <charset val="1"/>
      </rPr>
      <t xml:space="preserve"> S.E.</t>
    </r>
  </si>
  <si>
    <r>
      <t>GEN DEL ALMA Seminare Malbec 2021 -</t>
    </r>
    <r>
      <rPr>
        <b/>
        <sz val="12"/>
        <rFont val="Calibri"/>
        <family val="2"/>
        <charset val="1"/>
      </rPr>
      <t xml:space="preserve"> S.E.</t>
    </r>
  </si>
  <si>
    <t>LA CONSULTA</t>
  </si>
  <si>
    <t>LA CONSULTA Chardonnay 2024</t>
  </si>
  <si>
    <t>LA CONSULTA Malbec 2025</t>
  </si>
  <si>
    <t>LA CONSULTA Cabernet Sauvignon 2024</t>
  </si>
  <si>
    <t>LA CONSULTA Reserva Malbec 2024</t>
  </si>
  <si>
    <t>PASO A PASO</t>
  </si>
  <si>
    <t>PASO A PASO Las Criollas de Don Graciano Blanco 2024</t>
  </si>
  <si>
    <t>PASO A PASO Las Criollas de Don Graciano Bajo Velo 2024</t>
  </si>
  <si>
    <t>PASO A PASO Vino de Garage Skin Contact 2025</t>
  </si>
  <si>
    <t>PASO A PASO Los Abandonados Sémillon 2022</t>
  </si>
  <si>
    <t>PASO A PASO Este Extremo 2023</t>
  </si>
  <si>
    <t>PASO A PASO Las Criollas de Don Graciano Rosé 2024</t>
  </si>
  <si>
    <t>PASO A PASO Las Criollas de Don Graciano Clarete 2024</t>
  </si>
  <si>
    <t>PASO A PASO Las Criollas de Don Graciano Tinto Maceración Carbónica 2025</t>
  </si>
  <si>
    <t>PASO A PASO Vino de Garage Malbec 2023</t>
  </si>
  <si>
    <t>PASO A PASO Vino de Garage Cabernet Franc 2022</t>
  </si>
  <si>
    <t>PASO A PASO Vino de Garage Bonarda 2024</t>
  </si>
  <si>
    <t>PASO A PASO Vino de Garage Blend Tinto 2023</t>
  </si>
  <si>
    <t>PASO A PASO Los Abandonados Cabernet Franc 2021</t>
  </si>
  <si>
    <t>PASO A PASO Los Abandonados Cabernet Sauvignon 2021</t>
  </si>
  <si>
    <t>PASO A PASO Los Abandonados Merlot 2021</t>
  </si>
  <si>
    <t>PASO A PASO Los Abandonados Pinot Noir 2025</t>
  </si>
  <si>
    <t>PASO A PASO Los Abandonados Corte Negro 2021</t>
  </si>
  <si>
    <t>PASO A PASO Norte Extremo Cabernet Sauvignon 2022</t>
  </si>
  <si>
    <t>Patagônia</t>
  </si>
  <si>
    <t>BODEGAS FABRE</t>
  </si>
  <si>
    <t>FABRE MONTMAYOU Barrel Selection Cabernet Sauvignon 2024</t>
  </si>
  <si>
    <t>FABRE MONTMAYOU Barrel Selection Malbec 2024</t>
  </si>
  <si>
    <t>FABRE MONTMAYOU Gran Reserva Merlot 2019</t>
  </si>
  <si>
    <t>FABRE MONTMAYOU Gran Reserva Merlot 2023</t>
  </si>
  <si>
    <t>U R U G U A I</t>
  </si>
  <si>
    <t>Canelones</t>
  </si>
  <si>
    <t>DE LUCCA WINES</t>
  </si>
  <si>
    <t>DE LUCCA Marsanne Reserva 2024</t>
  </si>
  <si>
    <t>DE LUCCA Indígena Viognier 2024</t>
  </si>
  <si>
    <t>DE LUCCA Naranja Marsanne 2024</t>
  </si>
  <si>
    <t>DE LUCCA Tannat/Merlot Reserva 2023</t>
  </si>
  <si>
    <t>DE LUCCA Tannat/Merlot Reserva 2025</t>
  </si>
  <si>
    <t>DE LUCCA Tannat Reserva 2023</t>
  </si>
  <si>
    <t>DE LUCCA Libero Tannat Reserva 2024</t>
  </si>
  <si>
    <t>DE LUCCA Merlot Reserva 2019</t>
  </si>
  <si>
    <t>DE LUCCA Cabernet Sauvignon Reserva 2020</t>
  </si>
  <si>
    <t>DE LUCCA Tano Tannat Natural 2024</t>
  </si>
  <si>
    <t>DE LUCCA Indígena Tannat Merlot 2024</t>
  </si>
  <si>
    <t>DE LUCCA Indígena Merlot 2024</t>
  </si>
  <si>
    <t>DE LUCCA Pinot Noir Reserve Finca Agostina 2025</t>
  </si>
  <si>
    <t>DE LUCCA Nero D'Avola Single Vineyard 2021</t>
  </si>
  <si>
    <t xml:space="preserve">DE LUCCA Rio Colorado 2018 </t>
  </si>
  <si>
    <t>N OV A    Z E L Â N D I A</t>
  </si>
  <si>
    <t>Canterbury (Ilha Sul)</t>
  </si>
  <si>
    <t>PEGASUS BAY</t>
  </si>
  <si>
    <r>
      <t xml:space="preserve">PEGASUS BAY Sauvignon/Semillon 2017 - </t>
    </r>
    <r>
      <rPr>
        <b/>
        <sz val="12"/>
        <rFont val="Calibri"/>
        <family val="2"/>
        <charset val="1"/>
      </rPr>
      <t>S.E.</t>
    </r>
  </si>
  <si>
    <r>
      <t xml:space="preserve">PEGASUS BAY Sauvignon/Semillon 2020 - </t>
    </r>
    <r>
      <rPr>
        <b/>
        <sz val="12"/>
        <rFont val="Calibri"/>
        <family val="2"/>
        <charset val="1"/>
      </rPr>
      <t>S.E.</t>
    </r>
  </si>
  <si>
    <r>
      <t xml:space="preserve">PEGASUS BAY Riesling 2012 - </t>
    </r>
    <r>
      <rPr>
        <b/>
        <sz val="12"/>
        <rFont val="Calibri"/>
        <family val="2"/>
        <charset val="1"/>
      </rPr>
      <t>S.E.</t>
    </r>
  </si>
  <si>
    <r>
      <t xml:space="preserve">PEGASUS BAY Bel Canto Dry Riesling 2019 - </t>
    </r>
    <r>
      <rPr>
        <b/>
        <sz val="12"/>
        <rFont val="Calibri"/>
        <family val="2"/>
        <charset val="1"/>
      </rPr>
      <t>S.E.</t>
    </r>
  </si>
  <si>
    <r>
      <t xml:space="preserve">PEGASUS BAY Pinot Noir 2021 -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</si>
  <si>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PEGASUS BAY Riesling Aria 2018 - </t>
    </r>
    <r>
      <rPr>
        <b/>
        <sz val="12"/>
        <color rgb="FF000000"/>
        <rFont val="Calibri"/>
        <family val="2"/>
        <charset val="1"/>
      </rPr>
      <t>S.E.</t>
    </r>
  </si>
  <si>
    <t>Central Otago (Ilha Sul)</t>
  </si>
  <si>
    <t>BURN COTTAGE VINEYARD - BIO</t>
  </si>
  <si>
    <r>
      <t xml:space="preserve">BURN COTTAGE Moonlight Race Pinot Noir 2015 - </t>
    </r>
    <r>
      <rPr>
        <b/>
        <sz val="12"/>
        <rFont val="Calibri"/>
        <family val="2"/>
        <charset val="1"/>
      </rPr>
      <t>S.E.</t>
    </r>
  </si>
  <si>
    <r>
      <t xml:space="preserve">BURN COTTAGE Moonlight Race Pinot Noir 2016 - </t>
    </r>
    <r>
      <rPr>
        <b/>
        <sz val="12"/>
        <rFont val="Calibri"/>
        <family val="2"/>
        <charset val="1"/>
      </rPr>
      <t>S.E.</t>
    </r>
  </si>
  <si>
    <r>
      <t xml:space="preserve">BURN COTTAGE Moonlight Race Pinot Noir 2018 - </t>
    </r>
    <r>
      <rPr>
        <b/>
        <sz val="12"/>
        <rFont val="Calibri"/>
        <family val="2"/>
        <charset val="1"/>
      </rPr>
      <t>S.E.</t>
    </r>
  </si>
  <si>
    <r>
      <t xml:space="preserve">BURN COTTAGE Pinot Noir 2018 - </t>
    </r>
    <r>
      <rPr>
        <b/>
        <sz val="12"/>
        <rFont val="Calibri"/>
        <family val="2"/>
        <charset val="1"/>
      </rPr>
      <t>S.E.</t>
    </r>
  </si>
  <si>
    <t>RIPPON VINEYARD AND WINERY - BIO</t>
  </si>
  <si>
    <t xml:space="preserve">RIPPON Riesling 2021 </t>
  </si>
  <si>
    <t xml:space="preserve">RIPPON Riesling 2022 </t>
  </si>
  <si>
    <t>RIPPON Gewurztraminer 2018</t>
  </si>
  <si>
    <t>RIPPON Gewurztraminer 2023</t>
  </si>
  <si>
    <r>
      <t xml:space="preserve">RIPPON Pinot Noir 2017 - </t>
    </r>
    <r>
      <rPr>
        <b/>
        <sz val="12"/>
        <rFont val="Calibri"/>
        <family val="2"/>
        <charset val="1"/>
      </rPr>
      <t>S.E.</t>
    </r>
  </si>
  <si>
    <r>
      <t xml:space="preserve">RIPPON Pinot Noir 2019 - </t>
    </r>
    <r>
      <rPr>
        <b/>
        <sz val="12"/>
        <rFont val="Calibri"/>
        <family val="2"/>
        <charset val="1"/>
      </rPr>
      <t>S.E.</t>
    </r>
  </si>
  <si>
    <r>
      <t xml:space="preserve">RIPPON Pinot Noir 2020 - </t>
    </r>
    <r>
      <rPr>
        <b/>
        <sz val="12"/>
        <rFont val="Calibri"/>
        <family val="2"/>
        <charset val="1"/>
      </rPr>
      <t>S.E.</t>
    </r>
  </si>
  <si>
    <r>
      <t xml:space="preserve">RIPPON Pinot Noir 2022 - </t>
    </r>
    <r>
      <rPr>
        <b/>
        <sz val="12"/>
        <rFont val="Calibri"/>
        <family val="2"/>
        <charset val="1"/>
      </rPr>
      <t>S.E.</t>
    </r>
  </si>
  <si>
    <r>
      <t xml:space="preserve">RIPPON Emma's Block Pinot Noir 2020 -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</si>
  <si>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RIPPON Tinker's Field Pinot Noir 2017 -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</si>
  <si>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RIPPON Tinker's Field Pinot Noir 2020 - </t>
    </r>
    <r>
      <rPr>
        <b/>
        <sz val="12"/>
        <color rgb="FF000000"/>
        <rFont val="Calibri"/>
        <family val="2"/>
        <charset val="1"/>
      </rPr>
      <t xml:space="preserve">S.E. </t>
    </r>
  </si>
  <si>
    <r>
      <t xml:space="preserve">RIPPON Tinker's Field Pinot Noir 2022 - </t>
    </r>
    <r>
      <rPr>
        <b/>
        <sz val="12"/>
        <color rgb="FF000000"/>
        <rFont val="Calibri"/>
        <family val="2"/>
        <charset val="1"/>
      </rPr>
      <t xml:space="preserve">S.E. </t>
    </r>
  </si>
  <si>
    <t>Marlborough (Ilha Sul)</t>
  </si>
  <si>
    <t>HUNTER'S WINES</t>
  </si>
  <si>
    <t xml:space="preserve">HUNTER'S Miru Miru NV </t>
  </si>
  <si>
    <t>STONEBURN Gewürztraminer 2025</t>
  </si>
  <si>
    <t>STONEBURN Sauvignon Blanc 2025</t>
  </si>
  <si>
    <t>STONEBURN Sauvignon Blanc 2023 - 375 ml</t>
  </si>
  <si>
    <t>STONEBURN Riesling 2023</t>
  </si>
  <si>
    <t>HUNTER'S Riesling 2022</t>
  </si>
  <si>
    <t>HUNTER'S Sauvignon Blanc 2025</t>
  </si>
  <si>
    <t>HUNTER'S Chardonnay 2020</t>
  </si>
  <si>
    <t>STONEBURN Pinot Noir 2024</t>
  </si>
  <si>
    <t>HUNTER'S Pinot Noir 2021</t>
  </si>
  <si>
    <t>HUNTER'S Pinot Noir 2022</t>
  </si>
  <si>
    <t xml:space="preserve"> Waitaki Valley (Ilha Sul)</t>
  </si>
  <si>
    <t xml:space="preserve">OSTLER VINEYARDS </t>
  </si>
  <si>
    <t>OSTLER Waitaki Valley Pinot Noir 2018</t>
  </si>
  <si>
    <r>
      <t xml:space="preserve">OSTLER Caroline's Pinot Noir 2018 - </t>
    </r>
    <r>
      <rPr>
        <b/>
        <sz val="12"/>
        <rFont val="Calibri"/>
        <family val="2"/>
        <charset val="1"/>
      </rPr>
      <t>S.E.</t>
    </r>
  </si>
  <si>
    <t>Hawke's Bay (Ilha Norte)</t>
  </si>
  <si>
    <t>BROOKFIELDS VINEYARD</t>
  </si>
  <si>
    <t>BROOKFIELDS Bergman Chardonnay 2023</t>
  </si>
  <si>
    <t>BROOKFIELDS Ohiti Estate Cabernet Sauvignon 2021</t>
  </si>
  <si>
    <r>
      <t xml:space="preserve">BROOKFIELDS Gold Label Cabernet/Merlot 2021 - </t>
    </r>
    <r>
      <rPr>
        <b/>
        <sz val="12"/>
        <rFont val="Calibri"/>
        <family val="2"/>
      </rPr>
      <t>S.E.</t>
    </r>
  </si>
  <si>
    <t>CLEARVIEW ESTATE</t>
  </si>
  <si>
    <t>CLEARVIEW Coastal Chardonnay 2021</t>
  </si>
  <si>
    <t xml:space="preserve">CLEARVIEW Sauvignon Blanc Reserve 2014 </t>
  </si>
  <si>
    <r>
      <t xml:space="preserve">CLEARVIEW Chardonnay Reserve 2014 - </t>
    </r>
    <r>
      <rPr>
        <b/>
        <sz val="12"/>
        <rFont val="Calibri"/>
        <family val="2"/>
        <charset val="1"/>
      </rPr>
      <t>S.E.</t>
    </r>
  </si>
  <si>
    <r>
      <t xml:space="preserve">CLEARVIEW Old Olive Block 2010 </t>
    </r>
    <r>
      <rPr>
        <b/>
        <sz val="12"/>
        <color rgb="FF000000"/>
        <rFont val="Calibri"/>
        <family val="2"/>
        <charset val="1"/>
      </rPr>
      <t>- S.E.</t>
    </r>
  </si>
  <si>
    <t>TRINITY HILL</t>
  </si>
  <si>
    <t>TRINITY HILL Hawke's Bay Sauvignon Blanc 2023</t>
  </si>
  <si>
    <t>TRINITY HILL Hawke's Bay Chardonnay 2021</t>
  </si>
  <si>
    <r>
      <t xml:space="preserve">TRINITY HILL Gimblett Gravels Viognier 2012 - </t>
    </r>
    <r>
      <rPr>
        <b/>
        <sz val="12"/>
        <rFont val="Calibri"/>
        <family val="2"/>
        <charset val="1"/>
      </rPr>
      <t>S.E.</t>
    </r>
  </si>
  <si>
    <r>
      <t xml:space="preserve">TRINITY HILL Gimblett Gravels Chardonnay 2023 - </t>
    </r>
    <r>
      <rPr>
        <b/>
        <sz val="12"/>
        <rFont val="Calibri"/>
        <family val="2"/>
        <charset val="1"/>
      </rPr>
      <t>S.E.</t>
    </r>
  </si>
  <si>
    <t>TRINITY HILL Hawke's Bay Syrah 2022</t>
  </si>
  <si>
    <t>TRINITY HILL Hawke's Bay Pinot Noir 2023</t>
  </si>
  <si>
    <t>TRINITY HILL Hawke's Bay The Trinity 2021</t>
  </si>
  <si>
    <t>TRINITY HILL Gimblett Gravels Syrah 2021</t>
  </si>
  <si>
    <t xml:space="preserve">TRINITY HILL Gimblett Gravels The Gimblett 2012 </t>
  </si>
  <si>
    <t xml:space="preserve">TRINITY HILL Gimblett Gravels The Gimblett 2021 </t>
  </si>
  <si>
    <r>
      <t>TRINITY HILL Homage Syrah 2014 -</t>
    </r>
    <r>
      <rPr>
        <b/>
        <sz val="12"/>
        <color rgb="FF000000"/>
        <rFont val="Calibri"/>
        <family val="2"/>
        <charset val="1"/>
      </rPr>
      <t xml:space="preserve"> S.E.</t>
    </r>
  </si>
  <si>
    <t>Martinborough (Ilha Norte)</t>
  </si>
  <si>
    <t>ATA RANGI VINEYARD</t>
  </si>
  <si>
    <t>ATA RANGI Te Wa Sauvignon Blanc 2024</t>
  </si>
  <si>
    <t>ATA RANGI Potiki Chardonnay 2023</t>
  </si>
  <si>
    <t>CRIMSON Pinot Noir 2020</t>
  </si>
  <si>
    <r>
      <t xml:space="preserve">ATA RANGI Célèbre - </t>
    </r>
    <r>
      <rPr>
        <b/>
        <sz val="12"/>
        <rFont val="Calibri"/>
        <family val="2"/>
        <charset val="1"/>
      </rPr>
      <t>S.E.</t>
    </r>
  </si>
  <si>
    <r>
      <t xml:space="preserve">ATA RANGI Pinot Noir 2016 -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</si>
  <si>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ATA RANGI Pinot Noir 2018 - </t>
    </r>
    <r>
      <rPr>
        <b/>
        <sz val="12"/>
        <color rgb="FF000000"/>
        <rFont val="Calibri"/>
        <family val="2"/>
        <charset val="1"/>
      </rPr>
      <t>S.E.</t>
    </r>
  </si>
  <si>
    <r>
      <t xml:space="preserve">ATA RANGI Pinot Noir 2022 - </t>
    </r>
    <r>
      <rPr>
        <b/>
        <sz val="12"/>
        <color rgb="FF000000"/>
        <rFont val="Calibri"/>
        <family val="2"/>
        <charset val="1"/>
      </rPr>
      <t>S.E.</t>
    </r>
  </si>
  <si>
    <t>PALLISER ESTATE WINES</t>
  </si>
  <si>
    <t>PENCARROW Sauvignon Blanc 2025</t>
  </si>
  <si>
    <t>PALLISER Sauvignon Blanc 2023</t>
  </si>
  <si>
    <t>PENCARROW Pinot Noir 2021</t>
  </si>
  <si>
    <t xml:space="preserve">PALLISER ESTATE Pinot Noir 2019 </t>
  </si>
  <si>
    <t>Todas as garrafas contém 750ml, exceto quando indicado a quantidade diferente dessa.</t>
  </si>
  <si>
    <t>BIO - Produtor/Vinho Biodinâmico</t>
  </si>
  <si>
    <t>ORG - Produtor/Vinho Orgânico</t>
  </si>
  <si>
    <t>PREMIUM IMPORTAÇÃO EXPORTAÇÃO E COMÉRCIO LTDA</t>
  </si>
  <si>
    <t>Rua Prof. Estevão Pinto, 351 - Serra - Belo Horizonte -MG - CEP: 30.220-060</t>
  </si>
  <si>
    <t>Rua Jorge Rizzo, 115 - Pinheiros - São Paulo - SP - CEP: 05.424-060</t>
  </si>
  <si>
    <t>Contato: (31) 3282 1588 e (11) 2574-8303 - Instagram: @prem1umwines</t>
  </si>
  <si>
    <t>PREÇO FINAL C/IPI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</si>
</sst>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  <charset val="1"/>
    </font>
    <font>
      <b/>
      <sz val="16"/>
      <name val="Calibri"/>
      <family val="2"/>
      <charset val="1"/>
    </font>
    <font>
      <b/>
      <sz val="9"/>
      <name val="Calibri"/>
      <family val="2"/>
      <charset val="1"/>
    </font>
    <font>
      <b/>
      <sz val="11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6"/>
      <color rgb="FF000000"/>
      <name val="Cormorant Garamond SemiBold"/>
    </font>
    <font>
      <sz val="9"/>
      <color rgb="FF000000"/>
      <name val="Calibri"/>
      <family val="2"/>
      <charset val="1"/>
    </font>
    <font>
      <b/>
      <i/>
      <sz val="16"/>
      <color rgb="FFC65911"/>
      <name val="Cormorant Garamond"/>
    </font>
    <font>
      <b/>
      <sz val="18"/>
      <name val="Calibri"/>
      <family val="2"/>
    </font>
    <font>
      <b/>
      <sz val="14"/>
      <color rgb="FF000000"/>
      <name val="Cormorant Garamond SemiBold"/>
    </font>
    <font>
      <b/>
      <sz val="14"/>
      <color rgb="FFC65911"/>
      <name val="Calibri"/>
      <family val="2"/>
    </font>
    <font>
      <b/>
      <sz val="14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  <charset val="1"/>
    </font>
    <font>
      <b/>
      <i/>
      <sz val="14"/>
      <name val="Calibri"/>
      <family val="2"/>
      <charset val="1"/>
    </font>
    <font>
      <b/>
      <i/>
      <sz val="12"/>
      <name val="Calibri"/>
      <family val="2"/>
    </font>
    <font>
      <sz val="14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1"/>
      <name val="Calibri"/>
      <family val="2"/>
      <charset val="1"/>
    </font>
    <font>
      <b/>
      <sz val="18"/>
      <color rgb="FF000000"/>
      <name val="Cormorant Garamond SemiBold"/>
    </font>
    <font>
      <sz val="6"/>
      <name val="Arial"/>
      <family val="2"/>
      <charset val="1"/>
    </font>
    <font>
      <b/>
      <sz val="12"/>
      <color theme="1"/>
      <name val="Calibri"/>
      <family val="2"/>
    </font>
    <font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/>
      <sz val="12"/>
      <color rgb="FFFF0000"/>
      <name val="Calibri"/>
      <family val="2"/>
    </font>
    <font>
      <sz val="6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6"/>
      <name val="Calibri"/>
      <family val="2"/>
      <charset val="1"/>
    </font>
    <font>
      <b/>
      <i/>
      <sz val="12"/>
      <color rgb="FFC65911"/>
      <name val="Cormorant Garamond"/>
    </font>
    <font>
      <sz val="12"/>
      <color rgb="FF000000"/>
      <name val="Aptos Narrow"/>
      <family val="2"/>
      <scheme val="minor"/>
    </font>
    <font>
      <b/>
      <i/>
      <sz val="12"/>
      <name val="Calibri"/>
      <family val="2"/>
      <charset val="1"/>
    </font>
    <font>
      <b/>
      <sz val="14"/>
      <name val="Calibri"/>
      <family val="2"/>
    </font>
    <font>
      <sz val="10"/>
      <name val="Calibri"/>
      <family val="2"/>
      <charset val="1"/>
    </font>
    <font>
      <sz val="12"/>
      <color rgb="FF663300"/>
      <name val="Trebuchet MS"/>
      <family val="2"/>
      <charset val="1"/>
    </font>
    <font>
      <sz val="11"/>
      <color rgb="FF663300"/>
      <name val="Trebuchet MS"/>
      <family val="2"/>
      <charset val="1"/>
    </font>
    <font>
      <sz val="12"/>
      <color rgb="FF000000"/>
      <name val="Calibri"/>
      <family val="2"/>
    </font>
    <font>
      <sz val="14"/>
      <color rgb="FF000000"/>
      <name val="Calibri"/>
      <family val="2"/>
      <charset val="1"/>
    </font>
    <font>
      <sz val="6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/>
    </xf>
    <xf numFmtId="0" fontId="14" fillId="2" borderId="0" xfId="0" applyFont="1" applyFill="1"/>
    <xf numFmtId="0" fontId="14" fillId="4" borderId="0" xfId="0" applyFont="1" applyFill="1"/>
    <xf numFmtId="0" fontId="14" fillId="6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6" fillId="6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2" fillId="2" borderId="0" xfId="0" applyFont="1" applyFill="1"/>
    <xf numFmtId="0" fontId="19" fillId="2" borderId="0" xfId="0" applyFont="1" applyFill="1"/>
    <xf numFmtId="0" fontId="3" fillId="2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6" fillId="3" borderId="0" xfId="0" applyFont="1" applyFill="1" applyAlignment="1">
      <alignment horizontal="left"/>
    </xf>
    <xf numFmtId="0" fontId="14" fillId="3" borderId="0" xfId="0" applyFont="1" applyFill="1"/>
    <xf numFmtId="0" fontId="15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10" fillId="3" borderId="0" xfId="0" applyFont="1" applyFill="1" applyAlignment="1">
      <alignment vertical="top" textRotation="255"/>
    </xf>
    <xf numFmtId="0" fontId="13" fillId="3" borderId="0" xfId="0" applyFont="1" applyFill="1" applyAlignment="1">
      <alignment horizontal="left"/>
    </xf>
    <xf numFmtId="0" fontId="19" fillId="6" borderId="0" xfId="0" applyFont="1" applyFill="1" applyAlignment="1">
      <alignment horizontal="center"/>
    </xf>
    <xf numFmtId="0" fontId="16" fillId="4" borderId="0" xfId="0" applyFont="1" applyFill="1"/>
    <xf numFmtId="0" fontId="16" fillId="6" borderId="0" xfId="0" applyFont="1" applyFill="1"/>
    <xf numFmtId="0" fontId="20" fillId="6" borderId="0" xfId="0" applyFont="1" applyFill="1" applyAlignment="1">
      <alignment horizontal="center"/>
    </xf>
    <xf numFmtId="0" fontId="2" fillId="6" borderId="0" xfId="0" applyFont="1" applyFill="1"/>
    <xf numFmtId="0" fontId="19" fillId="6" borderId="0" xfId="0" applyFont="1" applyFill="1"/>
    <xf numFmtId="0" fontId="21" fillId="6" borderId="0" xfId="0" applyFont="1" applyFill="1"/>
    <xf numFmtId="0" fontId="14" fillId="0" borderId="0" xfId="0" applyFont="1"/>
    <xf numFmtId="0" fontId="14" fillId="3" borderId="0" xfId="0" applyFont="1" applyFill="1" applyAlignment="1">
      <alignment vertical="center"/>
    </xf>
    <xf numFmtId="0" fontId="14" fillId="6" borderId="0" xfId="0" applyFont="1" applyFill="1"/>
    <xf numFmtId="0" fontId="21" fillId="3" borderId="0" xfId="0" applyFont="1" applyFill="1" applyAlignment="1">
      <alignment horizontal="right"/>
    </xf>
    <xf numFmtId="0" fontId="10" fillId="3" borderId="0" xfId="0" applyFont="1" applyFill="1" applyAlignment="1">
      <alignment horizontal="center" vertical="top" textRotation="255"/>
    </xf>
    <xf numFmtId="0" fontId="13" fillId="6" borderId="0" xfId="0" applyFont="1" applyFill="1" applyAlignment="1">
      <alignment horizontal="left"/>
    </xf>
    <xf numFmtId="0" fontId="14" fillId="4" borderId="0" xfId="0" applyFont="1" applyFill="1" applyAlignment="1">
      <alignment vertical="center"/>
    </xf>
    <xf numFmtId="0" fontId="5" fillId="3" borderId="0" xfId="0" applyFont="1" applyFill="1"/>
    <xf numFmtId="0" fontId="24" fillId="6" borderId="0" xfId="0" applyFont="1" applyFill="1"/>
    <xf numFmtId="0" fontId="14" fillId="5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5" fillId="6" borderId="0" xfId="0" applyFont="1" applyFill="1" applyAlignment="1">
      <alignment horizontal="left"/>
    </xf>
    <xf numFmtId="0" fontId="14" fillId="3" borderId="0" xfId="0" applyFont="1" applyFill="1" applyAlignment="1">
      <alignment horizontal="right"/>
    </xf>
    <xf numFmtId="0" fontId="14" fillId="5" borderId="0" xfId="0" applyFont="1" applyFill="1"/>
    <xf numFmtId="0" fontId="10" fillId="3" borderId="0" xfId="0" applyFont="1" applyFill="1" applyAlignment="1">
      <alignment vertical="center" textRotation="255"/>
    </xf>
    <xf numFmtId="0" fontId="26" fillId="0" borderId="0" xfId="0" applyFont="1"/>
    <xf numFmtId="0" fontId="13" fillId="2" borderId="0" xfId="0" applyFont="1" applyFill="1" applyAlignment="1">
      <alignment horizontal="left"/>
    </xf>
    <xf numFmtId="0" fontId="14" fillId="6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21" fillId="2" borderId="0" xfId="0" applyFont="1" applyFill="1"/>
    <xf numFmtId="0" fontId="28" fillId="0" borderId="0" xfId="0" applyFont="1"/>
    <xf numFmtId="0" fontId="30" fillId="0" borderId="0" xfId="0" applyFont="1"/>
    <xf numFmtId="0" fontId="14" fillId="5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/>
    </xf>
    <xf numFmtId="0" fontId="16" fillId="2" borderId="0" xfId="0" applyFont="1" applyFill="1"/>
    <xf numFmtId="0" fontId="16" fillId="5" borderId="0" xfId="0" applyFont="1" applyFill="1"/>
    <xf numFmtId="0" fontId="16" fillId="0" borderId="0" xfId="0" applyFont="1"/>
    <xf numFmtId="0" fontId="16" fillId="3" borderId="0" xfId="0" applyFont="1" applyFill="1"/>
    <xf numFmtId="0" fontId="34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35" fillId="0" borderId="0" xfId="0" applyFont="1"/>
    <xf numFmtId="0" fontId="35" fillId="5" borderId="0" xfId="0" applyFont="1" applyFill="1"/>
    <xf numFmtId="0" fontId="35" fillId="3" borderId="0" xfId="0" applyFont="1" applyFill="1"/>
    <xf numFmtId="0" fontId="15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5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4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4" fillId="2" borderId="0" xfId="0" applyFont="1" applyFill="1"/>
    <xf numFmtId="0" fontId="38" fillId="7" borderId="0" xfId="0" applyFont="1" applyFill="1"/>
    <xf numFmtId="0" fontId="17" fillId="2" borderId="0" xfId="0" applyFont="1" applyFill="1" applyAlignment="1">
      <alignment horizontal="left"/>
    </xf>
    <xf numFmtId="0" fontId="39" fillId="2" borderId="0" xfId="0" applyFont="1" applyFill="1"/>
    <xf numFmtId="0" fontId="40" fillId="2" borderId="0" xfId="0" applyFont="1" applyFill="1" applyAlignment="1">
      <alignment horizontal="left"/>
    </xf>
    <xf numFmtId="0" fontId="41" fillId="2" borderId="0" xfId="0" applyFont="1" applyFill="1" applyAlignment="1">
      <alignment horizontal="right"/>
    </xf>
    <xf numFmtId="0" fontId="24" fillId="2" borderId="0" xfId="0" applyFont="1" applyFill="1" applyAlignment="1">
      <alignment horizontal="left"/>
    </xf>
    <xf numFmtId="0" fontId="39" fillId="2" borderId="0" xfId="0" applyFont="1" applyFill="1" applyAlignment="1">
      <alignment horizontal="center"/>
    </xf>
    <xf numFmtId="0" fontId="2" fillId="3" borderId="0" xfId="0" applyFont="1" applyFill="1"/>
    <xf numFmtId="0" fontId="44" fillId="5" borderId="0" xfId="0" applyFont="1" applyFill="1"/>
    <xf numFmtId="0" fontId="45" fillId="0" borderId="0" xfId="0" applyFont="1" applyAlignment="1">
      <alignment horizontal="center" vertical="center"/>
    </xf>
    <xf numFmtId="0" fontId="47" fillId="2" borderId="1" xfId="0" applyFont="1" applyFill="1" applyBorder="1"/>
    <xf numFmtId="0" fontId="0" fillId="3" borderId="0" xfId="0" applyFill="1"/>
    <xf numFmtId="0" fontId="46" fillId="3" borderId="0" xfId="0" applyFont="1" applyFill="1" applyAlignment="1">
      <alignment horizontal="right"/>
    </xf>
    <xf numFmtId="0" fontId="48" fillId="6" borderId="0" xfId="0" applyFont="1" applyFill="1"/>
    <xf numFmtId="0" fontId="26" fillId="3" borderId="0" xfId="0" applyFont="1" applyFill="1"/>
    <xf numFmtId="0" fontId="48" fillId="3" borderId="0" xfId="0" applyFont="1" applyFill="1" applyAlignment="1">
      <alignment horizontal="right"/>
    </xf>
    <xf numFmtId="0" fontId="48" fillId="6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6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/>
    <xf numFmtId="0" fontId="3" fillId="3" borderId="0" xfId="0" applyFont="1" applyFill="1"/>
    <xf numFmtId="0" fontId="2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vertical="top" textRotation="255"/>
    </xf>
    <xf numFmtId="0" fontId="16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top" textRotation="255"/>
    </xf>
    <xf numFmtId="0" fontId="30" fillId="3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6" fillId="6" borderId="0" xfId="0" applyFont="1" applyFill="1"/>
    <xf numFmtId="0" fontId="16" fillId="3" borderId="0" xfId="0" applyFont="1" applyFill="1" applyAlignment="1">
      <alignment horizontal="center"/>
    </xf>
    <xf numFmtId="0" fontId="16" fillId="3" borderId="0" xfId="0" applyFont="1" applyFill="1" applyAlignment="1">
      <alignment horizontal="right"/>
    </xf>
    <xf numFmtId="0" fontId="19" fillId="3" borderId="0" xfId="0" applyFont="1" applyFill="1" applyAlignment="1">
      <alignment horizontal="center"/>
    </xf>
    <xf numFmtId="0" fontId="32" fillId="3" borderId="0" xfId="0" applyFont="1" applyFill="1"/>
    <xf numFmtId="0" fontId="34" fillId="3" borderId="0" xfId="0" applyFont="1" applyFill="1" applyAlignment="1">
      <alignment horizontal="right" vertical="center"/>
    </xf>
    <xf numFmtId="0" fontId="34" fillId="3" borderId="0" xfId="0" applyFont="1" applyFill="1" applyAlignment="1">
      <alignment horizontal="left" vertical="center"/>
    </xf>
    <xf numFmtId="0" fontId="13" fillId="3" borderId="0" xfId="0" applyFont="1" applyFill="1" applyAlignment="1">
      <alignment vertical="top" textRotation="255"/>
    </xf>
    <xf numFmtId="0" fontId="36" fillId="3" borderId="0" xfId="0" applyFont="1" applyFill="1"/>
    <xf numFmtId="0" fontId="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37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17" fillId="3" borderId="0" xfId="0" applyFont="1" applyFill="1" applyAlignment="1">
      <alignment horizontal="center"/>
    </xf>
    <xf numFmtId="0" fontId="13" fillId="3" borderId="0" xfId="0" applyFont="1" applyFill="1" applyAlignment="1">
      <alignment horizontal="right"/>
    </xf>
    <xf numFmtId="0" fontId="40" fillId="3" borderId="0" xfId="0" applyFont="1" applyFill="1" applyAlignment="1">
      <alignment horizontal="left"/>
    </xf>
    <xf numFmtId="0" fontId="15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42" fillId="3" borderId="0" xfId="0" applyFont="1" applyFill="1" applyAlignment="1">
      <alignment horizontal="center"/>
    </xf>
    <xf numFmtId="0" fontId="42" fillId="3" borderId="0" xfId="0" applyFont="1" applyFill="1"/>
    <xf numFmtId="0" fontId="43" fillId="3" borderId="0" xfId="0" applyFont="1" applyFill="1"/>
    <xf numFmtId="0" fontId="30" fillId="3" borderId="0" xfId="0" applyFont="1" applyFill="1"/>
    <xf numFmtId="0" fontId="39" fillId="3" borderId="0" xfId="0" applyFont="1" applyFill="1" applyAlignment="1">
      <alignment horizontal="center"/>
    </xf>
    <xf numFmtId="0" fontId="45" fillId="3" borderId="0" xfId="0" applyFont="1" applyFill="1" applyAlignment="1">
      <alignment horizontal="right" vertical="center"/>
    </xf>
    <xf numFmtId="0" fontId="45" fillId="3" borderId="0" xfId="0" applyFont="1" applyFill="1"/>
    <xf numFmtId="0" fontId="45" fillId="3" borderId="0" xfId="0" applyFont="1" applyFill="1" applyAlignment="1">
      <alignment horizontal="left" vertical="center"/>
    </xf>
    <xf numFmtId="0" fontId="46" fillId="3" borderId="1" xfId="0" applyFont="1" applyFill="1" applyBorder="1" applyAlignment="1">
      <alignment horizontal="right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44" fontId="27" fillId="3" borderId="0" xfId="2" applyFont="1" applyFill="1" applyAlignment="1">
      <alignment horizontal="center"/>
    </xf>
    <xf numFmtId="0" fontId="0" fillId="0" borderId="0" xfId="0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15" fillId="5" borderId="0" xfId="0" applyNumberFormat="1" applyFont="1" applyFill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8" fillId="5" borderId="0" xfId="0" applyNumberFormat="1" applyFont="1" applyFill="1" applyAlignment="1">
      <alignment horizontal="center"/>
    </xf>
    <xf numFmtId="44" fontId="31" fillId="3" borderId="0" xfId="2" applyFont="1" applyFill="1" applyAlignment="1">
      <alignment horizontal="center"/>
    </xf>
    <xf numFmtId="2" fontId="18" fillId="3" borderId="0" xfId="0" applyNumberFormat="1" applyFont="1" applyFill="1" applyAlignment="1">
      <alignment horizontal="center"/>
    </xf>
    <xf numFmtId="2" fontId="22" fillId="5" borderId="0" xfId="0" applyNumberFormat="1" applyFont="1" applyFill="1" applyAlignment="1">
      <alignment horizontal="center"/>
    </xf>
    <xf numFmtId="2" fontId="17" fillId="4" borderId="0" xfId="0" applyNumberFormat="1" applyFont="1" applyFill="1" applyAlignment="1">
      <alignment horizontal="center"/>
    </xf>
    <xf numFmtId="2" fontId="17" fillId="6" borderId="0" xfId="0" applyNumberFormat="1" applyFont="1" applyFill="1" applyAlignment="1">
      <alignment horizontal="center"/>
    </xf>
    <xf numFmtId="2" fontId="22" fillId="3" borderId="0" xfId="0" applyNumberFormat="1" applyFont="1" applyFill="1" applyAlignment="1">
      <alignment horizontal="center"/>
    </xf>
    <xf numFmtId="2" fontId="22" fillId="0" borderId="0" xfId="0" applyNumberFormat="1" applyFont="1" applyAlignment="1">
      <alignment horizontal="center"/>
    </xf>
    <xf numFmtId="2" fontId="17" fillId="5" borderId="0" xfId="0" applyNumberFormat="1" applyFont="1" applyFill="1" applyAlignment="1">
      <alignment horizontal="center"/>
    </xf>
    <xf numFmtId="2" fontId="17" fillId="3" borderId="0" xfId="0" applyNumberFormat="1" applyFont="1" applyFill="1" applyAlignment="1">
      <alignment horizontal="center"/>
    </xf>
    <xf numFmtId="2" fontId="29" fillId="0" borderId="0" xfId="0" applyNumberFormat="1" applyFont="1" applyAlignment="1">
      <alignment horizontal="center"/>
    </xf>
    <xf numFmtId="2" fontId="15" fillId="5" borderId="0" xfId="1" applyNumberFormat="1" applyFont="1" applyFill="1" applyBorder="1" applyAlignment="1" applyProtection="1">
      <alignment horizontal="center"/>
    </xf>
    <xf numFmtId="2" fontId="30" fillId="0" borderId="0" xfId="0" applyNumberFormat="1" applyFont="1" applyAlignment="1">
      <alignment horizontal="center"/>
    </xf>
    <xf numFmtId="2" fontId="15" fillId="0" borderId="0" xfId="1" applyNumberFormat="1" applyFont="1" applyBorder="1" applyAlignment="1" applyProtection="1">
      <alignment horizontal="center"/>
    </xf>
    <xf numFmtId="2" fontId="18" fillId="5" borderId="0" xfId="1" applyNumberFormat="1" applyFont="1" applyFill="1" applyBorder="1" applyAlignment="1" applyProtection="1">
      <alignment horizontal="center"/>
    </xf>
    <xf numFmtId="2" fontId="15" fillId="3" borderId="0" xfId="1" applyNumberFormat="1" applyFont="1" applyFill="1" applyBorder="1" applyAlignment="1" applyProtection="1">
      <alignment horizontal="center"/>
    </xf>
    <xf numFmtId="2" fontId="5" fillId="5" borderId="0" xfId="0" applyNumberFormat="1" applyFont="1" applyFill="1" applyAlignment="1">
      <alignment horizontal="center"/>
    </xf>
    <xf numFmtId="2" fontId="31" fillId="5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7" fillId="5" borderId="0" xfId="0" applyNumberFormat="1" applyFont="1" applyFill="1" applyAlignment="1">
      <alignment horizontal="center"/>
    </xf>
    <xf numFmtId="2" fontId="5" fillId="0" borderId="0" xfId="1" applyNumberFormat="1" applyFont="1" applyBorder="1" applyAlignment="1" applyProtection="1">
      <alignment horizontal="center"/>
    </xf>
    <xf numFmtId="43" fontId="15" fillId="0" borderId="0" xfId="1" applyFont="1" applyBorder="1" applyAlignment="1" applyProtection="1">
      <alignment horizontal="center"/>
    </xf>
    <xf numFmtId="2" fontId="27" fillId="0" borderId="0" xfId="0" applyNumberFormat="1" applyFont="1" applyAlignment="1">
      <alignment horizontal="center"/>
    </xf>
    <xf numFmtId="2" fontId="40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2" fontId="15" fillId="5" borderId="0" xfId="0" applyNumberFormat="1" applyFont="1" applyFill="1" applyAlignment="1">
      <alignment horizontal="center" wrapText="1"/>
    </xf>
    <xf numFmtId="2" fontId="15" fillId="3" borderId="0" xfId="0" applyNumberFormat="1" applyFont="1" applyFill="1" applyAlignment="1">
      <alignment horizontal="center" wrapText="1"/>
    </xf>
    <xf numFmtId="44" fontId="27" fillId="8" borderId="0" xfId="2" applyFont="1" applyFill="1" applyAlignment="1">
      <alignment horizontal="center"/>
    </xf>
    <xf numFmtId="44" fontId="31" fillId="8" borderId="0" xfId="2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top" textRotation="255"/>
    </xf>
    <xf numFmtId="0" fontId="49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3481</xdr:colOff>
      <xdr:row>13</xdr:row>
      <xdr:rowOff>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94437D7-5195-40B1-B98F-80DEFEF05C02}"/>
            </a:ext>
          </a:extLst>
        </xdr:cNvPr>
        <xdr:cNvCxnSpPr/>
      </xdr:nvCxnSpPr>
      <xdr:spPr>
        <a:xfrm>
          <a:off x="723900" y="1051560"/>
          <a:ext cx="7745401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0</xdr:rowOff>
    </xdr:from>
    <xdr:to>
      <xdr:col>3</xdr:col>
      <xdr:colOff>3481</xdr:colOff>
      <xdr:row>26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97A1A253-3E1F-4EA2-9FE9-C589BF5F4EA5}"/>
            </a:ext>
          </a:extLst>
        </xdr:cNvPr>
        <xdr:cNvCxnSpPr/>
      </xdr:nvCxnSpPr>
      <xdr:spPr>
        <a:xfrm>
          <a:off x="723900" y="3825240"/>
          <a:ext cx="7745401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</xdr:row>
      <xdr:rowOff>0</xdr:rowOff>
    </xdr:from>
    <xdr:to>
      <xdr:col>3</xdr:col>
      <xdr:colOff>11674</xdr:colOff>
      <xdr:row>37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1EDF8609-C204-402A-8791-8DCEC5BFA818}"/>
            </a:ext>
          </a:extLst>
        </xdr:cNvPr>
        <xdr:cNvCxnSpPr/>
      </xdr:nvCxnSpPr>
      <xdr:spPr>
        <a:xfrm>
          <a:off x="723900" y="61722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3</xdr:col>
      <xdr:colOff>11674</xdr:colOff>
      <xdr:row>51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E0A0418E-733A-4B54-8EF6-981EFB14307E}"/>
            </a:ext>
          </a:extLst>
        </xdr:cNvPr>
        <xdr:cNvCxnSpPr/>
      </xdr:nvCxnSpPr>
      <xdr:spPr>
        <a:xfrm>
          <a:off x="723900" y="91592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0</xdr:rowOff>
    </xdr:from>
    <xdr:to>
      <xdr:col>3</xdr:col>
      <xdr:colOff>11674</xdr:colOff>
      <xdr:row>59</xdr:row>
      <xdr:rowOff>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14B6E26-0DDC-4E35-8B99-8AD9C8C9CF7F}"/>
            </a:ext>
          </a:extLst>
        </xdr:cNvPr>
        <xdr:cNvCxnSpPr/>
      </xdr:nvCxnSpPr>
      <xdr:spPr>
        <a:xfrm>
          <a:off x="723900" y="108661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</xdr:row>
      <xdr:rowOff>0</xdr:rowOff>
    </xdr:from>
    <xdr:to>
      <xdr:col>3</xdr:col>
      <xdr:colOff>11674</xdr:colOff>
      <xdr:row>65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1EB0F09-FB59-4AA4-BD10-CD5D1871AA07}"/>
            </a:ext>
          </a:extLst>
        </xdr:cNvPr>
        <xdr:cNvCxnSpPr/>
      </xdr:nvCxnSpPr>
      <xdr:spPr>
        <a:xfrm>
          <a:off x="723900" y="121462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3</xdr:col>
      <xdr:colOff>11674</xdr:colOff>
      <xdr:row>79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52652E3-25DB-49F5-95BE-67EDE7569F7F}"/>
            </a:ext>
          </a:extLst>
        </xdr:cNvPr>
        <xdr:cNvCxnSpPr/>
      </xdr:nvCxnSpPr>
      <xdr:spPr>
        <a:xfrm>
          <a:off x="723900" y="151333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</xdr:row>
      <xdr:rowOff>0</xdr:rowOff>
    </xdr:from>
    <xdr:to>
      <xdr:col>3</xdr:col>
      <xdr:colOff>11674</xdr:colOff>
      <xdr:row>86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96F7573-6F0F-44DF-A599-7FABA349E902}"/>
            </a:ext>
          </a:extLst>
        </xdr:cNvPr>
        <xdr:cNvCxnSpPr/>
      </xdr:nvCxnSpPr>
      <xdr:spPr>
        <a:xfrm>
          <a:off x="723900" y="166268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3</xdr:col>
      <xdr:colOff>11674</xdr:colOff>
      <xdr:row>91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BFE4EA36-6B18-4011-B025-6F1E1676E18D}"/>
            </a:ext>
          </a:extLst>
        </xdr:cNvPr>
        <xdr:cNvCxnSpPr/>
      </xdr:nvCxnSpPr>
      <xdr:spPr>
        <a:xfrm>
          <a:off x="723900" y="176936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</xdr:row>
      <xdr:rowOff>0</xdr:rowOff>
    </xdr:from>
    <xdr:to>
      <xdr:col>3</xdr:col>
      <xdr:colOff>11674</xdr:colOff>
      <xdr:row>115</xdr:row>
      <xdr:rowOff>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18B5D714-EB7F-4C9F-9597-0C560160A2AF}"/>
            </a:ext>
          </a:extLst>
        </xdr:cNvPr>
        <xdr:cNvCxnSpPr/>
      </xdr:nvCxnSpPr>
      <xdr:spPr>
        <a:xfrm>
          <a:off x="723900" y="228142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124</xdr:row>
      <xdr:rowOff>0</xdr:rowOff>
    </xdr:from>
    <xdr:to>
      <xdr:col>3</xdr:col>
      <xdr:colOff>11674</xdr:colOff>
      <xdr:row>124</xdr:row>
      <xdr:rowOff>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8A5A60E7-A206-4917-BBFF-CEA4E4D61F9A}"/>
            </a:ext>
          </a:extLst>
        </xdr:cNvPr>
        <xdr:cNvCxnSpPr/>
      </xdr:nvCxnSpPr>
      <xdr:spPr>
        <a:xfrm>
          <a:off x="723900" y="247345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</xdr:row>
      <xdr:rowOff>0</xdr:rowOff>
    </xdr:from>
    <xdr:to>
      <xdr:col>3</xdr:col>
      <xdr:colOff>11674</xdr:colOff>
      <xdr:row>142</xdr:row>
      <xdr:rowOff>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EE1FC13E-3285-49A1-A7F1-541451A3C9C9}"/>
            </a:ext>
          </a:extLst>
        </xdr:cNvPr>
        <xdr:cNvCxnSpPr/>
      </xdr:nvCxnSpPr>
      <xdr:spPr>
        <a:xfrm>
          <a:off x="723900" y="285750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149</xdr:row>
      <xdr:rowOff>0</xdr:rowOff>
    </xdr:from>
    <xdr:to>
      <xdr:col>3</xdr:col>
      <xdr:colOff>11674</xdr:colOff>
      <xdr:row>149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BD83F222-414C-419E-9618-CC4C2444145D}"/>
            </a:ext>
          </a:extLst>
        </xdr:cNvPr>
        <xdr:cNvCxnSpPr/>
      </xdr:nvCxnSpPr>
      <xdr:spPr>
        <a:xfrm>
          <a:off x="723900" y="300685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</xdr:row>
      <xdr:rowOff>0</xdr:rowOff>
    </xdr:from>
    <xdr:to>
      <xdr:col>3</xdr:col>
      <xdr:colOff>11674</xdr:colOff>
      <xdr:row>158</xdr:row>
      <xdr:rowOff>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98C068FD-8A53-4135-9843-AE8C40C14E0F}"/>
            </a:ext>
          </a:extLst>
        </xdr:cNvPr>
        <xdr:cNvCxnSpPr/>
      </xdr:nvCxnSpPr>
      <xdr:spPr>
        <a:xfrm>
          <a:off x="723900" y="319887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</xdr:row>
      <xdr:rowOff>0</xdr:rowOff>
    </xdr:from>
    <xdr:to>
      <xdr:col>3</xdr:col>
      <xdr:colOff>11674</xdr:colOff>
      <xdr:row>177</xdr:row>
      <xdr:rowOff>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D852462-9B49-4F32-B687-76CAFE5585DF}"/>
            </a:ext>
          </a:extLst>
        </xdr:cNvPr>
        <xdr:cNvCxnSpPr/>
      </xdr:nvCxnSpPr>
      <xdr:spPr>
        <a:xfrm>
          <a:off x="723900" y="360426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196</xdr:row>
      <xdr:rowOff>0</xdr:rowOff>
    </xdr:from>
    <xdr:to>
      <xdr:col>3</xdr:col>
      <xdr:colOff>11674</xdr:colOff>
      <xdr:row>196</xdr:row>
      <xdr:rowOff>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DF4ECD35-378E-442C-B72E-CAD5BB0110C3}"/>
            </a:ext>
          </a:extLst>
        </xdr:cNvPr>
        <xdr:cNvCxnSpPr/>
      </xdr:nvCxnSpPr>
      <xdr:spPr>
        <a:xfrm>
          <a:off x="723900" y="400964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3</xdr:col>
      <xdr:colOff>11674</xdr:colOff>
      <xdr:row>243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41885382-A5AF-4D24-9A8F-629F60D7DF7B}"/>
            </a:ext>
          </a:extLst>
        </xdr:cNvPr>
        <xdr:cNvCxnSpPr/>
      </xdr:nvCxnSpPr>
      <xdr:spPr>
        <a:xfrm>
          <a:off x="723900" y="501243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0</xdr:rowOff>
    </xdr:from>
    <xdr:to>
      <xdr:col>3</xdr:col>
      <xdr:colOff>11674</xdr:colOff>
      <xdr:row>260</xdr:row>
      <xdr:rowOff>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7F997E99-A7A5-48B3-A896-09738664BB36}"/>
            </a:ext>
          </a:extLst>
        </xdr:cNvPr>
        <xdr:cNvCxnSpPr/>
      </xdr:nvCxnSpPr>
      <xdr:spPr>
        <a:xfrm>
          <a:off x="723900" y="537514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276</xdr:row>
      <xdr:rowOff>0</xdr:rowOff>
    </xdr:from>
    <xdr:to>
      <xdr:col>3</xdr:col>
      <xdr:colOff>11674</xdr:colOff>
      <xdr:row>276</xdr:row>
      <xdr:rowOff>0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F6CCD3DE-DDA9-4AC2-BFE8-B991845614DB}"/>
            </a:ext>
          </a:extLst>
        </xdr:cNvPr>
        <xdr:cNvCxnSpPr/>
      </xdr:nvCxnSpPr>
      <xdr:spPr>
        <a:xfrm>
          <a:off x="723900" y="571652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295</xdr:row>
      <xdr:rowOff>0</xdr:rowOff>
    </xdr:from>
    <xdr:to>
      <xdr:col>3</xdr:col>
      <xdr:colOff>11674</xdr:colOff>
      <xdr:row>295</xdr:row>
      <xdr:rowOff>0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FFF01EA7-5C38-41DF-9CCF-D773EA4C4FEF}"/>
            </a:ext>
          </a:extLst>
        </xdr:cNvPr>
        <xdr:cNvCxnSpPr/>
      </xdr:nvCxnSpPr>
      <xdr:spPr>
        <a:xfrm>
          <a:off x="723900" y="612190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306</xdr:row>
      <xdr:rowOff>0</xdr:rowOff>
    </xdr:from>
    <xdr:to>
      <xdr:col>3</xdr:col>
      <xdr:colOff>11674</xdr:colOff>
      <xdr:row>306</xdr:row>
      <xdr:rowOff>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B61969D6-79AC-47D1-A135-9287D892AEE1}"/>
            </a:ext>
          </a:extLst>
        </xdr:cNvPr>
        <xdr:cNvCxnSpPr/>
      </xdr:nvCxnSpPr>
      <xdr:spPr>
        <a:xfrm>
          <a:off x="723900" y="635660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317</xdr:row>
      <xdr:rowOff>0</xdr:rowOff>
    </xdr:from>
    <xdr:to>
      <xdr:col>3</xdr:col>
      <xdr:colOff>11674</xdr:colOff>
      <xdr:row>317</xdr:row>
      <xdr:rowOff>0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82F0EED8-488C-4874-B2A6-0EEF93A48617}"/>
            </a:ext>
          </a:extLst>
        </xdr:cNvPr>
        <xdr:cNvCxnSpPr/>
      </xdr:nvCxnSpPr>
      <xdr:spPr>
        <a:xfrm>
          <a:off x="723900" y="659130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327</xdr:row>
      <xdr:rowOff>0</xdr:rowOff>
    </xdr:from>
    <xdr:to>
      <xdr:col>3</xdr:col>
      <xdr:colOff>11674</xdr:colOff>
      <xdr:row>327</xdr:row>
      <xdr:rowOff>0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5543E37-82B0-4FCD-BB25-C68F904DCA6F}"/>
            </a:ext>
          </a:extLst>
        </xdr:cNvPr>
        <xdr:cNvCxnSpPr/>
      </xdr:nvCxnSpPr>
      <xdr:spPr>
        <a:xfrm>
          <a:off x="723900" y="680466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338</xdr:row>
      <xdr:rowOff>0</xdr:rowOff>
    </xdr:from>
    <xdr:to>
      <xdr:col>3</xdr:col>
      <xdr:colOff>11674</xdr:colOff>
      <xdr:row>338</xdr:row>
      <xdr:rowOff>0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C62A8CF8-078A-4F42-AFEC-526C926C8C3A}"/>
            </a:ext>
          </a:extLst>
        </xdr:cNvPr>
        <xdr:cNvCxnSpPr/>
      </xdr:nvCxnSpPr>
      <xdr:spPr>
        <a:xfrm>
          <a:off x="723900" y="703935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365</xdr:row>
      <xdr:rowOff>0</xdr:rowOff>
    </xdr:from>
    <xdr:to>
      <xdr:col>3</xdr:col>
      <xdr:colOff>11674</xdr:colOff>
      <xdr:row>365</xdr:row>
      <xdr:rowOff>0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AA812251-A497-4AD8-8F7E-9D1F3CA46EAB}"/>
            </a:ext>
          </a:extLst>
        </xdr:cNvPr>
        <xdr:cNvCxnSpPr/>
      </xdr:nvCxnSpPr>
      <xdr:spPr>
        <a:xfrm>
          <a:off x="723900" y="761542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381</xdr:row>
      <xdr:rowOff>0</xdr:rowOff>
    </xdr:from>
    <xdr:to>
      <xdr:col>3</xdr:col>
      <xdr:colOff>11674</xdr:colOff>
      <xdr:row>381</xdr:row>
      <xdr:rowOff>0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F19DD8D-E0F6-4615-8702-EB592E4C0E3C}"/>
            </a:ext>
          </a:extLst>
        </xdr:cNvPr>
        <xdr:cNvCxnSpPr/>
      </xdr:nvCxnSpPr>
      <xdr:spPr>
        <a:xfrm>
          <a:off x="723900" y="795680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402</xdr:row>
      <xdr:rowOff>0</xdr:rowOff>
    </xdr:from>
    <xdr:to>
      <xdr:col>3</xdr:col>
      <xdr:colOff>11674</xdr:colOff>
      <xdr:row>402</xdr:row>
      <xdr:rowOff>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5CBD25A3-F39E-42DA-9C7D-D1239DF11CFF}"/>
            </a:ext>
          </a:extLst>
        </xdr:cNvPr>
        <xdr:cNvCxnSpPr/>
      </xdr:nvCxnSpPr>
      <xdr:spPr>
        <a:xfrm>
          <a:off x="723900" y="840486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453</xdr:row>
      <xdr:rowOff>0</xdr:rowOff>
    </xdr:from>
    <xdr:to>
      <xdr:col>3</xdr:col>
      <xdr:colOff>11674</xdr:colOff>
      <xdr:row>453</xdr:row>
      <xdr:rowOff>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F688FDE4-8AF1-439E-BEA8-5456766AAEFA}"/>
            </a:ext>
          </a:extLst>
        </xdr:cNvPr>
        <xdr:cNvCxnSpPr/>
      </xdr:nvCxnSpPr>
      <xdr:spPr>
        <a:xfrm>
          <a:off x="723900" y="949299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465</xdr:row>
      <xdr:rowOff>0</xdr:rowOff>
    </xdr:from>
    <xdr:to>
      <xdr:col>3</xdr:col>
      <xdr:colOff>11674</xdr:colOff>
      <xdr:row>465</xdr:row>
      <xdr:rowOff>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E9CA088B-4E82-40B1-83BE-CD5652727C61}"/>
            </a:ext>
          </a:extLst>
        </xdr:cNvPr>
        <xdr:cNvCxnSpPr/>
      </xdr:nvCxnSpPr>
      <xdr:spPr>
        <a:xfrm>
          <a:off x="723900" y="974902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479</xdr:row>
      <xdr:rowOff>0</xdr:rowOff>
    </xdr:from>
    <xdr:to>
      <xdr:col>3</xdr:col>
      <xdr:colOff>11674</xdr:colOff>
      <xdr:row>479</xdr:row>
      <xdr:rowOff>0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23660A27-D5E5-4244-BB89-118D109D5061}"/>
            </a:ext>
          </a:extLst>
        </xdr:cNvPr>
        <xdr:cNvCxnSpPr/>
      </xdr:nvCxnSpPr>
      <xdr:spPr>
        <a:xfrm>
          <a:off x="723900" y="1004773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489</xdr:row>
      <xdr:rowOff>0</xdr:rowOff>
    </xdr:from>
    <xdr:to>
      <xdr:col>3</xdr:col>
      <xdr:colOff>11674</xdr:colOff>
      <xdr:row>489</xdr:row>
      <xdr:rowOff>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AB438EC2-25AD-4DB0-B085-2ECFEA804B82}"/>
            </a:ext>
          </a:extLst>
        </xdr:cNvPr>
        <xdr:cNvCxnSpPr/>
      </xdr:nvCxnSpPr>
      <xdr:spPr>
        <a:xfrm>
          <a:off x="723900" y="1026109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501</xdr:row>
      <xdr:rowOff>0</xdr:rowOff>
    </xdr:from>
    <xdr:to>
      <xdr:col>3</xdr:col>
      <xdr:colOff>11674</xdr:colOff>
      <xdr:row>501</xdr:row>
      <xdr:rowOff>0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5A535F2E-87F5-4BAB-BE74-EF25F3717CEF}"/>
            </a:ext>
          </a:extLst>
        </xdr:cNvPr>
        <xdr:cNvCxnSpPr/>
      </xdr:nvCxnSpPr>
      <xdr:spPr>
        <a:xfrm>
          <a:off x="723900" y="1051712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508</xdr:row>
      <xdr:rowOff>0</xdr:rowOff>
    </xdr:from>
    <xdr:to>
      <xdr:col>3</xdr:col>
      <xdr:colOff>11674</xdr:colOff>
      <xdr:row>508</xdr:row>
      <xdr:rowOff>0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25AFE735-F4FC-49DE-B619-4B4530DB4910}"/>
            </a:ext>
          </a:extLst>
        </xdr:cNvPr>
        <xdr:cNvCxnSpPr/>
      </xdr:nvCxnSpPr>
      <xdr:spPr>
        <a:xfrm>
          <a:off x="723900" y="1066647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519</xdr:row>
      <xdr:rowOff>0</xdr:rowOff>
    </xdr:from>
    <xdr:to>
      <xdr:col>3</xdr:col>
      <xdr:colOff>11674</xdr:colOff>
      <xdr:row>519</xdr:row>
      <xdr:rowOff>0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1BED0CC9-10E8-4A95-BCA6-D47748F4AE9D}"/>
            </a:ext>
          </a:extLst>
        </xdr:cNvPr>
        <xdr:cNvCxnSpPr/>
      </xdr:nvCxnSpPr>
      <xdr:spPr>
        <a:xfrm>
          <a:off x="723900" y="1090117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525</xdr:row>
      <xdr:rowOff>0</xdr:rowOff>
    </xdr:from>
    <xdr:to>
      <xdr:col>3</xdr:col>
      <xdr:colOff>11674</xdr:colOff>
      <xdr:row>525</xdr:row>
      <xdr:rowOff>0</xdr:rowOff>
    </xdr:to>
    <xdr:cxnSp macro="">
      <xdr:nvCxnSpPr>
        <xdr:cNvPr id="36" name="Conector reto 35">
          <a:extLst>
            <a:ext uri="{FF2B5EF4-FFF2-40B4-BE49-F238E27FC236}">
              <a16:creationId xmlns:a16="http://schemas.microsoft.com/office/drawing/2014/main" id="{3607A9A1-C59A-442F-AD70-04D282F8BB18}"/>
            </a:ext>
          </a:extLst>
        </xdr:cNvPr>
        <xdr:cNvCxnSpPr/>
      </xdr:nvCxnSpPr>
      <xdr:spPr>
        <a:xfrm>
          <a:off x="723900" y="1102918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536</xdr:row>
      <xdr:rowOff>0</xdr:rowOff>
    </xdr:from>
    <xdr:to>
      <xdr:col>3</xdr:col>
      <xdr:colOff>11674</xdr:colOff>
      <xdr:row>536</xdr:row>
      <xdr:rowOff>0</xdr:rowOff>
    </xdr:to>
    <xdr:cxnSp macro="">
      <xdr:nvCxnSpPr>
        <xdr:cNvPr id="37" name="Conector reto 36">
          <a:extLst>
            <a:ext uri="{FF2B5EF4-FFF2-40B4-BE49-F238E27FC236}">
              <a16:creationId xmlns:a16="http://schemas.microsoft.com/office/drawing/2014/main" id="{47EFC7F1-A5AA-4024-85F5-E6928BE0CAE1}"/>
            </a:ext>
          </a:extLst>
        </xdr:cNvPr>
        <xdr:cNvCxnSpPr/>
      </xdr:nvCxnSpPr>
      <xdr:spPr>
        <a:xfrm>
          <a:off x="723900" y="1126388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542</xdr:row>
      <xdr:rowOff>0</xdr:rowOff>
    </xdr:from>
    <xdr:to>
      <xdr:col>3</xdr:col>
      <xdr:colOff>11674</xdr:colOff>
      <xdr:row>542</xdr:row>
      <xdr:rowOff>0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A5571DBC-B7E8-4A70-BDB0-6D36CBD2175C}"/>
            </a:ext>
          </a:extLst>
        </xdr:cNvPr>
        <xdr:cNvCxnSpPr/>
      </xdr:nvCxnSpPr>
      <xdr:spPr>
        <a:xfrm>
          <a:off x="723900" y="1139190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550</xdr:row>
      <xdr:rowOff>0</xdr:rowOff>
    </xdr:from>
    <xdr:to>
      <xdr:col>3</xdr:col>
      <xdr:colOff>11674</xdr:colOff>
      <xdr:row>550</xdr:row>
      <xdr:rowOff>0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9808452C-D0FD-4EC9-B3EA-D0CC510D851A}"/>
            </a:ext>
          </a:extLst>
        </xdr:cNvPr>
        <xdr:cNvCxnSpPr/>
      </xdr:nvCxnSpPr>
      <xdr:spPr>
        <a:xfrm>
          <a:off x="723900" y="1156258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558</xdr:row>
      <xdr:rowOff>0</xdr:rowOff>
    </xdr:from>
    <xdr:to>
      <xdr:col>3</xdr:col>
      <xdr:colOff>11674</xdr:colOff>
      <xdr:row>558</xdr:row>
      <xdr:rowOff>0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5527277F-8A2D-4F71-8DF3-9A6F2D93022E}"/>
            </a:ext>
          </a:extLst>
        </xdr:cNvPr>
        <xdr:cNvCxnSpPr/>
      </xdr:nvCxnSpPr>
      <xdr:spPr>
        <a:xfrm>
          <a:off x="723900" y="1173327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581</xdr:row>
      <xdr:rowOff>0</xdr:rowOff>
    </xdr:from>
    <xdr:to>
      <xdr:col>3</xdr:col>
      <xdr:colOff>11674</xdr:colOff>
      <xdr:row>581</xdr:row>
      <xdr:rowOff>0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4F2CF875-01AF-4900-861C-FE6E2AD123A8}"/>
            </a:ext>
          </a:extLst>
        </xdr:cNvPr>
        <xdr:cNvCxnSpPr/>
      </xdr:nvCxnSpPr>
      <xdr:spPr>
        <a:xfrm>
          <a:off x="723900" y="1222400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595</xdr:row>
      <xdr:rowOff>0</xdr:rowOff>
    </xdr:from>
    <xdr:to>
      <xdr:col>3</xdr:col>
      <xdr:colOff>11674</xdr:colOff>
      <xdr:row>595</xdr:row>
      <xdr:rowOff>0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80CCE82A-A1EB-4C96-946D-43F3B946C2B0}"/>
            </a:ext>
          </a:extLst>
        </xdr:cNvPr>
        <xdr:cNvCxnSpPr/>
      </xdr:nvCxnSpPr>
      <xdr:spPr>
        <a:xfrm>
          <a:off x="723900" y="1252270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600</xdr:row>
      <xdr:rowOff>0</xdr:rowOff>
    </xdr:from>
    <xdr:to>
      <xdr:col>3</xdr:col>
      <xdr:colOff>11674</xdr:colOff>
      <xdr:row>600</xdr:row>
      <xdr:rowOff>0</xdr:rowOff>
    </xdr:to>
    <xdr:cxnSp macro="">
      <xdr:nvCxnSpPr>
        <xdr:cNvPr id="43" name="Conector reto 42">
          <a:extLst>
            <a:ext uri="{FF2B5EF4-FFF2-40B4-BE49-F238E27FC236}">
              <a16:creationId xmlns:a16="http://schemas.microsoft.com/office/drawing/2014/main" id="{36FD7E75-E3DC-4D78-906A-66FE0553413E}"/>
            </a:ext>
          </a:extLst>
        </xdr:cNvPr>
        <xdr:cNvCxnSpPr/>
      </xdr:nvCxnSpPr>
      <xdr:spPr>
        <a:xfrm>
          <a:off x="723900" y="1262938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605</xdr:row>
      <xdr:rowOff>0</xdr:rowOff>
    </xdr:from>
    <xdr:to>
      <xdr:col>3</xdr:col>
      <xdr:colOff>11674</xdr:colOff>
      <xdr:row>605</xdr:row>
      <xdr:rowOff>0</xdr:rowOff>
    </xdr:to>
    <xdr:cxnSp macro="">
      <xdr:nvCxnSpPr>
        <xdr:cNvPr id="44" name="Conector reto 43">
          <a:extLst>
            <a:ext uri="{FF2B5EF4-FFF2-40B4-BE49-F238E27FC236}">
              <a16:creationId xmlns:a16="http://schemas.microsoft.com/office/drawing/2014/main" id="{EF0D3A5E-982A-4C63-BDB4-55810AEC79F2}"/>
            </a:ext>
          </a:extLst>
        </xdr:cNvPr>
        <xdr:cNvCxnSpPr/>
      </xdr:nvCxnSpPr>
      <xdr:spPr>
        <a:xfrm>
          <a:off x="723900" y="1273606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654</xdr:row>
      <xdr:rowOff>0</xdr:rowOff>
    </xdr:from>
    <xdr:to>
      <xdr:col>3</xdr:col>
      <xdr:colOff>11674</xdr:colOff>
      <xdr:row>654</xdr:row>
      <xdr:rowOff>0</xdr:rowOff>
    </xdr:to>
    <xdr:cxnSp macro="">
      <xdr:nvCxnSpPr>
        <xdr:cNvPr id="45" name="Conector reto 44">
          <a:extLst>
            <a:ext uri="{FF2B5EF4-FFF2-40B4-BE49-F238E27FC236}">
              <a16:creationId xmlns:a16="http://schemas.microsoft.com/office/drawing/2014/main" id="{57185388-23A3-4301-80CF-E065A40A0487}"/>
            </a:ext>
          </a:extLst>
        </xdr:cNvPr>
        <xdr:cNvCxnSpPr/>
      </xdr:nvCxnSpPr>
      <xdr:spPr>
        <a:xfrm>
          <a:off x="723900" y="1378153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664</xdr:row>
      <xdr:rowOff>0</xdr:rowOff>
    </xdr:from>
    <xdr:to>
      <xdr:col>3</xdr:col>
      <xdr:colOff>11674</xdr:colOff>
      <xdr:row>664</xdr:row>
      <xdr:rowOff>0</xdr:rowOff>
    </xdr:to>
    <xdr:cxnSp macro="">
      <xdr:nvCxnSpPr>
        <xdr:cNvPr id="46" name="Conector reto 45">
          <a:extLst>
            <a:ext uri="{FF2B5EF4-FFF2-40B4-BE49-F238E27FC236}">
              <a16:creationId xmlns:a16="http://schemas.microsoft.com/office/drawing/2014/main" id="{0403C55B-6D6B-4A01-B1D9-4EB821393A9C}"/>
            </a:ext>
          </a:extLst>
        </xdr:cNvPr>
        <xdr:cNvCxnSpPr/>
      </xdr:nvCxnSpPr>
      <xdr:spPr>
        <a:xfrm>
          <a:off x="723900" y="1399489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672</xdr:row>
      <xdr:rowOff>0</xdr:rowOff>
    </xdr:from>
    <xdr:to>
      <xdr:col>3</xdr:col>
      <xdr:colOff>11674</xdr:colOff>
      <xdr:row>672</xdr:row>
      <xdr:rowOff>0</xdr:rowOff>
    </xdr:to>
    <xdr:cxnSp macro="">
      <xdr:nvCxnSpPr>
        <xdr:cNvPr id="47" name="Conector reto 46">
          <a:extLst>
            <a:ext uri="{FF2B5EF4-FFF2-40B4-BE49-F238E27FC236}">
              <a16:creationId xmlns:a16="http://schemas.microsoft.com/office/drawing/2014/main" id="{0676020B-84EC-4FE2-AB8D-B16DAE4E0E64}"/>
            </a:ext>
          </a:extLst>
        </xdr:cNvPr>
        <xdr:cNvCxnSpPr/>
      </xdr:nvCxnSpPr>
      <xdr:spPr>
        <a:xfrm>
          <a:off x="723900" y="1416558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703</xdr:row>
      <xdr:rowOff>0</xdr:rowOff>
    </xdr:from>
    <xdr:to>
      <xdr:col>3</xdr:col>
      <xdr:colOff>11674</xdr:colOff>
      <xdr:row>703</xdr:row>
      <xdr:rowOff>0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D7285D44-807E-4871-BDE2-91CF66635279}"/>
            </a:ext>
          </a:extLst>
        </xdr:cNvPr>
        <xdr:cNvCxnSpPr/>
      </xdr:nvCxnSpPr>
      <xdr:spPr>
        <a:xfrm>
          <a:off x="723900" y="1482699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744</xdr:row>
      <xdr:rowOff>0</xdr:rowOff>
    </xdr:from>
    <xdr:to>
      <xdr:col>3</xdr:col>
      <xdr:colOff>11674</xdr:colOff>
      <xdr:row>744</xdr:row>
      <xdr:rowOff>0</xdr:rowOff>
    </xdr:to>
    <xdr:cxnSp macro="">
      <xdr:nvCxnSpPr>
        <xdr:cNvPr id="49" name="Conector reto 48">
          <a:extLst>
            <a:ext uri="{FF2B5EF4-FFF2-40B4-BE49-F238E27FC236}">
              <a16:creationId xmlns:a16="http://schemas.microsoft.com/office/drawing/2014/main" id="{8526DC1C-3394-4C5E-BE70-3463FD40C8F0}"/>
            </a:ext>
          </a:extLst>
        </xdr:cNvPr>
        <xdr:cNvCxnSpPr/>
      </xdr:nvCxnSpPr>
      <xdr:spPr>
        <a:xfrm>
          <a:off x="723900" y="15701772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802</xdr:row>
      <xdr:rowOff>0</xdr:rowOff>
    </xdr:from>
    <xdr:to>
      <xdr:col>3</xdr:col>
      <xdr:colOff>11674</xdr:colOff>
      <xdr:row>802</xdr:row>
      <xdr:rowOff>0</xdr:rowOff>
    </xdr:to>
    <xdr:cxnSp macro="">
      <xdr:nvCxnSpPr>
        <xdr:cNvPr id="50" name="Conector reto 49">
          <a:extLst>
            <a:ext uri="{FF2B5EF4-FFF2-40B4-BE49-F238E27FC236}">
              <a16:creationId xmlns:a16="http://schemas.microsoft.com/office/drawing/2014/main" id="{366E4AC3-D7AE-4C04-B109-F8EC5EE23F84}"/>
            </a:ext>
          </a:extLst>
        </xdr:cNvPr>
        <xdr:cNvCxnSpPr/>
      </xdr:nvCxnSpPr>
      <xdr:spPr>
        <a:xfrm>
          <a:off x="723900" y="1693926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808</xdr:row>
      <xdr:rowOff>0</xdr:rowOff>
    </xdr:from>
    <xdr:to>
      <xdr:col>3</xdr:col>
      <xdr:colOff>11674</xdr:colOff>
      <xdr:row>808</xdr:row>
      <xdr:rowOff>0</xdr:rowOff>
    </xdr:to>
    <xdr:cxnSp macro="">
      <xdr:nvCxnSpPr>
        <xdr:cNvPr id="51" name="Conector reto 50">
          <a:extLst>
            <a:ext uri="{FF2B5EF4-FFF2-40B4-BE49-F238E27FC236}">
              <a16:creationId xmlns:a16="http://schemas.microsoft.com/office/drawing/2014/main" id="{C04C0119-8F00-46B9-A824-F50A3460DBAF}"/>
            </a:ext>
          </a:extLst>
        </xdr:cNvPr>
        <xdr:cNvCxnSpPr/>
      </xdr:nvCxnSpPr>
      <xdr:spPr>
        <a:xfrm>
          <a:off x="723900" y="1706727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828</xdr:row>
      <xdr:rowOff>0</xdr:rowOff>
    </xdr:from>
    <xdr:to>
      <xdr:col>3</xdr:col>
      <xdr:colOff>11674</xdr:colOff>
      <xdr:row>828</xdr:row>
      <xdr:rowOff>0</xdr:rowOff>
    </xdr:to>
    <xdr:cxnSp macro="">
      <xdr:nvCxnSpPr>
        <xdr:cNvPr id="52" name="Conector reto 51">
          <a:extLst>
            <a:ext uri="{FF2B5EF4-FFF2-40B4-BE49-F238E27FC236}">
              <a16:creationId xmlns:a16="http://schemas.microsoft.com/office/drawing/2014/main" id="{D6AE7E56-A3BA-4B78-8AD9-238D7B5A7CC0}"/>
            </a:ext>
          </a:extLst>
        </xdr:cNvPr>
        <xdr:cNvCxnSpPr/>
      </xdr:nvCxnSpPr>
      <xdr:spPr>
        <a:xfrm>
          <a:off x="723900" y="1749399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888</xdr:row>
      <xdr:rowOff>0</xdr:rowOff>
    </xdr:from>
    <xdr:to>
      <xdr:col>3</xdr:col>
      <xdr:colOff>11674</xdr:colOff>
      <xdr:row>888</xdr:row>
      <xdr:rowOff>0</xdr:rowOff>
    </xdr:to>
    <xdr:cxnSp macro="">
      <xdr:nvCxnSpPr>
        <xdr:cNvPr id="53" name="Conector reto 52">
          <a:extLst>
            <a:ext uri="{FF2B5EF4-FFF2-40B4-BE49-F238E27FC236}">
              <a16:creationId xmlns:a16="http://schemas.microsoft.com/office/drawing/2014/main" id="{11FE85E2-45EC-419E-9E8D-E048E126828F}"/>
            </a:ext>
          </a:extLst>
        </xdr:cNvPr>
        <xdr:cNvCxnSpPr/>
      </xdr:nvCxnSpPr>
      <xdr:spPr>
        <a:xfrm>
          <a:off x="723900" y="1877415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926</xdr:row>
      <xdr:rowOff>0</xdr:rowOff>
    </xdr:from>
    <xdr:to>
      <xdr:col>3</xdr:col>
      <xdr:colOff>11674</xdr:colOff>
      <xdr:row>926</xdr:row>
      <xdr:rowOff>0</xdr:rowOff>
    </xdr:to>
    <xdr:cxnSp macro="">
      <xdr:nvCxnSpPr>
        <xdr:cNvPr id="54" name="Conector reto 53">
          <a:extLst>
            <a:ext uri="{FF2B5EF4-FFF2-40B4-BE49-F238E27FC236}">
              <a16:creationId xmlns:a16="http://schemas.microsoft.com/office/drawing/2014/main" id="{8A3666CA-31E8-4545-A4B9-A3A0B1377FDA}"/>
            </a:ext>
          </a:extLst>
        </xdr:cNvPr>
        <xdr:cNvCxnSpPr/>
      </xdr:nvCxnSpPr>
      <xdr:spPr>
        <a:xfrm>
          <a:off x="723900" y="1958492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942</xdr:row>
      <xdr:rowOff>0</xdr:rowOff>
    </xdr:from>
    <xdr:to>
      <xdr:col>3</xdr:col>
      <xdr:colOff>11674</xdr:colOff>
      <xdr:row>942</xdr:row>
      <xdr:rowOff>0</xdr:rowOff>
    </xdr:to>
    <xdr:cxnSp macro="">
      <xdr:nvCxnSpPr>
        <xdr:cNvPr id="55" name="Conector reto 54">
          <a:extLst>
            <a:ext uri="{FF2B5EF4-FFF2-40B4-BE49-F238E27FC236}">
              <a16:creationId xmlns:a16="http://schemas.microsoft.com/office/drawing/2014/main" id="{1F76814F-852A-49C4-99CE-BEF9C596DF80}"/>
            </a:ext>
          </a:extLst>
        </xdr:cNvPr>
        <xdr:cNvCxnSpPr/>
      </xdr:nvCxnSpPr>
      <xdr:spPr>
        <a:xfrm>
          <a:off x="723900" y="1992630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947</xdr:row>
      <xdr:rowOff>0</xdr:rowOff>
    </xdr:from>
    <xdr:to>
      <xdr:col>3</xdr:col>
      <xdr:colOff>11674</xdr:colOff>
      <xdr:row>947</xdr:row>
      <xdr:rowOff>0</xdr:rowOff>
    </xdr:to>
    <xdr:cxnSp macro="">
      <xdr:nvCxnSpPr>
        <xdr:cNvPr id="56" name="Conector reto 55">
          <a:extLst>
            <a:ext uri="{FF2B5EF4-FFF2-40B4-BE49-F238E27FC236}">
              <a16:creationId xmlns:a16="http://schemas.microsoft.com/office/drawing/2014/main" id="{EEB52E2F-575C-4D1F-A887-3331EBDA672F}"/>
            </a:ext>
          </a:extLst>
        </xdr:cNvPr>
        <xdr:cNvCxnSpPr/>
      </xdr:nvCxnSpPr>
      <xdr:spPr>
        <a:xfrm>
          <a:off x="723900" y="2003298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976</xdr:row>
      <xdr:rowOff>0</xdr:rowOff>
    </xdr:from>
    <xdr:to>
      <xdr:col>3</xdr:col>
      <xdr:colOff>11674</xdr:colOff>
      <xdr:row>976</xdr:row>
      <xdr:rowOff>0</xdr:rowOff>
    </xdr:to>
    <xdr:cxnSp macro="">
      <xdr:nvCxnSpPr>
        <xdr:cNvPr id="57" name="Conector reto 56">
          <a:extLst>
            <a:ext uri="{FF2B5EF4-FFF2-40B4-BE49-F238E27FC236}">
              <a16:creationId xmlns:a16="http://schemas.microsoft.com/office/drawing/2014/main" id="{78CF333A-DEEE-4CF0-AF88-DD194250301F}"/>
            </a:ext>
          </a:extLst>
        </xdr:cNvPr>
        <xdr:cNvCxnSpPr/>
      </xdr:nvCxnSpPr>
      <xdr:spPr>
        <a:xfrm>
          <a:off x="723900" y="2065172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985</xdr:row>
      <xdr:rowOff>0</xdr:rowOff>
    </xdr:from>
    <xdr:to>
      <xdr:col>3</xdr:col>
      <xdr:colOff>11674</xdr:colOff>
      <xdr:row>985</xdr:row>
      <xdr:rowOff>0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0412CC6B-EE09-4706-904D-B076AD0C7276}"/>
            </a:ext>
          </a:extLst>
        </xdr:cNvPr>
        <xdr:cNvCxnSpPr/>
      </xdr:nvCxnSpPr>
      <xdr:spPr>
        <a:xfrm>
          <a:off x="723900" y="2084374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1001</xdr:row>
      <xdr:rowOff>0</xdr:rowOff>
    </xdr:from>
    <xdr:to>
      <xdr:col>3</xdr:col>
      <xdr:colOff>11674</xdr:colOff>
      <xdr:row>1001</xdr:row>
      <xdr:rowOff>0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7E96E118-02F5-4CF4-A0E8-0AE2773749E5}"/>
            </a:ext>
          </a:extLst>
        </xdr:cNvPr>
        <xdr:cNvCxnSpPr/>
      </xdr:nvCxnSpPr>
      <xdr:spPr>
        <a:xfrm>
          <a:off x="723900" y="2118512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1010</xdr:row>
      <xdr:rowOff>0</xdr:rowOff>
    </xdr:from>
    <xdr:to>
      <xdr:col>3</xdr:col>
      <xdr:colOff>11674</xdr:colOff>
      <xdr:row>1010</xdr:row>
      <xdr:rowOff>0</xdr:rowOff>
    </xdr:to>
    <xdr:cxnSp macro="">
      <xdr:nvCxnSpPr>
        <xdr:cNvPr id="60" name="Conector reto 59">
          <a:extLst>
            <a:ext uri="{FF2B5EF4-FFF2-40B4-BE49-F238E27FC236}">
              <a16:creationId xmlns:a16="http://schemas.microsoft.com/office/drawing/2014/main" id="{4A870AE7-E0AE-494F-BDE8-05ACDE8693BE}"/>
            </a:ext>
          </a:extLst>
        </xdr:cNvPr>
        <xdr:cNvCxnSpPr/>
      </xdr:nvCxnSpPr>
      <xdr:spPr>
        <a:xfrm>
          <a:off x="723900" y="2137714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1020</xdr:row>
      <xdr:rowOff>0</xdr:rowOff>
    </xdr:from>
    <xdr:to>
      <xdr:col>3</xdr:col>
      <xdr:colOff>11674</xdr:colOff>
      <xdr:row>1020</xdr:row>
      <xdr:rowOff>0</xdr:rowOff>
    </xdr:to>
    <xdr:cxnSp macro="">
      <xdr:nvCxnSpPr>
        <xdr:cNvPr id="61" name="Conector reto 60">
          <a:extLst>
            <a:ext uri="{FF2B5EF4-FFF2-40B4-BE49-F238E27FC236}">
              <a16:creationId xmlns:a16="http://schemas.microsoft.com/office/drawing/2014/main" id="{459417DA-517D-452E-8567-8CC8EB3EC941}"/>
            </a:ext>
          </a:extLst>
        </xdr:cNvPr>
        <xdr:cNvCxnSpPr/>
      </xdr:nvCxnSpPr>
      <xdr:spPr>
        <a:xfrm>
          <a:off x="723900" y="2159050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1026</xdr:row>
      <xdr:rowOff>0</xdr:rowOff>
    </xdr:from>
    <xdr:to>
      <xdr:col>3</xdr:col>
      <xdr:colOff>11674</xdr:colOff>
      <xdr:row>1026</xdr:row>
      <xdr:rowOff>0</xdr:rowOff>
    </xdr:to>
    <xdr:cxnSp macro="">
      <xdr:nvCxnSpPr>
        <xdr:cNvPr id="62" name="Conector reto 61">
          <a:extLst>
            <a:ext uri="{FF2B5EF4-FFF2-40B4-BE49-F238E27FC236}">
              <a16:creationId xmlns:a16="http://schemas.microsoft.com/office/drawing/2014/main" id="{DCDD8DBB-17CF-4427-9DDE-55F2F05F9280}"/>
            </a:ext>
          </a:extLst>
        </xdr:cNvPr>
        <xdr:cNvCxnSpPr/>
      </xdr:nvCxnSpPr>
      <xdr:spPr>
        <a:xfrm>
          <a:off x="723900" y="2171852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1093</xdr:row>
      <xdr:rowOff>0</xdr:rowOff>
    </xdr:from>
    <xdr:to>
      <xdr:col>3</xdr:col>
      <xdr:colOff>11674</xdr:colOff>
      <xdr:row>1093</xdr:row>
      <xdr:rowOff>0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E79C682E-70C2-424C-9F77-EE2A38F53765}"/>
            </a:ext>
          </a:extLst>
        </xdr:cNvPr>
        <xdr:cNvCxnSpPr/>
      </xdr:nvCxnSpPr>
      <xdr:spPr>
        <a:xfrm>
          <a:off x="723900" y="2314803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1102</xdr:row>
      <xdr:rowOff>0</xdr:rowOff>
    </xdr:from>
    <xdr:to>
      <xdr:col>3</xdr:col>
      <xdr:colOff>11674</xdr:colOff>
      <xdr:row>1102</xdr:row>
      <xdr:rowOff>0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EA2CA6EA-FCD5-4422-B0EF-B41C182F6FE1}"/>
            </a:ext>
          </a:extLst>
        </xdr:cNvPr>
        <xdr:cNvCxnSpPr/>
      </xdr:nvCxnSpPr>
      <xdr:spPr>
        <a:xfrm>
          <a:off x="723900" y="23340060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1123</xdr:row>
      <xdr:rowOff>0</xdr:rowOff>
    </xdr:from>
    <xdr:to>
      <xdr:col>3</xdr:col>
      <xdr:colOff>11674</xdr:colOff>
      <xdr:row>1123</xdr:row>
      <xdr:rowOff>0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DD2F2766-A4D8-4784-89FF-7F55B347E8F7}"/>
            </a:ext>
          </a:extLst>
        </xdr:cNvPr>
        <xdr:cNvCxnSpPr/>
      </xdr:nvCxnSpPr>
      <xdr:spPr>
        <a:xfrm>
          <a:off x="723900" y="2378811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1123</xdr:row>
      <xdr:rowOff>0</xdr:rowOff>
    </xdr:from>
    <xdr:to>
      <xdr:col>3</xdr:col>
      <xdr:colOff>11674</xdr:colOff>
      <xdr:row>1123</xdr:row>
      <xdr:rowOff>0</xdr:rowOff>
    </xdr:to>
    <xdr:cxnSp macro="">
      <xdr:nvCxnSpPr>
        <xdr:cNvPr id="66" name="Conector reto 65">
          <a:extLst>
            <a:ext uri="{FF2B5EF4-FFF2-40B4-BE49-F238E27FC236}">
              <a16:creationId xmlns:a16="http://schemas.microsoft.com/office/drawing/2014/main" id="{A29E5DA0-E909-4969-BDE8-DDF1845389CF}"/>
            </a:ext>
          </a:extLst>
        </xdr:cNvPr>
        <xdr:cNvCxnSpPr/>
      </xdr:nvCxnSpPr>
      <xdr:spPr>
        <a:xfrm>
          <a:off x="723900" y="2378811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1135</xdr:row>
      <xdr:rowOff>0</xdr:rowOff>
    </xdr:from>
    <xdr:to>
      <xdr:col>3</xdr:col>
      <xdr:colOff>11674</xdr:colOff>
      <xdr:row>1135</xdr:row>
      <xdr:rowOff>0</xdr:rowOff>
    </xdr:to>
    <xdr:cxnSp macro="">
      <xdr:nvCxnSpPr>
        <xdr:cNvPr id="67" name="Conector reto 66">
          <a:extLst>
            <a:ext uri="{FF2B5EF4-FFF2-40B4-BE49-F238E27FC236}">
              <a16:creationId xmlns:a16="http://schemas.microsoft.com/office/drawing/2014/main" id="{1DD83950-355D-4B29-B8FA-37879BD74A88}"/>
            </a:ext>
          </a:extLst>
        </xdr:cNvPr>
        <xdr:cNvCxnSpPr/>
      </xdr:nvCxnSpPr>
      <xdr:spPr>
        <a:xfrm>
          <a:off x="723900" y="2404414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1135</xdr:row>
      <xdr:rowOff>0</xdr:rowOff>
    </xdr:from>
    <xdr:to>
      <xdr:col>3</xdr:col>
      <xdr:colOff>11674</xdr:colOff>
      <xdr:row>1135</xdr:row>
      <xdr:rowOff>0</xdr:rowOff>
    </xdr:to>
    <xdr:cxnSp macro="">
      <xdr:nvCxnSpPr>
        <xdr:cNvPr id="68" name="Conector reto 67">
          <a:extLst>
            <a:ext uri="{FF2B5EF4-FFF2-40B4-BE49-F238E27FC236}">
              <a16:creationId xmlns:a16="http://schemas.microsoft.com/office/drawing/2014/main" id="{6D466ADB-6E31-4203-82BB-CD1AF97C0D8A}"/>
            </a:ext>
          </a:extLst>
        </xdr:cNvPr>
        <xdr:cNvCxnSpPr/>
      </xdr:nvCxnSpPr>
      <xdr:spPr>
        <a:xfrm>
          <a:off x="723900" y="2404414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1158</xdr:row>
      <xdr:rowOff>0</xdr:rowOff>
    </xdr:from>
    <xdr:to>
      <xdr:col>3</xdr:col>
      <xdr:colOff>11674</xdr:colOff>
      <xdr:row>1158</xdr:row>
      <xdr:rowOff>0</xdr:rowOff>
    </xdr:to>
    <xdr:cxnSp macro="">
      <xdr:nvCxnSpPr>
        <xdr:cNvPr id="69" name="Conector reto 68">
          <a:extLst>
            <a:ext uri="{FF2B5EF4-FFF2-40B4-BE49-F238E27FC236}">
              <a16:creationId xmlns:a16="http://schemas.microsoft.com/office/drawing/2014/main" id="{563DB4CD-1057-455D-82F6-46C51B62518D}"/>
            </a:ext>
          </a:extLst>
        </xdr:cNvPr>
        <xdr:cNvCxnSpPr/>
      </xdr:nvCxnSpPr>
      <xdr:spPr>
        <a:xfrm>
          <a:off x="723900" y="2453487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1158</xdr:row>
      <xdr:rowOff>0</xdr:rowOff>
    </xdr:from>
    <xdr:to>
      <xdr:col>3</xdr:col>
      <xdr:colOff>11674</xdr:colOff>
      <xdr:row>1158</xdr:row>
      <xdr:rowOff>0</xdr:rowOff>
    </xdr:to>
    <xdr:cxnSp macro="">
      <xdr:nvCxnSpPr>
        <xdr:cNvPr id="70" name="Conector reto 69">
          <a:extLst>
            <a:ext uri="{FF2B5EF4-FFF2-40B4-BE49-F238E27FC236}">
              <a16:creationId xmlns:a16="http://schemas.microsoft.com/office/drawing/2014/main" id="{996E90C0-16C6-4CB1-9E8E-8AB460FE6C93}"/>
            </a:ext>
          </a:extLst>
        </xdr:cNvPr>
        <xdr:cNvCxnSpPr/>
      </xdr:nvCxnSpPr>
      <xdr:spPr>
        <a:xfrm>
          <a:off x="723900" y="24534876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1175</xdr:row>
      <xdr:rowOff>0</xdr:rowOff>
    </xdr:from>
    <xdr:to>
      <xdr:col>3</xdr:col>
      <xdr:colOff>11674</xdr:colOff>
      <xdr:row>1175</xdr:row>
      <xdr:rowOff>0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2B558155-7935-4674-8247-606414069670}"/>
            </a:ext>
          </a:extLst>
        </xdr:cNvPr>
        <xdr:cNvCxnSpPr/>
      </xdr:nvCxnSpPr>
      <xdr:spPr>
        <a:xfrm>
          <a:off x="723900" y="2489758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1175</xdr:row>
      <xdr:rowOff>0</xdr:rowOff>
    </xdr:from>
    <xdr:to>
      <xdr:col>3</xdr:col>
      <xdr:colOff>11674</xdr:colOff>
      <xdr:row>1175</xdr:row>
      <xdr:rowOff>0</xdr:rowOff>
    </xdr:to>
    <xdr:cxnSp macro="">
      <xdr:nvCxnSpPr>
        <xdr:cNvPr id="72" name="Conector reto 71">
          <a:extLst>
            <a:ext uri="{FF2B5EF4-FFF2-40B4-BE49-F238E27FC236}">
              <a16:creationId xmlns:a16="http://schemas.microsoft.com/office/drawing/2014/main" id="{C7029511-2F4F-49BF-B0E2-5592743E102B}"/>
            </a:ext>
          </a:extLst>
        </xdr:cNvPr>
        <xdr:cNvCxnSpPr/>
      </xdr:nvCxnSpPr>
      <xdr:spPr>
        <a:xfrm>
          <a:off x="723900" y="2489758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1181</xdr:row>
      <xdr:rowOff>0</xdr:rowOff>
    </xdr:from>
    <xdr:to>
      <xdr:col>3</xdr:col>
      <xdr:colOff>11674</xdr:colOff>
      <xdr:row>1181</xdr:row>
      <xdr:rowOff>0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C57A5514-5BD5-4244-9307-8E9D1FFB91E7}"/>
            </a:ext>
          </a:extLst>
        </xdr:cNvPr>
        <xdr:cNvCxnSpPr/>
      </xdr:nvCxnSpPr>
      <xdr:spPr>
        <a:xfrm>
          <a:off x="723900" y="2502560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1181</xdr:row>
      <xdr:rowOff>0</xdr:rowOff>
    </xdr:from>
    <xdr:to>
      <xdr:col>3</xdr:col>
      <xdr:colOff>11674</xdr:colOff>
      <xdr:row>1181</xdr:row>
      <xdr:rowOff>0</xdr:rowOff>
    </xdr:to>
    <xdr:cxnSp macro="">
      <xdr:nvCxnSpPr>
        <xdr:cNvPr id="74" name="Conector reto 73">
          <a:extLst>
            <a:ext uri="{FF2B5EF4-FFF2-40B4-BE49-F238E27FC236}">
              <a16:creationId xmlns:a16="http://schemas.microsoft.com/office/drawing/2014/main" id="{BA11CA05-7F53-4FAD-83E7-9B547683E686}"/>
            </a:ext>
          </a:extLst>
        </xdr:cNvPr>
        <xdr:cNvCxnSpPr/>
      </xdr:nvCxnSpPr>
      <xdr:spPr>
        <a:xfrm>
          <a:off x="723900" y="25025604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1210</xdr:row>
      <xdr:rowOff>0</xdr:rowOff>
    </xdr:from>
    <xdr:to>
      <xdr:col>3</xdr:col>
      <xdr:colOff>11674</xdr:colOff>
      <xdr:row>1210</xdr:row>
      <xdr:rowOff>0</xdr:rowOff>
    </xdr:to>
    <xdr:cxnSp macro="">
      <xdr:nvCxnSpPr>
        <xdr:cNvPr id="75" name="Conector reto 74">
          <a:extLst>
            <a:ext uri="{FF2B5EF4-FFF2-40B4-BE49-F238E27FC236}">
              <a16:creationId xmlns:a16="http://schemas.microsoft.com/office/drawing/2014/main" id="{0266334C-D054-4749-B128-DC18FD110511}"/>
            </a:ext>
          </a:extLst>
        </xdr:cNvPr>
        <xdr:cNvCxnSpPr/>
      </xdr:nvCxnSpPr>
      <xdr:spPr>
        <a:xfrm>
          <a:off x="723900" y="2564434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1210</xdr:row>
      <xdr:rowOff>0</xdr:rowOff>
    </xdr:from>
    <xdr:to>
      <xdr:col>3</xdr:col>
      <xdr:colOff>11674</xdr:colOff>
      <xdr:row>1210</xdr:row>
      <xdr:rowOff>0</xdr:rowOff>
    </xdr:to>
    <xdr:cxnSp macro="">
      <xdr:nvCxnSpPr>
        <xdr:cNvPr id="76" name="Conector reto 75">
          <a:extLst>
            <a:ext uri="{FF2B5EF4-FFF2-40B4-BE49-F238E27FC236}">
              <a16:creationId xmlns:a16="http://schemas.microsoft.com/office/drawing/2014/main" id="{17BEAE91-B268-43EA-9E8E-683904679087}"/>
            </a:ext>
          </a:extLst>
        </xdr:cNvPr>
        <xdr:cNvCxnSpPr/>
      </xdr:nvCxnSpPr>
      <xdr:spPr>
        <a:xfrm>
          <a:off x="723900" y="256443480"/>
          <a:ext cx="7753594" cy="0"/>
        </a:xfrm>
        <a:prstGeom prst="line">
          <a:avLst/>
        </a:prstGeom>
        <a:ln w="9525" cmpd="dbl">
          <a:solidFill>
            <a:srgbClr val="C6591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1">
    <v>1</v>
    <v>5</v>
    <v>http://www.premiumwines.com.br/images/flag-es_24.png</v>
  </rv>
  <rv s="1">
    <v>2</v>
    <v>5</v>
    <v>Bandeira da Grécia</v>
  </rv>
  <rv s="1">
    <v>3</v>
    <v>5</v>
    <v>http://www.premiumwines.com.br/images/flag-pt_24.png</v>
  </rv>
  <rv s="1">
    <v>4</v>
    <v>5</v>
    <v>http://www.premiumwines.com.br/images/flag-it_24.png</v>
  </rv>
  <rv s="1">
    <v>5</v>
    <v>5</v>
    <v>http://www.premiumwines.com.br/images/flag-fr_24.png</v>
  </rv>
  <rv s="1">
    <v>6</v>
    <v>5</v>
    <v>http://www.premiumwines.com.br/images/flag-cl_24.png</v>
  </rv>
  <rv s="1">
    <v>7</v>
    <v>5</v>
    <v>http://www.premiumwines.com.br/images/flag-ar_24.png</v>
  </rv>
  <rv s="1">
    <v>8</v>
    <v>5</v>
    <v>http://www.premiumwines.com.br/images/flag-uy_24.png</v>
  </rv>
  <rv s="1">
    <v>9</v>
    <v>5</v>
    <v>http://www.premiumwines.com.br/images/flag-nz_24.png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4"/>
  <sheetViews>
    <sheetView tabSelected="1" workbookViewId="0">
      <selection activeCell="F350" sqref="F350"/>
    </sheetView>
  </sheetViews>
  <sheetFormatPr defaultRowHeight="15.6"/>
  <cols>
    <col min="2" max="2" width="59.19921875" bestFit="1" customWidth="1"/>
    <col min="3" max="3" width="95.69921875" bestFit="1" customWidth="1"/>
    <col min="4" max="4" width="11.296875" style="146" bestFit="1" customWidth="1"/>
    <col min="5" max="5" width="16.796875" style="145" bestFit="1" customWidth="1"/>
    <col min="6" max="6" width="8.8984375" style="91"/>
  </cols>
  <sheetData>
    <row r="1" spans="1:5">
      <c r="A1" s="91"/>
      <c r="B1" s="91"/>
      <c r="C1" s="91"/>
      <c r="D1" s="144"/>
    </row>
    <row r="2" spans="1:5">
      <c r="A2" s="91"/>
      <c r="B2" s="91"/>
      <c r="C2" s="91"/>
      <c r="D2" s="144"/>
    </row>
    <row r="3" spans="1:5">
      <c r="A3" s="91"/>
      <c r="B3" s="91"/>
      <c r="C3" s="91"/>
      <c r="D3" s="144"/>
    </row>
    <row r="4" spans="1:5">
      <c r="A4" s="91"/>
      <c r="B4" s="91"/>
      <c r="C4" s="91"/>
      <c r="D4" s="144"/>
    </row>
    <row r="5" spans="1:5">
      <c r="A5" s="91"/>
      <c r="B5" s="91"/>
      <c r="C5" s="91"/>
      <c r="D5" s="144"/>
    </row>
    <row r="6" spans="1:5">
      <c r="A6" s="91"/>
      <c r="B6" s="91"/>
      <c r="C6" s="91"/>
      <c r="D6" s="144"/>
    </row>
    <row r="7" spans="1:5">
      <c r="A7" s="91"/>
      <c r="B7" s="91"/>
      <c r="C7" s="91"/>
      <c r="D7" s="144"/>
    </row>
    <row r="8" spans="1:5">
      <c r="A8" s="91"/>
    </row>
    <row r="9" spans="1:5">
      <c r="A9" s="87"/>
      <c r="B9" s="185" t="s">
        <v>0</v>
      </c>
      <c r="C9" s="185"/>
      <c r="D9" s="185"/>
    </row>
    <row r="10" spans="1:5">
      <c r="A10" s="87"/>
      <c r="B10" s="185"/>
      <c r="C10" s="185"/>
      <c r="D10" s="185"/>
    </row>
    <row r="11" spans="1:5">
      <c r="A11" s="87"/>
      <c r="B11" s="2"/>
      <c r="C11" s="3"/>
      <c r="D11" s="147"/>
    </row>
    <row r="12" spans="1:5" ht="21">
      <c r="A12" s="98" t="e" vm="1">
        <v>#VALUE!</v>
      </c>
      <c r="B12" s="4" t="s">
        <v>1</v>
      </c>
      <c r="C12" s="143"/>
      <c r="D12" s="148"/>
    </row>
    <row r="13" spans="1:5" ht="20.399999999999999">
      <c r="A13" s="98"/>
      <c r="B13" s="99" t="s">
        <v>2</v>
      </c>
      <c r="C13" s="143"/>
      <c r="D13" s="148"/>
    </row>
    <row r="14" spans="1:5">
      <c r="A14" s="98"/>
      <c r="B14" s="100"/>
      <c r="C14" s="143"/>
      <c r="D14" s="148"/>
    </row>
    <row r="15" spans="1:5" ht="18">
      <c r="A15" s="26"/>
      <c r="B15" s="101" t="s">
        <v>3</v>
      </c>
      <c r="C15" s="6"/>
      <c r="D15" s="147" t="s">
        <v>4</v>
      </c>
      <c r="E15" s="147" t="s">
        <v>932</v>
      </c>
    </row>
    <row r="16" spans="1:5">
      <c r="A16" s="26"/>
      <c r="B16" s="7" t="s">
        <v>5</v>
      </c>
      <c r="C16" s="8" t="s">
        <v>6</v>
      </c>
      <c r="D16" s="149">
        <v>380</v>
      </c>
      <c r="E16" s="180">
        <f>D16*57%</f>
        <v>216.6</v>
      </c>
    </row>
    <row r="17" spans="1:5">
      <c r="A17" s="26"/>
      <c r="B17" s="7"/>
      <c r="C17" s="9" t="s">
        <v>7</v>
      </c>
      <c r="D17" s="150">
        <v>473</v>
      </c>
      <c r="E17" s="145">
        <f t="shared" ref="E17:E19" si="0">D17*57%</f>
        <v>269.60999999999996</v>
      </c>
    </row>
    <row r="18" spans="1:5">
      <c r="A18" s="26"/>
      <c r="B18" s="7"/>
      <c r="C18" s="10" t="s">
        <v>8</v>
      </c>
      <c r="D18" s="149">
        <v>482</v>
      </c>
      <c r="E18" s="180">
        <f t="shared" si="0"/>
        <v>274.73999999999995</v>
      </c>
    </row>
    <row r="19" spans="1:5">
      <c r="A19" s="26"/>
      <c r="B19" s="7"/>
      <c r="C19" s="11" t="s">
        <v>9</v>
      </c>
      <c r="D19" s="151">
        <v>608</v>
      </c>
      <c r="E19" s="145">
        <f t="shared" si="0"/>
        <v>346.55999999999995</v>
      </c>
    </row>
    <row r="20" spans="1:5">
      <c r="A20" s="26"/>
      <c r="B20" s="7"/>
      <c r="C20" s="12" t="s">
        <v>10</v>
      </c>
      <c r="D20" s="152" t="s">
        <v>11</v>
      </c>
      <c r="E20" s="181" t="s">
        <v>11</v>
      </c>
    </row>
    <row r="21" spans="1:5">
      <c r="A21" s="26"/>
      <c r="B21" s="7"/>
      <c r="C21" s="13" t="s">
        <v>12</v>
      </c>
      <c r="D21" s="151">
        <v>1075</v>
      </c>
      <c r="E21" s="145">
        <f>D21*57%</f>
        <v>612.75</v>
      </c>
    </row>
    <row r="22" spans="1:5">
      <c r="A22" s="26"/>
      <c r="B22" s="14"/>
      <c r="C22" s="15"/>
      <c r="D22" s="150"/>
    </row>
    <row r="23" spans="1:5">
      <c r="A23" s="26"/>
      <c r="B23" s="7" t="s">
        <v>13</v>
      </c>
      <c r="C23" s="8" t="s">
        <v>14</v>
      </c>
      <c r="D23" s="152" t="s">
        <v>11</v>
      </c>
      <c r="E23" s="181" t="s">
        <v>11</v>
      </c>
    </row>
    <row r="24" spans="1:5">
      <c r="A24" s="26"/>
      <c r="B24" s="7"/>
      <c r="C24" s="13" t="s">
        <v>15</v>
      </c>
      <c r="D24" s="151">
        <v>791</v>
      </c>
      <c r="E24" s="145">
        <f>D24*57%</f>
        <v>450.86999999999995</v>
      </c>
    </row>
    <row r="25" spans="1:5">
      <c r="A25" s="26"/>
      <c r="B25" s="25"/>
      <c r="C25" s="16"/>
      <c r="D25" s="150"/>
    </row>
    <row r="26" spans="1:5" ht="20.399999999999999">
      <c r="A26" s="98" t="e" vm="1">
        <v>#VALUE!</v>
      </c>
      <c r="B26" s="99" t="s">
        <v>16</v>
      </c>
      <c r="C26" s="17"/>
      <c r="D26" s="150"/>
    </row>
    <row r="27" spans="1:5" ht="21">
      <c r="A27" s="26"/>
      <c r="B27" s="100"/>
      <c r="C27" s="18"/>
      <c r="D27" s="150"/>
    </row>
    <row r="28" spans="1:5" ht="21">
      <c r="A28" s="26"/>
      <c r="B28" s="27" t="s">
        <v>17</v>
      </c>
      <c r="C28" s="18"/>
      <c r="D28" s="150"/>
    </row>
    <row r="29" spans="1:5">
      <c r="A29" s="26"/>
      <c r="B29" s="7" t="s">
        <v>5</v>
      </c>
      <c r="C29" s="19" t="s">
        <v>18</v>
      </c>
      <c r="D29" s="149">
        <v>269</v>
      </c>
      <c r="E29" s="180">
        <f t="shared" ref="E29:E32" si="1">D29*57%</f>
        <v>153.32999999999998</v>
      </c>
    </row>
    <row r="30" spans="1:5">
      <c r="A30" s="26"/>
      <c r="B30" s="7"/>
      <c r="C30" s="20" t="s">
        <v>19</v>
      </c>
      <c r="D30" s="151">
        <v>461</v>
      </c>
      <c r="E30" s="145">
        <f t="shared" si="1"/>
        <v>262.77</v>
      </c>
    </row>
    <row r="31" spans="1:5">
      <c r="A31" s="26"/>
      <c r="B31" s="7"/>
      <c r="C31" s="19" t="s">
        <v>20</v>
      </c>
      <c r="D31" s="149">
        <v>608</v>
      </c>
      <c r="E31" s="180">
        <f t="shared" si="1"/>
        <v>346.55999999999995</v>
      </c>
    </row>
    <row r="32" spans="1:5">
      <c r="A32" s="26"/>
      <c r="B32" s="7"/>
      <c r="C32" s="21" t="s">
        <v>21</v>
      </c>
      <c r="D32" s="151">
        <v>1105</v>
      </c>
      <c r="E32" s="145">
        <f t="shared" si="1"/>
        <v>629.84999999999991</v>
      </c>
    </row>
    <row r="33" spans="1:5">
      <c r="A33" s="26"/>
      <c r="B33" s="22"/>
      <c r="C33" s="23"/>
      <c r="D33" s="150"/>
    </row>
    <row r="34" spans="1:5">
      <c r="A34" s="39"/>
      <c r="B34" s="24" t="s">
        <v>22</v>
      </c>
      <c r="C34" s="8" t="s">
        <v>23</v>
      </c>
      <c r="D34" s="149">
        <v>404</v>
      </c>
      <c r="E34" s="180">
        <f>D34*57%</f>
        <v>230.27999999999997</v>
      </c>
    </row>
    <row r="35" spans="1:5">
      <c r="A35" s="87"/>
      <c r="B35" s="25"/>
      <c r="C35" s="16"/>
      <c r="D35" s="147"/>
    </row>
    <row r="36" spans="1:5" ht="21">
      <c r="A36" s="98" t="e" vm="2">
        <v>#VALUE!</v>
      </c>
      <c r="B36" s="102" t="s">
        <v>24</v>
      </c>
      <c r="C36" s="5"/>
      <c r="D36" s="148"/>
    </row>
    <row r="37" spans="1:5" ht="20.399999999999999">
      <c r="A37" s="98"/>
      <c r="B37" s="99" t="s">
        <v>25</v>
      </c>
      <c r="C37" s="5"/>
      <c r="D37" s="148"/>
    </row>
    <row r="38" spans="1:5">
      <c r="A38" s="98"/>
      <c r="B38" s="100"/>
      <c r="C38" s="5"/>
      <c r="D38" s="148"/>
    </row>
    <row r="39" spans="1:5" ht="18">
      <c r="A39" s="26"/>
      <c r="B39" s="27" t="s">
        <v>26</v>
      </c>
      <c r="C39" s="28"/>
      <c r="D39" s="148"/>
    </row>
    <row r="40" spans="1:5">
      <c r="A40" s="26"/>
      <c r="B40" s="7" t="s">
        <v>5</v>
      </c>
      <c r="C40" s="29" t="s">
        <v>27</v>
      </c>
      <c r="D40" s="149">
        <v>173</v>
      </c>
      <c r="E40" s="180">
        <f t="shared" ref="E40:E42" si="2">D40*57%</f>
        <v>98.609999999999985</v>
      </c>
    </row>
    <row r="41" spans="1:5">
      <c r="A41" s="26"/>
      <c r="B41" s="7"/>
      <c r="C41" s="30" t="s">
        <v>28</v>
      </c>
      <c r="D41" s="151">
        <v>272</v>
      </c>
      <c r="E41" s="145">
        <f t="shared" si="2"/>
        <v>155.04</v>
      </c>
    </row>
    <row r="42" spans="1:5">
      <c r="A42" s="26"/>
      <c r="B42" s="7"/>
      <c r="C42" s="29" t="s">
        <v>29</v>
      </c>
      <c r="D42" s="149">
        <v>955</v>
      </c>
      <c r="E42" s="180">
        <f t="shared" si="2"/>
        <v>544.34999999999991</v>
      </c>
    </row>
    <row r="43" spans="1:5">
      <c r="A43" s="26"/>
      <c r="B43" s="14"/>
      <c r="C43" s="31"/>
      <c r="D43" s="151"/>
    </row>
    <row r="44" spans="1:5">
      <c r="A44" s="26"/>
      <c r="B44" s="7" t="s">
        <v>22</v>
      </c>
      <c r="C44" s="29" t="s">
        <v>30</v>
      </c>
      <c r="D44" s="149">
        <v>173</v>
      </c>
      <c r="E44" s="180">
        <f t="shared" ref="E44:E49" si="3">D44*57%</f>
        <v>98.609999999999985</v>
      </c>
    </row>
    <row r="45" spans="1:5">
      <c r="A45" s="26"/>
      <c r="B45" s="7"/>
      <c r="C45" s="30" t="s">
        <v>31</v>
      </c>
      <c r="D45" s="151">
        <v>262</v>
      </c>
      <c r="E45" s="145">
        <f t="shared" si="3"/>
        <v>149.33999999999997</v>
      </c>
    </row>
    <row r="46" spans="1:5">
      <c r="A46" s="26"/>
      <c r="B46" s="7"/>
      <c r="C46" s="29" t="s">
        <v>32</v>
      </c>
      <c r="D46" s="149">
        <v>399</v>
      </c>
      <c r="E46" s="180">
        <f t="shared" si="3"/>
        <v>227.42999999999998</v>
      </c>
    </row>
    <row r="47" spans="1:5">
      <c r="A47" s="26"/>
      <c r="B47" s="7"/>
      <c r="C47" s="30" t="s">
        <v>33</v>
      </c>
      <c r="D47" s="151">
        <v>543</v>
      </c>
      <c r="E47" s="145">
        <f t="shared" si="3"/>
        <v>309.51</v>
      </c>
    </row>
    <row r="48" spans="1:5">
      <c r="A48" s="26"/>
      <c r="B48" s="7"/>
      <c r="C48" s="29" t="s">
        <v>34</v>
      </c>
      <c r="D48" s="149">
        <v>955</v>
      </c>
      <c r="E48" s="180">
        <f t="shared" si="3"/>
        <v>544.34999999999991</v>
      </c>
    </row>
    <row r="49" spans="1:5">
      <c r="A49" s="26"/>
      <c r="B49" s="7"/>
      <c r="C49" s="30" t="s">
        <v>35</v>
      </c>
      <c r="D49" s="151">
        <v>926</v>
      </c>
      <c r="E49" s="145">
        <f t="shared" si="3"/>
        <v>527.81999999999994</v>
      </c>
    </row>
    <row r="50" spans="1:5">
      <c r="A50" s="26"/>
      <c r="B50" s="25"/>
      <c r="C50" s="32"/>
      <c r="D50" s="148"/>
    </row>
    <row r="51" spans="1:5" ht="20.399999999999999">
      <c r="A51" s="98" t="e" vm="2">
        <v>#VALUE!</v>
      </c>
      <c r="B51" s="99" t="s">
        <v>36</v>
      </c>
      <c r="C51" s="33"/>
      <c r="D51" s="148"/>
    </row>
    <row r="52" spans="1:5" ht="18">
      <c r="A52" s="103"/>
      <c r="B52" s="91"/>
      <c r="C52" s="34"/>
      <c r="D52" s="148"/>
    </row>
    <row r="53" spans="1:5" ht="18">
      <c r="A53" s="26"/>
      <c r="B53" s="27" t="s">
        <v>37</v>
      </c>
      <c r="C53" s="34"/>
      <c r="D53" s="148"/>
    </row>
    <row r="54" spans="1:5">
      <c r="A54" s="26"/>
      <c r="B54" s="7" t="s">
        <v>5</v>
      </c>
      <c r="C54" s="10" t="s">
        <v>38</v>
      </c>
      <c r="D54" s="149">
        <v>278</v>
      </c>
      <c r="E54" s="180">
        <f t="shared" ref="E54:E55" si="4">D54*57%</f>
        <v>158.45999999999998</v>
      </c>
    </row>
    <row r="55" spans="1:5">
      <c r="A55" s="26"/>
      <c r="B55" s="7"/>
      <c r="C55" s="35" t="s">
        <v>39</v>
      </c>
      <c r="D55" s="150">
        <v>328</v>
      </c>
      <c r="E55" s="145">
        <f t="shared" si="4"/>
        <v>186.95999999999998</v>
      </c>
    </row>
    <row r="56" spans="1:5">
      <c r="A56" s="26"/>
      <c r="B56" s="7"/>
      <c r="C56" s="35"/>
      <c r="D56" s="150"/>
    </row>
    <row r="57" spans="1:5">
      <c r="A57" s="26"/>
      <c r="B57" s="7" t="s">
        <v>22</v>
      </c>
      <c r="C57" s="10" t="s">
        <v>40</v>
      </c>
      <c r="D57" s="149">
        <v>329</v>
      </c>
      <c r="E57" s="180">
        <f>D57*57%</f>
        <v>187.52999999999997</v>
      </c>
    </row>
    <row r="58" spans="1:5">
      <c r="A58" s="26"/>
      <c r="B58" s="36"/>
      <c r="C58" s="37"/>
      <c r="D58" s="151"/>
    </row>
    <row r="59" spans="1:5" ht="20.399999999999999">
      <c r="A59" s="98" t="e" vm="2">
        <v>#VALUE!</v>
      </c>
      <c r="B59" s="99" t="s">
        <v>41</v>
      </c>
      <c r="C59" s="33"/>
      <c r="D59" s="148"/>
    </row>
    <row r="60" spans="1:5" ht="18">
      <c r="A60" s="103"/>
      <c r="B60" s="91"/>
      <c r="C60" s="34"/>
      <c r="D60" s="148"/>
    </row>
    <row r="61" spans="1:5" ht="18">
      <c r="A61" s="26"/>
      <c r="B61" s="27" t="s">
        <v>42</v>
      </c>
      <c r="C61" s="33"/>
      <c r="D61" s="148"/>
    </row>
    <row r="62" spans="1:5">
      <c r="A62" s="26"/>
      <c r="B62" s="7" t="s">
        <v>5</v>
      </c>
      <c r="C62" s="10" t="s">
        <v>43</v>
      </c>
      <c r="D62" s="149">
        <v>300</v>
      </c>
      <c r="E62" s="180">
        <f t="shared" ref="E62:E63" si="5">D62*57%</f>
        <v>170.99999999999997</v>
      </c>
    </row>
    <row r="63" spans="1:5">
      <c r="A63" s="26"/>
      <c r="B63" s="7"/>
      <c r="C63" s="37" t="s">
        <v>44</v>
      </c>
      <c r="D63" s="151">
        <v>355</v>
      </c>
      <c r="E63" s="145">
        <f t="shared" si="5"/>
        <v>202.35</v>
      </c>
    </row>
    <row r="64" spans="1:5">
      <c r="A64" s="26"/>
      <c r="B64" s="25"/>
      <c r="C64" s="32"/>
      <c r="D64" s="148"/>
    </row>
    <row r="65" spans="1:5" ht="20.399999999999999">
      <c r="A65" s="98" t="e" vm="2">
        <v>#VALUE!</v>
      </c>
      <c r="B65" s="99" t="s">
        <v>45</v>
      </c>
      <c r="C65" s="33"/>
      <c r="D65" s="148"/>
    </row>
    <row r="66" spans="1:5" ht="18">
      <c r="A66" s="103"/>
      <c r="B66" s="91"/>
      <c r="C66" s="34"/>
      <c r="D66" s="148"/>
    </row>
    <row r="67" spans="1:5" ht="18">
      <c r="A67" s="26"/>
      <c r="B67" s="27" t="s">
        <v>46</v>
      </c>
      <c r="C67" s="34"/>
      <c r="D67" s="148"/>
    </row>
    <row r="68" spans="1:5">
      <c r="A68" s="26"/>
      <c r="B68" s="7" t="s">
        <v>5</v>
      </c>
      <c r="C68" s="10" t="s">
        <v>47</v>
      </c>
      <c r="D68" s="152" t="s">
        <v>11</v>
      </c>
      <c r="E68" s="181" t="s">
        <v>11</v>
      </c>
    </row>
    <row r="69" spans="1:5">
      <c r="A69" s="26"/>
      <c r="B69" s="7"/>
      <c r="C69" s="37" t="s">
        <v>48</v>
      </c>
      <c r="D69" s="154" t="s">
        <v>11</v>
      </c>
      <c r="E69" s="153" t="s">
        <v>11</v>
      </c>
    </row>
    <row r="70" spans="1:5">
      <c r="A70" s="26"/>
      <c r="B70" s="7"/>
      <c r="C70" s="10" t="s">
        <v>49</v>
      </c>
      <c r="D70" s="152" t="s">
        <v>11</v>
      </c>
      <c r="E70" s="181" t="s">
        <v>11</v>
      </c>
    </row>
    <row r="71" spans="1:5">
      <c r="A71" s="26"/>
      <c r="B71" s="7"/>
      <c r="C71" s="37" t="s">
        <v>50</v>
      </c>
      <c r="D71" s="151">
        <v>321</v>
      </c>
      <c r="E71" s="145">
        <f t="shared" ref="E71:E75" si="6">D71*57%</f>
        <v>182.96999999999997</v>
      </c>
    </row>
    <row r="72" spans="1:5">
      <c r="A72" s="26"/>
      <c r="B72" s="7"/>
      <c r="C72" s="10" t="s">
        <v>51</v>
      </c>
      <c r="D72" s="149">
        <v>325</v>
      </c>
      <c r="E72" s="180">
        <f t="shared" si="6"/>
        <v>185.24999999999997</v>
      </c>
    </row>
    <row r="73" spans="1:5">
      <c r="A73" s="26"/>
      <c r="B73" s="7"/>
      <c r="C73" s="37" t="s">
        <v>52</v>
      </c>
      <c r="D73" s="151">
        <v>399</v>
      </c>
      <c r="E73" s="145">
        <f t="shared" si="6"/>
        <v>227.42999999999998</v>
      </c>
    </row>
    <row r="74" spans="1:5">
      <c r="A74" s="26"/>
      <c r="B74" s="7"/>
      <c r="C74" s="10" t="s">
        <v>53</v>
      </c>
      <c r="D74" s="155">
        <v>452</v>
      </c>
      <c r="E74" s="180">
        <f t="shared" si="6"/>
        <v>257.64</v>
      </c>
    </row>
    <row r="75" spans="1:5">
      <c r="A75" s="26"/>
      <c r="B75" s="7"/>
      <c r="C75" s="37" t="s">
        <v>54</v>
      </c>
      <c r="D75" s="151">
        <v>469</v>
      </c>
      <c r="E75" s="145">
        <f t="shared" si="6"/>
        <v>267.33</v>
      </c>
    </row>
    <row r="76" spans="1:5">
      <c r="A76" s="26"/>
      <c r="B76" s="25"/>
      <c r="C76" s="32"/>
      <c r="D76" s="148"/>
    </row>
    <row r="77" spans="1:5">
      <c r="A77" s="26"/>
      <c r="B77" s="24" t="s">
        <v>13</v>
      </c>
      <c r="C77" s="10" t="s">
        <v>55</v>
      </c>
      <c r="D77" s="152" t="s">
        <v>11</v>
      </c>
      <c r="E77" s="181" t="s">
        <v>11</v>
      </c>
    </row>
    <row r="78" spans="1:5">
      <c r="A78" s="26"/>
      <c r="B78" s="24"/>
      <c r="C78" s="37"/>
      <c r="D78" s="154"/>
    </row>
    <row r="79" spans="1:5" ht="20.399999999999999">
      <c r="A79" s="98" t="e" vm="2">
        <v>#VALUE!</v>
      </c>
      <c r="B79" s="99" t="s">
        <v>56</v>
      </c>
      <c r="C79" s="33"/>
      <c r="D79" s="148"/>
    </row>
    <row r="80" spans="1:5" ht="18">
      <c r="A80" s="26"/>
      <c r="B80" s="38"/>
      <c r="C80" s="33"/>
      <c r="D80" s="148"/>
    </row>
    <row r="81" spans="1:5" ht="18">
      <c r="A81" s="26"/>
      <c r="B81" s="27" t="s">
        <v>57</v>
      </c>
      <c r="C81" s="33"/>
      <c r="D81" s="148"/>
    </row>
    <row r="82" spans="1:5">
      <c r="A82" s="39"/>
      <c r="B82" s="7" t="s">
        <v>22</v>
      </c>
      <c r="C82" s="10" t="s">
        <v>58</v>
      </c>
      <c r="D82" s="156">
        <v>113</v>
      </c>
      <c r="E82" s="180">
        <f t="shared" ref="E82:E84" si="7">D82*57%</f>
        <v>64.41</v>
      </c>
    </row>
    <row r="83" spans="1:5">
      <c r="A83" s="26"/>
      <c r="B83" s="7"/>
      <c r="C83" s="37" t="s">
        <v>59</v>
      </c>
      <c r="D83" s="157">
        <v>128</v>
      </c>
      <c r="E83" s="145">
        <f t="shared" si="7"/>
        <v>72.959999999999994</v>
      </c>
    </row>
    <row r="84" spans="1:5">
      <c r="A84" s="26"/>
      <c r="B84" s="7"/>
      <c r="C84" s="10" t="s">
        <v>60</v>
      </c>
      <c r="D84" s="156">
        <v>164</v>
      </c>
      <c r="E84" s="180">
        <f t="shared" si="7"/>
        <v>93.47999999999999</v>
      </c>
    </row>
    <row r="85" spans="1:5">
      <c r="A85" s="26"/>
      <c r="B85" s="7"/>
      <c r="C85" s="37"/>
      <c r="D85" s="151"/>
    </row>
    <row r="86" spans="1:5" ht="20.399999999999999">
      <c r="A86" s="98" t="e" vm="2">
        <v>#VALUE!</v>
      </c>
      <c r="B86" s="99" t="s">
        <v>61</v>
      </c>
      <c r="C86" s="33"/>
      <c r="D86" s="148"/>
    </row>
    <row r="87" spans="1:5" ht="18">
      <c r="A87" s="26"/>
      <c r="B87" s="38"/>
      <c r="C87" s="34"/>
      <c r="D87" s="148"/>
    </row>
    <row r="88" spans="1:5" ht="18">
      <c r="A88" s="26"/>
      <c r="B88" s="27" t="s">
        <v>62</v>
      </c>
      <c r="C88" s="40"/>
      <c r="D88" s="148"/>
    </row>
    <row r="89" spans="1:5">
      <c r="A89" s="26"/>
      <c r="B89" s="24" t="s">
        <v>5</v>
      </c>
      <c r="C89" s="41" t="s">
        <v>63</v>
      </c>
      <c r="D89" s="149">
        <v>1284</v>
      </c>
      <c r="E89" s="180">
        <f>D89*57%</f>
        <v>731.87999999999988</v>
      </c>
    </row>
    <row r="90" spans="1:5">
      <c r="A90" s="26"/>
      <c r="B90" s="42"/>
      <c r="C90" s="43"/>
      <c r="D90" s="148"/>
    </row>
    <row r="91" spans="1:5" ht="20.399999999999999">
      <c r="A91" s="98" t="e" vm="2">
        <v>#VALUE!</v>
      </c>
      <c r="B91" s="99" t="s">
        <v>64</v>
      </c>
      <c r="C91" s="33"/>
      <c r="D91" s="148"/>
    </row>
    <row r="92" spans="1:5" ht="18">
      <c r="A92" s="26"/>
      <c r="B92" s="38"/>
      <c r="C92" s="34"/>
      <c r="D92" s="148"/>
    </row>
    <row r="93" spans="1:5" ht="18">
      <c r="A93" s="26"/>
      <c r="B93" s="27" t="s">
        <v>65</v>
      </c>
      <c r="C93" s="40"/>
      <c r="D93" s="148"/>
    </row>
    <row r="94" spans="1:5">
      <c r="A94" s="26"/>
      <c r="B94" s="7" t="s">
        <v>5</v>
      </c>
      <c r="C94" s="44" t="s">
        <v>66</v>
      </c>
      <c r="D94" s="149">
        <v>610</v>
      </c>
      <c r="E94" s="180">
        <f t="shared" ref="E94:E95" si="8">D94*57%</f>
        <v>347.7</v>
      </c>
    </row>
    <row r="95" spans="1:5">
      <c r="A95" s="26"/>
      <c r="B95" s="7"/>
      <c r="C95" s="45" t="s">
        <v>67</v>
      </c>
      <c r="D95" s="150">
        <v>1238</v>
      </c>
      <c r="E95" s="145">
        <f t="shared" si="8"/>
        <v>705.66</v>
      </c>
    </row>
    <row r="96" spans="1:5">
      <c r="A96" s="26"/>
      <c r="B96" s="25"/>
      <c r="C96" s="32"/>
      <c r="D96" s="148"/>
    </row>
    <row r="97" spans="1:5" ht="18">
      <c r="A97" s="26"/>
      <c r="B97" s="27" t="s">
        <v>68</v>
      </c>
      <c r="C97" s="46"/>
      <c r="D97" s="148"/>
    </row>
    <row r="98" spans="1:5">
      <c r="A98" s="26"/>
      <c r="B98" s="24" t="s">
        <v>5</v>
      </c>
      <c r="C98" s="10" t="s">
        <v>69</v>
      </c>
      <c r="D98" s="155">
        <v>158</v>
      </c>
      <c r="E98" s="180">
        <f>D98*57%</f>
        <v>90.059999999999988</v>
      </c>
    </row>
    <row r="99" spans="1:5">
      <c r="A99" s="26"/>
      <c r="B99" s="47"/>
      <c r="C99" s="37"/>
      <c r="D99" s="151"/>
    </row>
    <row r="100" spans="1:5">
      <c r="A100" s="26"/>
      <c r="B100" s="7" t="s">
        <v>22</v>
      </c>
      <c r="C100" s="10" t="s">
        <v>70</v>
      </c>
      <c r="D100" s="149">
        <v>148</v>
      </c>
      <c r="E100" s="180">
        <f t="shared" ref="E100:E103" si="9">D100*57%</f>
        <v>84.36</v>
      </c>
    </row>
    <row r="101" spans="1:5">
      <c r="A101" s="26"/>
      <c r="B101" s="7"/>
      <c r="C101" s="37" t="s">
        <v>71</v>
      </c>
      <c r="D101" s="151">
        <v>188</v>
      </c>
      <c r="E101" s="145">
        <f t="shared" si="9"/>
        <v>107.16</v>
      </c>
    </row>
    <row r="102" spans="1:5">
      <c r="A102" s="26"/>
      <c r="B102" s="7"/>
      <c r="C102" s="10" t="s">
        <v>72</v>
      </c>
      <c r="D102" s="149">
        <v>252</v>
      </c>
      <c r="E102" s="180">
        <f t="shared" si="9"/>
        <v>143.63999999999999</v>
      </c>
    </row>
    <row r="103" spans="1:5">
      <c r="A103" s="26"/>
      <c r="B103" s="7"/>
      <c r="C103" s="37" t="s">
        <v>73</v>
      </c>
      <c r="D103" s="158">
        <v>386</v>
      </c>
      <c r="E103" s="145">
        <f t="shared" si="9"/>
        <v>220.01999999999998</v>
      </c>
    </row>
    <row r="104" spans="1:5">
      <c r="A104" s="26"/>
      <c r="B104" s="42"/>
      <c r="C104" s="32"/>
      <c r="D104" s="148"/>
    </row>
    <row r="105" spans="1:5" ht="18">
      <c r="A105" s="26"/>
      <c r="B105" s="27" t="s">
        <v>74</v>
      </c>
      <c r="C105" s="32"/>
      <c r="D105" s="148"/>
    </row>
    <row r="106" spans="1:5">
      <c r="A106" s="26"/>
      <c r="B106" s="24" t="s">
        <v>5</v>
      </c>
      <c r="C106" s="10" t="s">
        <v>75</v>
      </c>
      <c r="D106" s="149">
        <v>396</v>
      </c>
      <c r="E106" s="180">
        <f>D106*57%</f>
        <v>225.71999999999997</v>
      </c>
    </row>
    <row r="107" spans="1:5">
      <c r="A107" s="26"/>
      <c r="B107" s="14"/>
      <c r="C107" s="37"/>
      <c r="D107" s="151"/>
    </row>
    <row r="108" spans="1:5">
      <c r="A108" s="26"/>
      <c r="B108" s="7" t="s">
        <v>22</v>
      </c>
      <c r="C108" s="10" t="s">
        <v>76</v>
      </c>
      <c r="D108" s="149">
        <v>333</v>
      </c>
      <c r="E108" s="180">
        <f t="shared" ref="E108:E113" si="10">D108*57%</f>
        <v>189.80999999999997</v>
      </c>
    </row>
    <row r="109" spans="1:5">
      <c r="A109" s="26"/>
      <c r="B109" s="7"/>
      <c r="C109" s="37" t="s">
        <v>77</v>
      </c>
      <c r="D109" s="151">
        <v>361</v>
      </c>
      <c r="E109" s="145">
        <f t="shared" si="10"/>
        <v>205.76999999999998</v>
      </c>
    </row>
    <row r="110" spans="1:5">
      <c r="A110" s="26"/>
      <c r="B110" s="7"/>
      <c r="C110" s="10" t="s">
        <v>78</v>
      </c>
      <c r="D110" s="149">
        <v>638</v>
      </c>
      <c r="E110" s="180">
        <f t="shared" si="10"/>
        <v>363.65999999999997</v>
      </c>
    </row>
    <row r="111" spans="1:5">
      <c r="A111" s="26"/>
      <c r="B111" s="7"/>
      <c r="C111" s="37" t="s">
        <v>79</v>
      </c>
      <c r="D111" s="151">
        <v>720</v>
      </c>
      <c r="E111" s="145">
        <f t="shared" si="10"/>
        <v>410.4</v>
      </c>
    </row>
    <row r="112" spans="1:5">
      <c r="A112" s="26"/>
      <c r="B112" s="7"/>
      <c r="C112" s="10" t="s">
        <v>80</v>
      </c>
      <c r="D112" s="149">
        <v>1693</v>
      </c>
      <c r="E112" s="180">
        <f t="shared" si="10"/>
        <v>965.00999999999988</v>
      </c>
    </row>
    <row r="113" spans="1:5">
      <c r="A113" s="26"/>
      <c r="B113" s="7"/>
      <c r="C113" s="37" t="s">
        <v>81</v>
      </c>
      <c r="D113" s="151">
        <v>1693</v>
      </c>
      <c r="E113" s="145">
        <f t="shared" si="10"/>
        <v>965.00999999999988</v>
      </c>
    </row>
    <row r="114" spans="1:5">
      <c r="A114" s="26"/>
      <c r="B114" s="25"/>
      <c r="C114" s="32"/>
      <c r="D114" s="148"/>
    </row>
    <row r="115" spans="1:5" ht="20.399999999999999">
      <c r="A115" s="98" t="e" vm="2">
        <v>#VALUE!</v>
      </c>
      <c r="B115" s="99" t="s">
        <v>82</v>
      </c>
      <c r="C115" s="33"/>
      <c r="D115" s="148"/>
    </row>
    <row r="116" spans="1:5" ht="18">
      <c r="A116" s="26"/>
      <c r="B116" s="38"/>
      <c r="C116" s="34"/>
      <c r="D116" s="148"/>
    </row>
    <row r="117" spans="1:5" ht="18">
      <c r="A117" s="26"/>
      <c r="B117" s="27" t="s">
        <v>83</v>
      </c>
      <c r="C117" s="40"/>
      <c r="D117" s="148"/>
    </row>
    <row r="118" spans="1:5">
      <c r="A118" s="26"/>
      <c r="B118" s="7" t="s">
        <v>5</v>
      </c>
      <c r="C118" s="48" t="s">
        <v>84</v>
      </c>
      <c r="D118" s="149">
        <v>148</v>
      </c>
      <c r="E118" s="180">
        <f t="shared" ref="E118:E122" si="11">D118*57%</f>
        <v>84.36</v>
      </c>
    </row>
    <row r="119" spans="1:5">
      <c r="A119" s="26"/>
      <c r="B119" s="7"/>
      <c r="C119" s="22" t="s">
        <v>85</v>
      </c>
      <c r="D119" s="158">
        <v>110</v>
      </c>
      <c r="E119" s="145">
        <f t="shared" si="11"/>
        <v>62.699999999999996</v>
      </c>
    </row>
    <row r="120" spans="1:5">
      <c r="A120" s="26"/>
      <c r="B120" s="7"/>
      <c r="C120" s="10" t="s">
        <v>86</v>
      </c>
      <c r="D120" s="149">
        <v>207</v>
      </c>
      <c r="E120" s="180">
        <f t="shared" si="11"/>
        <v>117.99</v>
      </c>
    </row>
    <row r="121" spans="1:5">
      <c r="A121" s="26"/>
      <c r="B121" s="7"/>
      <c r="C121" s="37" t="s">
        <v>87</v>
      </c>
      <c r="D121" s="150">
        <v>241</v>
      </c>
      <c r="E121" s="145">
        <f t="shared" si="11"/>
        <v>137.36999999999998</v>
      </c>
    </row>
    <row r="122" spans="1:5">
      <c r="A122" s="26"/>
      <c r="B122" s="7"/>
      <c r="C122" s="10" t="s">
        <v>88</v>
      </c>
      <c r="D122" s="149">
        <v>270</v>
      </c>
      <c r="E122" s="180">
        <f t="shared" si="11"/>
        <v>153.89999999999998</v>
      </c>
    </row>
    <row r="123" spans="1:5">
      <c r="A123" s="26"/>
      <c r="B123" s="7"/>
      <c r="C123" s="37"/>
      <c r="D123" s="151"/>
    </row>
    <row r="124" spans="1:5" ht="20.399999999999999">
      <c r="A124" s="98" t="e" vm="2">
        <v>#VALUE!</v>
      </c>
      <c r="B124" s="99" t="s">
        <v>89</v>
      </c>
      <c r="C124" s="33"/>
      <c r="D124" s="148"/>
    </row>
    <row r="125" spans="1:5" ht="18">
      <c r="A125" s="26"/>
      <c r="B125" s="38"/>
      <c r="C125" s="33"/>
      <c r="D125" s="148"/>
    </row>
    <row r="126" spans="1:5" ht="18">
      <c r="A126" s="26"/>
      <c r="B126" s="27" t="s">
        <v>90</v>
      </c>
      <c r="C126" s="34"/>
      <c r="D126" s="148"/>
    </row>
    <row r="127" spans="1:5">
      <c r="A127" s="26"/>
      <c r="B127" s="24" t="s">
        <v>91</v>
      </c>
      <c r="C127" s="10" t="s">
        <v>92</v>
      </c>
      <c r="D127" s="149">
        <v>179</v>
      </c>
      <c r="E127" s="180">
        <f>D127*57%</f>
        <v>102.02999999999999</v>
      </c>
    </row>
    <row r="128" spans="1:5">
      <c r="A128" s="26"/>
      <c r="B128" s="14"/>
      <c r="C128" s="37"/>
      <c r="D128" s="151"/>
    </row>
    <row r="129" spans="1:5">
      <c r="A129" s="26"/>
      <c r="B129" s="7" t="s">
        <v>5</v>
      </c>
      <c r="C129" s="10" t="s">
        <v>93</v>
      </c>
      <c r="D129" s="155">
        <v>114</v>
      </c>
      <c r="E129" s="180">
        <f t="shared" ref="E129:E132" si="12">D129*57%</f>
        <v>64.97999999999999</v>
      </c>
    </row>
    <row r="130" spans="1:5">
      <c r="A130" s="26"/>
      <c r="B130" s="7"/>
      <c r="C130" s="22" t="s">
        <v>94</v>
      </c>
      <c r="D130" s="151">
        <v>167</v>
      </c>
      <c r="E130" s="145">
        <f t="shared" si="12"/>
        <v>95.19</v>
      </c>
    </row>
    <row r="131" spans="1:5">
      <c r="A131" s="26"/>
      <c r="B131" s="7"/>
      <c r="C131" s="48" t="s">
        <v>95</v>
      </c>
      <c r="D131" s="149">
        <v>168</v>
      </c>
      <c r="E131" s="180">
        <f t="shared" si="12"/>
        <v>95.759999999999991</v>
      </c>
    </row>
    <row r="132" spans="1:5">
      <c r="A132" s="26"/>
      <c r="B132" s="7"/>
      <c r="C132" s="37" t="s">
        <v>96</v>
      </c>
      <c r="D132" s="151">
        <v>206</v>
      </c>
      <c r="E132" s="145">
        <f t="shared" si="12"/>
        <v>117.41999999999999</v>
      </c>
    </row>
    <row r="133" spans="1:5">
      <c r="A133" s="26"/>
      <c r="B133" s="47"/>
      <c r="C133" s="35"/>
      <c r="D133" s="150"/>
    </row>
    <row r="134" spans="1:5">
      <c r="A134" s="26"/>
      <c r="B134" s="7" t="s">
        <v>22</v>
      </c>
      <c r="C134" s="48" t="s">
        <v>97</v>
      </c>
      <c r="D134" s="155">
        <v>114</v>
      </c>
      <c r="E134" s="180">
        <f t="shared" ref="E134:E140" si="13">D134*57%</f>
        <v>64.97999999999999</v>
      </c>
    </row>
    <row r="135" spans="1:5">
      <c r="A135" s="26"/>
      <c r="B135" s="7"/>
      <c r="C135" s="35" t="s">
        <v>98</v>
      </c>
      <c r="D135" s="150">
        <v>161</v>
      </c>
      <c r="E135" s="145">
        <f t="shared" si="13"/>
        <v>91.77</v>
      </c>
    </row>
    <row r="136" spans="1:5">
      <c r="A136" s="26"/>
      <c r="B136" s="7"/>
      <c r="C136" s="48" t="s">
        <v>99</v>
      </c>
      <c r="D136" s="149">
        <v>168</v>
      </c>
      <c r="E136" s="180">
        <f t="shared" si="13"/>
        <v>95.759999999999991</v>
      </c>
    </row>
    <row r="137" spans="1:5">
      <c r="A137" s="26"/>
      <c r="B137" s="7"/>
      <c r="C137" s="22" t="s">
        <v>100</v>
      </c>
      <c r="D137" s="151">
        <v>177</v>
      </c>
      <c r="E137" s="145">
        <f t="shared" si="13"/>
        <v>100.88999999999999</v>
      </c>
    </row>
    <row r="138" spans="1:5">
      <c r="A138" s="26"/>
      <c r="B138" s="7"/>
      <c r="C138" s="48" t="s">
        <v>101</v>
      </c>
      <c r="D138" s="149">
        <v>177</v>
      </c>
      <c r="E138" s="180">
        <f t="shared" si="13"/>
        <v>100.88999999999999</v>
      </c>
    </row>
    <row r="139" spans="1:5">
      <c r="A139" s="26"/>
      <c r="B139" s="7"/>
      <c r="C139" s="48" t="s">
        <v>102</v>
      </c>
      <c r="D139" s="149">
        <v>206</v>
      </c>
      <c r="E139" s="180">
        <f t="shared" si="13"/>
        <v>117.41999999999999</v>
      </c>
    </row>
    <row r="140" spans="1:5">
      <c r="A140" s="26"/>
      <c r="B140" s="7"/>
      <c r="C140" s="22" t="s">
        <v>103</v>
      </c>
      <c r="D140" s="151">
        <v>235</v>
      </c>
      <c r="E140" s="145">
        <f t="shared" si="13"/>
        <v>133.94999999999999</v>
      </c>
    </row>
    <row r="141" spans="1:5">
      <c r="A141" s="26"/>
      <c r="B141" s="25"/>
      <c r="C141" s="32"/>
      <c r="D141" s="148"/>
    </row>
    <row r="142" spans="1:5" ht="20.399999999999999">
      <c r="A142" s="98" t="e" vm="2">
        <v>#VALUE!</v>
      </c>
      <c r="B142" s="99" t="s">
        <v>104</v>
      </c>
      <c r="C142" s="33"/>
      <c r="D142" s="148"/>
    </row>
    <row r="143" spans="1:5" ht="18">
      <c r="A143" s="26"/>
      <c r="B143" s="38"/>
      <c r="C143" s="33"/>
      <c r="D143" s="148"/>
    </row>
    <row r="144" spans="1:5" ht="18">
      <c r="A144" s="26"/>
      <c r="B144" s="27" t="s">
        <v>83</v>
      </c>
      <c r="C144" s="40"/>
      <c r="D144" s="148"/>
    </row>
    <row r="145" spans="1:5">
      <c r="A145" s="26"/>
      <c r="B145" s="47" t="s">
        <v>22</v>
      </c>
      <c r="C145" s="48" t="s">
        <v>105</v>
      </c>
      <c r="D145" s="149">
        <v>180</v>
      </c>
      <c r="E145" s="180">
        <f>D145*57%</f>
        <v>102.6</v>
      </c>
    </row>
    <row r="146" spans="1:5">
      <c r="A146" s="26"/>
      <c r="B146" s="25"/>
      <c r="C146" s="32"/>
      <c r="D146" s="148"/>
    </row>
    <row r="147" spans="1:5" ht="21">
      <c r="A147" s="104"/>
      <c r="B147" s="25"/>
      <c r="C147" s="16"/>
      <c r="D147" s="147"/>
    </row>
    <row r="148" spans="1:5" ht="22.8">
      <c r="A148" s="98" t="e" vm="3">
        <v>#VALUE!</v>
      </c>
      <c r="B148" s="105" t="s">
        <v>106</v>
      </c>
      <c r="C148" s="5"/>
      <c r="D148" s="147"/>
    </row>
    <row r="149" spans="1:5" ht="20.399999999999999">
      <c r="A149" s="98"/>
      <c r="B149" s="99" t="s">
        <v>107</v>
      </c>
      <c r="C149" s="5"/>
      <c r="D149" s="147"/>
    </row>
    <row r="150" spans="1:5">
      <c r="A150" s="98"/>
      <c r="B150" s="100"/>
      <c r="C150" s="5"/>
      <c r="D150" s="147"/>
    </row>
    <row r="151" spans="1:5">
      <c r="A151" s="49"/>
      <c r="B151" s="7" t="s">
        <v>5</v>
      </c>
      <c r="C151" s="10" t="s">
        <v>108</v>
      </c>
      <c r="D151" s="149">
        <v>341</v>
      </c>
      <c r="E151" s="180">
        <f t="shared" ref="E151:E152" si="14">D151*57%</f>
        <v>194.36999999999998</v>
      </c>
    </row>
    <row r="152" spans="1:5">
      <c r="A152" s="49"/>
      <c r="B152" s="7"/>
      <c r="C152" s="9" t="s">
        <v>109</v>
      </c>
      <c r="D152" s="150">
        <v>620</v>
      </c>
      <c r="E152" s="145">
        <f t="shared" si="14"/>
        <v>353.4</v>
      </c>
    </row>
    <row r="153" spans="1:5">
      <c r="A153" s="49"/>
      <c r="B153" s="7"/>
      <c r="C153" s="10" t="s">
        <v>110</v>
      </c>
      <c r="D153" s="152" t="s">
        <v>11</v>
      </c>
      <c r="E153" s="181" t="s">
        <v>11</v>
      </c>
    </row>
    <row r="154" spans="1:5">
      <c r="A154" s="49"/>
      <c r="B154" s="47"/>
      <c r="C154" s="9"/>
      <c r="D154" s="150"/>
    </row>
    <row r="155" spans="1:5">
      <c r="A155" s="49"/>
      <c r="B155" s="24" t="s">
        <v>13</v>
      </c>
      <c r="C155" s="10" t="s">
        <v>111</v>
      </c>
      <c r="D155" s="152" t="s">
        <v>11</v>
      </c>
      <c r="E155" s="181" t="s">
        <v>11</v>
      </c>
    </row>
    <row r="156" spans="1:5">
      <c r="A156" s="49"/>
      <c r="B156" s="25"/>
      <c r="C156" s="16"/>
      <c r="D156" s="147"/>
    </row>
    <row r="157" spans="1:5" ht="21">
      <c r="A157" s="98" t="e" vm="4">
        <v>#VALUE!</v>
      </c>
      <c r="B157" s="102" t="s">
        <v>112</v>
      </c>
      <c r="C157" s="5"/>
      <c r="D157" s="147"/>
    </row>
    <row r="158" spans="1:5" ht="20.399999999999999">
      <c r="A158" s="98"/>
      <c r="B158" s="99" t="s">
        <v>113</v>
      </c>
      <c r="C158" s="5"/>
      <c r="D158" s="147"/>
    </row>
    <row r="159" spans="1:5">
      <c r="A159" s="98"/>
      <c r="B159" s="100"/>
      <c r="C159" s="5"/>
      <c r="D159" s="147"/>
    </row>
    <row r="160" spans="1:5" ht="18">
      <c r="A160" s="26"/>
      <c r="B160" s="27" t="s">
        <v>114</v>
      </c>
      <c r="C160" s="16"/>
      <c r="D160" s="147"/>
    </row>
    <row r="161" spans="1:5">
      <c r="A161" s="26"/>
      <c r="B161" s="7" t="s">
        <v>5</v>
      </c>
      <c r="C161" s="10" t="s">
        <v>115</v>
      </c>
      <c r="D161" s="149">
        <v>149</v>
      </c>
      <c r="E161" s="180">
        <f t="shared" ref="E161:E164" si="15">D161*57%</f>
        <v>84.929999999999993</v>
      </c>
    </row>
    <row r="162" spans="1:5">
      <c r="A162" s="26"/>
      <c r="B162" s="94"/>
      <c r="C162" s="35" t="s">
        <v>116</v>
      </c>
      <c r="D162" s="159">
        <v>199</v>
      </c>
      <c r="E162" s="145">
        <f t="shared" si="15"/>
        <v>113.42999999999999</v>
      </c>
    </row>
    <row r="163" spans="1:5">
      <c r="A163" s="26"/>
      <c r="B163" s="7"/>
      <c r="C163" s="10" t="s">
        <v>117</v>
      </c>
      <c r="D163" s="149">
        <v>501</v>
      </c>
      <c r="E163" s="180">
        <f t="shared" si="15"/>
        <v>285.57</v>
      </c>
    </row>
    <row r="164" spans="1:5">
      <c r="A164" s="26"/>
      <c r="B164" s="7"/>
      <c r="C164" s="37" t="s">
        <v>118</v>
      </c>
      <c r="D164" s="151">
        <v>501</v>
      </c>
      <c r="E164" s="145">
        <f t="shared" si="15"/>
        <v>285.57</v>
      </c>
    </row>
    <row r="165" spans="1:5">
      <c r="A165" s="26"/>
      <c r="B165" s="7"/>
      <c r="C165" s="9"/>
      <c r="D165" s="150"/>
    </row>
    <row r="166" spans="1:5">
      <c r="A166" s="26"/>
      <c r="B166" s="7" t="s">
        <v>22</v>
      </c>
      <c r="C166" s="10" t="s">
        <v>119</v>
      </c>
      <c r="D166" s="149">
        <v>149</v>
      </c>
      <c r="E166" s="180">
        <f t="shared" ref="E166:E170" si="16">D166*57%</f>
        <v>84.929999999999993</v>
      </c>
    </row>
    <row r="167" spans="1:5">
      <c r="A167" s="26"/>
      <c r="B167" s="94"/>
      <c r="C167" s="22" t="s">
        <v>120</v>
      </c>
      <c r="D167" s="159">
        <v>199</v>
      </c>
      <c r="E167" s="145">
        <f t="shared" si="16"/>
        <v>113.42999999999999</v>
      </c>
    </row>
    <row r="168" spans="1:5">
      <c r="A168" s="26"/>
      <c r="B168" s="94"/>
      <c r="C168" s="48" t="s">
        <v>121</v>
      </c>
      <c r="D168" s="155">
        <v>599</v>
      </c>
      <c r="E168" s="180">
        <f t="shared" si="16"/>
        <v>341.42999999999995</v>
      </c>
    </row>
    <row r="169" spans="1:5">
      <c r="A169" s="26"/>
      <c r="B169" s="7"/>
      <c r="C169" s="22" t="s">
        <v>122</v>
      </c>
      <c r="D169" s="151">
        <v>501</v>
      </c>
      <c r="E169" s="145">
        <f t="shared" si="16"/>
        <v>285.57</v>
      </c>
    </row>
    <row r="170" spans="1:5">
      <c r="A170" s="26"/>
      <c r="B170" s="7"/>
      <c r="C170" s="48" t="s">
        <v>123</v>
      </c>
      <c r="D170" s="149">
        <v>501</v>
      </c>
      <c r="E170" s="180">
        <f t="shared" si="16"/>
        <v>285.57</v>
      </c>
    </row>
    <row r="171" spans="1:5">
      <c r="A171" s="26"/>
      <c r="B171" s="25"/>
      <c r="C171" s="16"/>
      <c r="D171" s="147"/>
    </row>
    <row r="172" spans="1:5" ht="18">
      <c r="A172" s="26"/>
      <c r="B172" s="27" t="s">
        <v>124</v>
      </c>
      <c r="C172" s="16"/>
      <c r="D172" s="147"/>
    </row>
    <row r="173" spans="1:5">
      <c r="A173" s="26"/>
      <c r="B173" s="7" t="s">
        <v>5</v>
      </c>
      <c r="C173" s="48" t="s">
        <v>125</v>
      </c>
      <c r="D173" s="149">
        <v>145</v>
      </c>
      <c r="E173" s="180">
        <f>D173*57%</f>
        <v>82.649999999999991</v>
      </c>
    </row>
    <row r="174" spans="1:5">
      <c r="A174" s="26"/>
      <c r="B174" s="7"/>
      <c r="C174" s="9"/>
      <c r="D174" s="150"/>
    </row>
    <row r="175" spans="1:5">
      <c r="A175" s="26"/>
      <c r="B175" s="7" t="s">
        <v>22</v>
      </c>
      <c r="C175" s="48" t="s">
        <v>126</v>
      </c>
      <c r="D175" s="149">
        <v>145</v>
      </c>
      <c r="E175" s="180">
        <f>D175*57%</f>
        <v>82.649999999999991</v>
      </c>
    </row>
    <row r="176" spans="1:5">
      <c r="A176" s="26"/>
      <c r="B176" s="25"/>
      <c r="C176" s="16"/>
      <c r="D176" s="147"/>
    </row>
    <row r="177" spans="1:5" ht="20.399999999999999">
      <c r="A177" s="98" t="e" vm="4">
        <v>#VALUE!</v>
      </c>
      <c r="B177" s="99" t="s">
        <v>127</v>
      </c>
      <c r="C177" s="5"/>
      <c r="D177" s="147"/>
    </row>
    <row r="178" spans="1:5" ht="18">
      <c r="A178" s="26"/>
      <c r="B178" s="38"/>
      <c r="C178" s="17"/>
      <c r="D178" s="147"/>
    </row>
    <row r="179" spans="1:5" ht="18">
      <c r="A179" s="26"/>
      <c r="B179" s="27" t="s">
        <v>128</v>
      </c>
      <c r="C179" s="51"/>
      <c r="D179" s="147"/>
    </row>
    <row r="180" spans="1:5">
      <c r="A180" s="26"/>
      <c r="B180" s="7" t="s">
        <v>91</v>
      </c>
      <c r="C180" s="44" t="s">
        <v>129</v>
      </c>
      <c r="D180" s="149">
        <v>259</v>
      </c>
      <c r="E180" s="180">
        <f>D180*57%</f>
        <v>147.63</v>
      </c>
    </row>
    <row r="181" spans="1:5">
      <c r="A181" s="26"/>
      <c r="B181" s="106"/>
      <c r="C181" s="16"/>
      <c r="D181" s="147"/>
    </row>
    <row r="182" spans="1:5">
      <c r="A182" s="26"/>
      <c r="B182" s="7" t="s">
        <v>5</v>
      </c>
      <c r="C182" s="44" t="s">
        <v>130</v>
      </c>
      <c r="D182" s="149">
        <v>199</v>
      </c>
      <c r="E182" s="180">
        <f t="shared" ref="E182:E186" si="17">D182*57%</f>
        <v>113.42999999999999</v>
      </c>
    </row>
    <row r="183" spans="1:5">
      <c r="A183" s="26"/>
      <c r="B183" s="7"/>
      <c r="C183" s="52" t="s">
        <v>131</v>
      </c>
      <c r="D183" s="151">
        <v>704</v>
      </c>
      <c r="E183" s="145">
        <f t="shared" si="17"/>
        <v>401.28</v>
      </c>
    </row>
    <row r="184" spans="1:5">
      <c r="A184" s="26"/>
      <c r="B184" s="7"/>
      <c r="C184" s="41" t="s">
        <v>132</v>
      </c>
      <c r="D184" s="149">
        <v>960</v>
      </c>
      <c r="E184" s="180">
        <f t="shared" si="17"/>
        <v>547.19999999999993</v>
      </c>
    </row>
    <row r="185" spans="1:5">
      <c r="A185" s="26"/>
      <c r="B185" s="7"/>
      <c r="C185" s="52" t="s">
        <v>133</v>
      </c>
      <c r="D185" s="151">
        <v>1050</v>
      </c>
      <c r="E185" s="145">
        <f t="shared" si="17"/>
        <v>598.5</v>
      </c>
    </row>
    <row r="186" spans="1:5">
      <c r="A186" s="26"/>
      <c r="B186" s="25"/>
      <c r="C186" s="10" t="s">
        <v>134</v>
      </c>
      <c r="D186" s="149">
        <v>1050</v>
      </c>
      <c r="E186" s="180">
        <f t="shared" si="17"/>
        <v>598.5</v>
      </c>
    </row>
    <row r="187" spans="1:5">
      <c r="A187" s="107"/>
      <c r="B187" s="25"/>
      <c r="C187" s="9"/>
      <c r="D187" s="150"/>
    </row>
    <row r="188" spans="1:5">
      <c r="A188" s="107"/>
      <c r="B188" s="108" t="s">
        <v>135</v>
      </c>
      <c r="C188" s="29" t="s">
        <v>136</v>
      </c>
      <c r="D188" s="149">
        <v>283</v>
      </c>
      <c r="E188" s="180">
        <f>D188*57%</f>
        <v>161.30999999999997</v>
      </c>
    </row>
    <row r="189" spans="1:5">
      <c r="A189" s="107"/>
      <c r="B189" s="25"/>
      <c r="C189" s="16"/>
      <c r="D189" s="147"/>
    </row>
    <row r="190" spans="1:5">
      <c r="A190" s="107"/>
      <c r="B190" s="108" t="s">
        <v>22</v>
      </c>
      <c r="C190" s="29" t="s">
        <v>137</v>
      </c>
      <c r="D190" s="160">
        <v>370</v>
      </c>
      <c r="E190" s="180">
        <f t="shared" ref="E190:E194" si="18">D190*57%</f>
        <v>210.89999999999998</v>
      </c>
    </row>
    <row r="191" spans="1:5">
      <c r="A191" s="107"/>
      <c r="B191" s="108"/>
      <c r="C191" s="53" t="s">
        <v>138</v>
      </c>
      <c r="D191" s="161">
        <v>760</v>
      </c>
      <c r="E191" s="145">
        <f t="shared" si="18"/>
        <v>433.2</v>
      </c>
    </row>
    <row r="192" spans="1:5">
      <c r="A192" s="107"/>
      <c r="B192" s="108"/>
      <c r="C192" s="54" t="s">
        <v>139</v>
      </c>
      <c r="D192" s="160">
        <v>760</v>
      </c>
      <c r="E192" s="180">
        <f t="shared" si="18"/>
        <v>433.2</v>
      </c>
    </row>
    <row r="193" spans="1:5">
      <c r="A193" s="107"/>
      <c r="B193" s="108"/>
      <c r="C193" s="53" t="s">
        <v>140</v>
      </c>
      <c r="D193" s="158">
        <v>903</v>
      </c>
      <c r="E193" s="145">
        <f t="shared" si="18"/>
        <v>514.70999999999992</v>
      </c>
    </row>
    <row r="194" spans="1:5">
      <c r="A194" s="107"/>
      <c r="B194" s="108"/>
      <c r="C194" s="54" t="s">
        <v>141</v>
      </c>
      <c r="D194" s="155">
        <v>2587</v>
      </c>
      <c r="E194" s="180">
        <f t="shared" si="18"/>
        <v>1474.59</v>
      </c>
    </row>
    <row r="195" spans="1:5">
      <c r="A195" s="107"/>
      <c r="B195" s="25"/>
      <c r="C195" s="16"/>
      <c r="D195" s="147"/>
    </row>
    <row r="196" spans="1:5" ht="20.399999999999999">
      <c r="A196" s="98" t="e" vm="4">
        <v>#VALUE!</v>
      </c>
      <c r="B196" s="99" t="s">
        <v>142</v>
      </c>
      <c r="C196" s="5"/>
      <c r="D196" s="147"/>
    </row>
    <row r="197" spans="1:5" ht="18">
      <c r="A197" s="107"/>
      <c r="B197" s="27"/>
      <c r="C197" s="55"/>
      <c r="D197" s="147"/>
    </row>
    <row r="198" spans="1:5" ht="18">
      <c r="A198" s="107"/>
      <c r="B198" s="27" t="s">
        <v>143</v>
      </c>
      <c r="C198" s="56"/>
      <c r="D198" s="162"/>
    </row>
    <row r="199" spans="1:5">
      <c r="A199" s="107"/>
      <c r="B199" s="7" t="s">
        <v>91</v>
      </c>
      <c r="C199" s="44" t="s">
        <v>144</v>
      </c>
      <c r="D199" s="163">
        <v>695</v>
      </c>
      <c r="E199" s="180">
        <f>D199*57%</f>
        <v>396.15</v>
      </c>
    </row>
    <row r="200" spans="1:5">
      <c r="A200" s="107"/>
      <c r="B200" s="109"/>
      <c r="C200" s="57"/>
      <c r="D200" s="164"/>
    </row>
    <row r="201" spans="1:5">
      <c r="A201" s="107"/>
      <c r="B201" s="7" t="s">
        <v>5</v>
      </c>
      <c r="C201" s="44" t="s">
        <v>145</v>
      </c>
      <c r="D201" s="152" t="s">
        <v>11</v>
      </c>
      <c r="E201" s="181" t="s">
        <v>11</v>
      </c>
    </row>
    <row r="202" spans="1:5">
      <c r="A202" s="107"/>
      <c r="B202" s="7"/>
      <c r="C202" s="45" t="s">
        <v>146</v>
      </c>
      <c r="D202" s="165">
        <v>290</v>
      </c>
      <c r="E202" s="145">
        <f t="shared" ref="E202:E205" si="19">D202*57%</f>
        <v>165.29999999999998</v>
      </c>
    </row>
    <row r="203" spans="1:5">
      <c r="A203" s="94"/>
      <c r="B203" s="7"/>
      <c r="C203" s="44" t="s">
        <v>147</v>
      </c>
      <c r="D203" s="163">
        <v>523</v>
      </c>
      <c r="E203" s="180">
        <f t="shared" si="19"/>
        <v>298.10999999999996</v>
      </c>
    </row>
    <row r="204" spans="1:5">
      <c r="A204" s="94"/>
      <c r="B204" s="7"/>
      <c r="C204" s="45" t="s">
        <v>148</v>
      </c>
      <c r="D204" s="165">
        <v>747</v>
      </c>
      <c r="E204" s="145">
        <f t="shared" si="19"/>
        <v>425.78999999999996</v>
      </c>
    </row>
    <row r="205" spans="1:5">
      <c r="A205" s="94"/>
      <c r="B205" s="7"/>
      <c r="C205" s="44" t="s">
        <v>149</v>
      </c>
      <c r="D205" s="163">
        <v>747</v>
      </c>
      <c r="E205" s="180">
        <f t="shared" si="19"/>
        <v>425.78999999999996</v>
      </c>
    </row>
    <row r="206" spans="1:5">
      <c r="A206" s="94"/>
      <c r="B206" s="7"/>
      <c r="C206" s="35"/>
      <c r="D206" s="165"/>
    </row>
    <row r="207" spans="1:5">
      <c r="A207" s="110"/>
      <c r="B207" s="7" t="s">
        <v>135</v>
      </c>
      <c r="C207" s="48" t="s">
        <v>150</v>
      </c>
      <c r="D207" s="163">
        <v>183</v>
      </c>
      <c r="E207" s="180">
        <f>D207*57%</f>
        <v>104.30999999999999</v>
      </c>
    </row>
    <row r="208" spans="1:5">
      <c r="A208" s="94"/>
      <c r="B208" s="111"/>
      <c r="C208" s="35"/>
      <c r="D208" s="165"/>
    </row>
    <row r="209" spans="1:5">
      <c r="A209" s="94"/>
      <c r="B209" s="7" t="s">
        <v>22</v>
      </c>
      <c r="C209" s="44" t="s">
        <v>151</v>
      </c>
      <c r="D209" s="166" t="s">
        <v>11</v>
      </c>
      <c r="E209" s="181" t="s">
        <v>11</v>
      </c>
    </row>
    <row r="210" spans="1:5">
      <c r="A210" s="94"/>
      <c r="B210" s="111"/>
      <c r="C210" s="36" t="s">
        <v>152</v>
      </c>
      <c r="D210" s="167">
        <v>290</v>
      </c>
      <c r="E210" s="145">
        <f t="shared" ref="E210:E217" si="20">D210*57%</f>
        <v>165.29999999999998</v>
      </c>
    </row>
    <row r="211" spans="1:5">
      <c r="A211" s="94"/>
      <c r="B211" s="111"/>
      <c r="C211" s="44" t="s">
        <v>153</v>
      </c>
      <c r="D211" s="163">
        <v>355</v>
      </c>
      <c r="E211" s="180">
        <f t="shared" si="20"/>
        <v>202.35</v>
      </c>
    </row>
    <row r="212" spans="1:5">
      <c r="A212" s="94"/>
      <c r="B212" s="112"/>
      <c r="C212" s="36" t="s">
        <v>154</v>
      </c>
      <c r="D212" s="167">
        <v>553</v>
      </c>
      <c r="E212" s="145">
        <f t="shared" si="20"/>
        <v>315.20999999999998</v>
      </c>
    </row>
    <row r="213" spans="1:5">
      <c r="A213" s="94"/>
      <c r="B213" s="112"/>
      <c r="C213" s="44" t="s">
        <v>155</v>
      </c>
      <c r="D213" s="163">
        <v>1213</v>
      </c>
      <c r="E213" s="180">
        <f t="shared" si="20"/>
        <v>691.41</v>
      </c>
    </row>
    <row r="214" spans="1:5">
      <c r="A214" s="94"/>
      <c r="B214" s="112"/>
      <c r="C214" s="36" t="s">
        <v>156</v>
      </c>
      <c r="D214" s="167">
        <v>747</v>
      </c>
      <c r="E214" s="145">
        <f t="shared" si="20"/>
        <v>425.78999999999996</v>
      </c>
    </row>
    <row r="215" spans="1:5">
      <c r="A215" s="94"/>
      <c r="B215" s="112"/>
      <c r="C215" s="44" t="s">
        <v>157</v>
      </c>
      <c r="D215" s="163">
        <v>747</v>
      </c>
      <c r="E215" s="180">
        <f t="shared" si="20"/>
        <v>425.78999999999996</v>
      </c>
    </row>
    <row r="216" spans="1:5">
      <c r="A216" s="94"/>
      <c r="B216" s="112"/>
      <c r="C216" s="36" t="s">
        <v>158</v>
      </c>
      <c r="D216" s="167">
        <v>747</v>
      </c>
      <c r="E216" s="145">
        <f t="shared" si="20"/>
        <v>425.78999999999996</v>
      </c>
    </row>
    <row r="217" spans="1:5">
      <c r="A217" s="113"/>
      <c r="B217" s="111"/>
      <c r="C217" s="44" t="s">
        <v>159</v>
      </c>
      <c r="D217" s="163">
        <v>747</v>
      </c>
      <c r="E217" s="180">
        <f t="shared" si="20"/>
        <v>425.78999999999996</v>
      </c>
    </row>
    <row r="218" spans="1:5">
      <c r="A218" s="113"/>
      <c r="B218" s="25"/>
      <c r="C218" s="16"/>
      <c r="D218" s="147"/>
    </row>
    <row r="219" spans="1:5" ht="18">
      <c r="A219" s="94"/>
      <c r="B219" s="27" t="s">
        <v>160</v>
      </c>
      <c r="C219" s="51"/>
      <c r="D219" s="147"/>
    </row>
    <row r="220" spans="1:5">
      <c r="A220" s="94"/>
      <c r="B220" s="24" t="s">
        <v>5</v>
      </c>
      <c r="C220" s="10" t="s">
        <v>161</v>
      </c>
      <c r="D220" s="149">
        <v>133</v>
      </c>
      <c r="E220" s="180">
        <f>D220*57%</f>
        <v>75.809999999999988</v>
      </c>
    </row>
    <row r="221" spans="1:5">
      <c r="A221" s="94"/>
      <c r="B221" s="24"/>
      <c r="C221" s="9"/>
      <c r="D221" s="150"/>
    </row>
    <row r="222" spans="1:5">
      <c r="A222" s="94"/>
      <c r="B222" s="24" t="s">
        <v>22</v>
      </c>
      <c r="C222" s="48" t="s">
        <v>162</v>
      </c>
      <c r="D222" s="149">
        <v>128</v>
      </c>
      <c r="E222" s="180">
        <f>D222*57%</f>
        <v>72.959999999999994</v>
      </c>
    </row>
    <row r="223" spans="1:5">
      <c r="A223" s="94"/>
      <c r="B223" s="24"/>
      <c r="C223" s="35"/>
      <c r="D223" s="150"/>
    </row>
    <row r="224" spans="1:5" ht="18">
      <c r="A224" s="94"/>
      <c r="B224" s="27" t="s">
        <v>163</v>
      </c>
      <c r="C224" s="16"/>
      <c r="D224" s="147"/>
    </row>
    <row r="225" spans="1:5">
      <c r="A225" s="94"/>
      <c r="B225" s="24" t="s">
        <v>5</v>
      </c>
      <c r="C225" s="58" t="s">
        <v>164</v>
      </c>
      <c r="D225" s="149">
        <v>1216</v>
      </c>
      <c r="E225" s="180">
        <f t="shared" ref="E225:E229" si="21">D225*57%</f>
        <v>693.11999999999989</v>
      </c>
    </row>
    <row r="226" spans="1:5">
      <c r="A226" s="107"/>
      <c r="B226" s="24"/>
      <c r="C226" s="59" t="s">
        <v>165</v>
      </c>
      <c r="D226" s="151">
        <v>1216</v>
      </c>
      <c r="E226" s="145">
        <f t="shared" si="21"/>
        <v>693.11999999999989</v>
      </c>
    </row>
    <row r="227" spans="1:5">
      <c r="A227" s="107"/>
      <c r="B227" s="24"/>
      <c r="C227" s="58" t="s">
        <v>166</v>
      </c>
      <c r="D227" s="149">
        <v>1454</v>
      </c>
      <c r="E227" s="180">
        <f t="shared" si="21"/>
        <v>828.78</v>
      </c>
    </row>
    <row r="228" spans="1:5">
      <c r="A228" s="107"/>
      <c r="B228" s="24"/>
      <c r="C228" s="59" t="s">
        <v>167</v>
      </c>
      <c r="D228" s="151">
        <v>2005</v>
      </c>
      <c r="E228" s="145">
        <f t="shared" si="21"/>
        <v>1142.8499999999999</v>
      </c>
    </row>
    <row r="229" spans="1:5">
      <c r="A229" s="107"/>
      <c r="B229" s="24"/>
      <c r="C229" s="58" t="s">
        <v>168</v>
      </c>
      <c r="D229" s="149">
        <v>1571</v>
      </c>
      <c r="E229" s="180">
        <f t="shared" si="21"/>
        <v>895.46999999999991</v>
      </c>
    </row>
    <row r="230" spans="1:5">
      <c r="A230" s="107"/>
      <c r="B230" s="24"/>
      <c r="C230" s="9"/>
      <c r="D230" s="150"/>
    </row>
    <row r="231" spans="1:5">
      <c r="A231" s="107"/>
      <c r="B231" s="24" t="s">
        <v>22</v>
      </c>
      <c r="C231" s="41" t="s">
        <v>169</v>
      </c>
      <c r="D231" s="149">
        <v>1257</v>
      </c>
      <c r="E231" s="180">
        <f t="shared" ref="E231:E235" si="22">D231*57%</f>
        <v>716.4899999999999</v>
      </c>
    </row>
    <row r="232" spans="1:5">
      <c r="A232" s="107"/>
      <c r="B232" s="24"/>
      <c r="C232" s="52" t="s">
        <v>170</v>
      </c>
      <c r="D232" s="151">
        <v>1257</v>
      </c>
      <c r="E232" s="145">
        <f t="shared" si="22"/>
        <v>716.4899999999999</v>
      </c>
    </row>
    <row r="233" spans="1:5">
      <c r="A233" s="107"/>
      <c r="B233" s="24"/>
      <c r="C233" s="41" t="s">
        <v>171</v>
      </c>
      <c r="D233" s="149">
        <v>2533</v>
      </c>
      <c r="E233" s="180">
        <f t="shared" si="22"/>
        <v>1443.81</v>
      </c>
    </row>
    <row r="234" spans="1:5">
      <c r="A234" s="107"/>
      <c r="B234" s="47"/>
      <c r="C234" s="36" t="s">
        <v>172</v>
      </c>
      <c r="D234" s="151">
        <v>1305</v>
      </c>
      <c r="E234" s="145">
        <f t="shared" si="22"/>
        <v>743.84999999999991</v>
      </c>
    </row>
    <row r="235" spans="1:5">
      <c r="A235" s="107"/>
      <c r="B235" s="47"/>
      <c r="C235" s="44" t="s">
        <v>173</v>
      </c>
      <c r="D235" s="149">
        <v>1305</v>
      </c>
      <c r="E235" s="180">
        <f t="shared" si="22"/>
        <v>743.84999999999991</v>
      </c>
    </row>
    <row r="236" spans="1:5">
      <c r="A236" s="107"/>
      <c r="B236" s="47"/>
      <c r="C236" s="45"/>
      <c r="D236" s="150"/>
    </row>
    <row r="237" spans="1:5" ht="18">
      <c r="A237" s="107"/>
      <c r="B237" s="27" t="s">
        <v>174</v>
      </c>
      <c r="C237" s="45"/>
      <c r="D237" s="150"/>
    </row>
    <row r="238" spans="1:5">
      <c r="A238" s="107"/>
      <c r="B238" s="24" t="s">
        <v>5</v>
      </c>
      <c r="C238" s="44" t="s">
        <v>175</v>
      </c>
      <c r="D238" s="149">
        <v>632</v>
      </c>
      <c r="E238" s="180">
        <f t="shared" ref="E238:E239" si="23">D238*57%</f>
        <v>360.23999999999995</v>
      </c>
    </row>
    <row r="239" spans="1:5">
      <c r="A239" s="107"/>
      <c r="B239" s="47"/>
      <c r="C239" s="45" t="s">
        <v>176</v>
      </c>
      <c r="D239" s="150">
        <v>1032</v>
      </c>
      <c r="E239" s="145">
        <f t="shared" si="23"/>
        <v>588.2399999999999</v>
      </c>
    </row>
    <row r="240" spans="1:5">
      <c r="A240" s="107"/>
      <c r="B240" s="47"/>
      <c r="C240" s="45"/>
      <c r="D240" s="150"/>
    </row>
    <row r="241" spans="1:5">
      <c r="A241" s="107"/>
      <c r="B241" s="114" t="s">
        <v>22</v>
      </c>
      <c r="C241" s="44" t="s">
        <v>177</v>
      </c>
      <c r="D241" s="149">
        <v>632</v>
      </c>
      <c r="E241" s="180">
        <f t="shared" ref="E241:E242" si="24">D241*57%</f>
        <v>360.23999999999995</v>
      </c>
    </row>
    <row r="242" spans="1:5">
      <c r="A242" s="107"/>
      <c r="B242" s="47"/>
      <c r="C242" s="45" t="s">
        <v>178</v>
      </c>
      <c r="D242" s="150">
        <v>1032</v>
      </c>
      <c r="E242" s="145">
        <f t="shared" si="24"/>
        <v>588.2399999999999</v>
      </c>
    </row>
    <row r="243" spans="1:5" ht="20.399999999999999">
      <c r="A243" s="98" t="e" vm="4">
        <v>#VALUE!</v>
      </c>
      <c r="B243" s="99" t="s">
        <v>179</v>
      </c>
      <c r="C243" s="5"/>
      <c r="D243" s="147"/>
    </row>
    <row r="244" spans="1:5" ht="18">
      <c r="A244" s="107"/>
      <c r="B244" s="38"/>
      <c r="C244" s="55"/>
      <c r="D244" s="147"/>
    </row>
    <row r="245" spans="1:5" ht="18">
      <c r="A245" s="107"/>
      <c r="B245" s="27" t="s">
        <v>114</v>
      </c>
      <c r="C245" s="55"/>
      <c r="D245" s="147"/>
    </row>
    <row r="246" spans="1:5">
      <c r="A246" s="107"/>
      <c r="B246" s="24" t="s">
        <v>22</v>
      </c>
      <c r="C246" s="41" t="s">
        <v>180</v>
      </c>
      <c r="D246" s="168">
        <v>829</v>
      </c>
      <c r="E246" s="180">
        <f t="shared" ref="E246:E248" si="25">D246*57%</f>
        <v>472.53</v>
      </c>
    </row>
    <row r="247" spans="1:5" ht="18">
      <c r="A247" s="107"/>
      <c r="B247" s="27"/>
      <c r="C247" s="52" t="s">
        <v>181</v>
      </c>
      <c r="D247" s="147">
        <v>1977</v>
      </c>
      <c r="E247" s="145">
        <f t="shared" si="25"/>
        <v>1126.8899999999999</v>
      </c>
    </row>
    <row r="248" spans="1:5">
      <c r="A248" s="107"/>
      <c r="B248" s="94"/>
      <c r="C248" s="41" t="s">
        <v>182</v>
      </c>
      <c r="D248" s="149">
        <v>1398</v>
      </c>
      <c r="E248" s="180">
        <f t="shared" si="25"/>
        <v>796.8599999999999</v>
      </c>
    </row>
    <row r="249" spans="1:5">
      <c r="A249" s="107"/>
      <c r="B249" s="25"/>
      <c r="C249" s="16"/>
      <c r="D249" s="147"/>
    </row>
    <row r="250" spans="1:5" ht="18">
      <c r="A250" s="107"/>
      <c r="B250" s="27" t="s">
        <v>183</v>
      </c>
      <c r="C250" s="16"/>
      <c r="D250" s="147"/>
    </row>
    <row r="251" spans="1:5">
      <c r="A251" s="107"/>
      <c r="B251" s="114" t="s">
        <v>5</v>
      </c>
      <c r="C251" s="54" t="s">
        <v>184</v>
      </c>
      <c r="D251" s="169" t="s">
        <v>11</v>
      </c>
      <c r="E251" s="181" t="s">
        <v>11</v>
      </c>
    </row>
    <row r="252" spans="1:5">
      <c r="A252" s="107"/>
      <c r="B252" s="114"/>
      <c r="C252" s="53" t="s">
        <v>185</v>
      </c>
      <c r="D252" s="161">
        <v>280</v>
      </c>
      <c r="E252" s="145">
        <f>D252*57%</f>
        <v>159.6</v>
      </c>
    </row>
    <row r="253" spans="1:5">
      <c r="A253" s="107"/>
      <c r="B253" s="114"/>
      <c r="C253" s="60"/>
      <c r="D253" s="170"/>
    </row>
    <row r="254" spans="1:5">
      <c r="A254" s="107"/>
      <c r="B254" s="114" t="s">
        <v>22</v>
      </c>
      <c r="C254" s="54" t="s">
        <v>186</v>
      </c>
      <c r="D254" s="160">
        <v>202</v>
      </c>
      <c r="E254" s="180">
        <f t="shared" ref="E254:E258" si="26">D254*57%</f>
        <v>115.13999999999999</v>
      </c>
    </row>
    <row r="255" spans="1:5">
      <c r="A255" s="107"/>
      <c r="B255" s="114"/>
      <c r="C255" s="53" t="s">
        <v>187</v>
      </c>
      <c r="D255" s="161">
        <v>287</v>
      </c>
      <c r="E255" s="145">
        <f t="shared" si="26"/>
        <v>163.58999999999997</v>
      </c>
    </row>
    <row r="256" spans="1:5">
      <c r="A256" s="107"/>
      <c r="B256" s="115"/>
      <c r="C256" s="54" t="s">
        <v>188</v>
      </c>
      <c r="D256" s="160">
        <v>303</v>
      </c>
      <c r="E256" s="180">
        <f t="shared" si="26"/>
        <v>172.70999999999998</v>
      </c>
    </row>
    <row r="257" spans="1:5">
      <c r="A257" s="107"/>
      <c r="B257" s="115"/>
      <c r="C257" s="61" t="s">
        <v>189</v>
      </c>
      <c r="D257" s="170">
        <v>311</v>
      </c>
      <c r="E257" s="145">
        <f t="shared" si="26"/>
        <v>177.26999999999998</v>
      </c>
    </row>
    <row r="258" spans="1:5">
      <c r="A258" s="107"/>
      <c r="B258" s="115"/>
      <c r="C258" s="54" t="s">
        <v>190</v>
      </c>
      <c r="D258" s="149">
        <v>489</v>
      </c>
      <c r="E258" s="180">
        <f t="shared" si="26"/>
        <v>278.72999999999996</v>
      </c>
    </row>
    <row r="259" spans="1:5">
      <c r="A259" s="107"/>
      <c r="B259" s="87"/>
      <c r="C259" s="1"/>
      <c r="D259" s="147"/>
    </row>
    <row r="260" spans="1:5" ht="20.399999999999999">
      <c r="A260" s="98" t="e" vm="4">
        <v>#VALUE!</v>
      </c>
      <c r="B260" s="99" t="s">
        <v>191</v>
      </c>
      <c r="C260" s="5"/>
      <c r="D260" s="147"/>
    </row>
    <row r="261" spans="1:5" ht="18">
      <c r="A261" s="94"/>
      <c r="B261" s="116"/>
      <c r="C261" s="62"/>
      <c r="D261" s="147"/>
    </row>
    <row r="262" spans="1:5" ht="18">
      <c r="A262" s="94"/>
      <c r="B262" s="27" t="s">
        <v>192</v>
      </c>
      <c r="C262" s="51"/>
      <c r="D262" s="147"/>
    </row>
    <row r="263" spans="1:5">
      <c r="A263" s="117"/>
      <c r="B263" s="24" t="s">
        <v>5</v>
      </c>
      <c r="C263" s="8" t="s">
        <v>193</v>
      </c>
      <c r="D263" s="152" t="s">
        <v>11</v>
      </c>
      <c r="E263" s="181" t="s">
        <v>11</v>
      </c>
    </row>
    <row r="264" spans="1:5">
      <c r="A264" s="117"/>
      <c r="B264" s="24"/>
      <c r="C264" s="35" t="s">
        <v>194</v>
      </c>
      <c r="D264" s="171" t="s">
        <v>11</v>
      </c>
      <c r="E264" s="153" t="s">
        <v>11</v>
      </c>
    </row>
    <row r="265" spans="1:5">
      <c r="A265" s="107"/>
      <c r="B265" s="24"/>
      <c r="C265" s="48" t="s">
        <v>195</v>
      </c>
      <c r="D265" s="149">
        <v>186</v>
      </c>
      <c r="E265" s="180">
        <f t="shared" ref="E265:E266" si="27">D265*57%</f>
        <v>106.02</v>
      </c>
    </row>
    <row r="266" spans="1:5">
      <c r="A266" s="107"/>
      <c r="B266" s="24"/>
      <c r="C266" s="22" t="s">
        <v>196</v>
      </c>
      <c r="D266" s="158">
        <v>191</v>
      </c>
      <c r="E266" s="145">
        <f t="shared" si="27"/>
        <v>108.86999999999999</v>
      </c>
    </row>
    <row r="267" spans="1:5">
      <c r="A267" s="107"/>
      <c r="B267" s="24"/>
      <c r="C267" s="35"/>
      <c r="D267" s="150"/>
    </row>
    <row r="268" spans="1:5">
      <c r="A268" s="107"/>
      <c r="B268" s="24" t="s">
        <v>197</v>
      </c>
      <c r="C268" s="48" t="s">
        <v>198</v>
      </c>
      <c r="D268" s="149">
        <v>155</v>
      </c>
      <c r="E268" s="180">
        <f t="shared" ref="E268:E269" si="28">D268*57%</f>
        <v>88.35</v>
      </c>
    </row>
    <row r="269" spans="1:5">
      <c r="A269" s="107"/>
      <c r="B269" s="24"/>
      <c r="C269" s="22" t="s">
        <v>199</v>
      </c>
      <c r="D269" s="151">
        <v>186</v>
      </c>
      <c r="E269" s="145">
        <f t="shared" si="28"/>
        <v>106.02</v>
      </c>
    </row>
    <row r="270" spans="1:5">
      <c r="A270" s="107"/>
      <c r="B270" s="25"/>
      <c r="C270" s="1"/>
      <c r="D270" s="147"/>
    </row>
    <row r="271" spans="1:5" ht="18">
      <c r="A271" s="107"/>
      <c r="B271" s="27" t="s">
        <v>200</v>
      </c>
      <c r="C271" s="1"/>
      <c r="D271" s="147"/>
    </row>
    <row r="272" spans="1:5">
      <c r="A272" s="107"/>
      <c r="B272" s="24" t="s">
        <v>5</v>
      </c>
      <c r="C272" s="44" t="s">
        <v>201</v>
      </c>
      <c r="D272" s="149">
        <v>135</v>
      </c>
      <c r="E272" s="180">
        <f t="shared" ref="E272:E274" si="29">D272*57%</f>
        <v>76.949999999999989</v>
      </c>
    </row>
    <row r="273" spans="1:5">
      <c r="A273" s="107"/>
      <c r="B273" s="24"/>
      <c r="C273" s="45" t="s">
        <v>202</v>
      </c>
      <c r="D273" s="150">
        <v>229</v>
      </c>
      <c r="E273" s="145">
        <f t="shared" si="29"/>
        <v>130.53</v>
      </c>
    </row>
    <row r="274" spans="1:5">
      <c r="A274" s="107"/>
      <c r="B274" s="24"/>
      <c r="C274" s="44" t="s">
        <v>203</v>
      </c>
      <c r="D274" s="149">
        <v>521</v>
      </c>
      <c r="E274" s="180">
        <f t="shared" si="29"/>
        <v>296.96999999999997</v>
      </c>
    </row>
    <row r="275" spans="1:5">
      <c r="A275" s="107"/>
      <c r="B275" s="47"/>
      <c r="C275" s="9"/>
      <c r="D275" s="150"/>
    </row>
    <row r="276" spans="1:5" ht="20.399999999999999">
      <c r="A276" s="98" t="e" vm="4">
        <v>#VALUE!</v>
      </c>
      <c r="B276" s="99" t="s">
        <v>204</v>
      </c>
      <c r="C276" s="5"/>
      <c r="D276" s="147"/>
    </row>
    <row r="277" spans="1:5" ht="18">
      <c r="A277" s="107"/>
      <c r="B277" s="38"/>
      <c r="C277" s="55"/>
      <c r="D277" s="147"/>
    </row>
    <row r="278" spans="1:5" ht="18">
      <c r="A278" s="107"/>
      <c r="B278" s="27" t="s">
        <v>183</v>
      </c>
      <c r="C278" s="51"/>
      <c r="D278" s="147"/>
    </row>
    <row r="279" spans="1:5">
      <c r="A279" s="94"/>
      <c r="B279" s="114" t="s">
        <v>205</v>
      </c>
      <c r="C279" s="29" t="s">
        <v>206</v>
      </c>
      <c r="D279" s="172">
        <v>205</v>
      </c>
      <c r="E279" s="180">
        <f>D279*57%</f>
        <v>116.85</v>
      </c>
    </row>
    <row r="280" spans="1:5">
      <c r="A280" s="94"/>
      <c r="B280" s="114"/>
      <c r="C280" s="63"/>
      <c r="D280" s="170"/>
    </row>
    <row r="281" spans="1:5">
      <c r="A281" s="94"/>
      <c r="B281" s="114" t="s">
        <v>207</v>
      </c>
      <c r="C281" s="29" t="s">
        <v>208</v>
      </c>
      <c r="D281" s="160">
        <v>205</v>
      </c>
      <c r="E281" s="180">
        <f t="shared" ref="E281:E292" si="30">D281*57%</f>
        <v>116.85</v>
      </c>
    </row>
    <row r="282" spans="1:5">
      <c r="A282" s="94"/>
      <c r="B282" s="114"/>
      <c r="C282" s="63" t="s">
        <v>209</v>
      </c>
      <c r="D282" s="170">
        <v>205</v>
      </c>
      <c r="E282" s="145">
        <f t="shared" si="30"/>
        <v>116.85</v>
      </c>
    </row>
    <row r="283" spans="1:5">
      <c r="A283" s="94"/>
      <c r="B283" s="114"/>
      <c r="C283" s="29" t="s">
        <v>210</v>
      </c>
      <c r="D283" s="160">
        <v>305</v>
      </c>
      <c r="E283" s="180">
        <f t="shared" si="30"/>
        <v>173.85</v>
      </c>
    </row>
    <row r="284" spans="1:5">
      <c r="A284" s="94"/>
      <c r="B284" s="115"/>
      <c r="C284" s="63" t="s">
        <v>211</v>
      </c>
      <c r="D284" s="170">
        <v>325</v>
      </c>
      <c r="E284" s="145">
        <f t="shared" si="30"/>
        <v>185.24999999999997</v>
      </c>
    </row>
    <row r="285" spans="1:5">
      <c r="A285" s="94"/>
      <c r="B285" s="115"/>
      <c r="C285" s="29" t="s">
        <v>212</v>
      </c>
      <c r="D285" s="160">
        <v>469</v>
      </c>
      <c r="E285" s="180">
        <f t="shared" si="30"/>
        <v>267.33</v>
      </c>
    </row>
    <row r="286" spans="1:5">
      <c r="A286" s="94"/>
      <c r="B286" s="115"/>
      <c r="C286" s="30" t="s">
        <v>213</v>
      </c>
      <c r="D286" s="161">
        <v>469</v>
      </c>
      <c r="E286" s="145">
        <f t="shared" si="30"/>
        <v>267.33</v>
      </c>
    </row>
    <row r="287" spans="1:5">
      <c r="A287" s="94"/>
      <c r="B287" s="115"/>
      <c r="C287" s="64" t="s">
        <v>214</v>
      </c>
      <c r="D287" s="160">
        <v>525</v>
      </c>
      <c r="E287" s="180">
        <f t="shared" si="30"/>
        <v>299.25</v>
      </c>
    </row>
    <row r="288" spans="1:5">
      <c r="A288" s="94"/>
      <c r="B288" s="115"/>
      <c r="C288" s="65" t="s">
        <v>215</v>
      </c>
      <c r="D288" s="170">
        <v>825</v>
      </c>
      <c r="E288" s="145">
        <f t="shared" si="30"/>
        <v>470.24999999999994</v>
      </c>
    </row>
    <row r="289" spans="1:5">
      <c r="A289" s="94"/>
      <c r="B289" s="115"/>
      <c r="C289" s="64" t="s">
        <v>216</v>
      </c>
      <c r="D289" s="160">
        <v>1248</v>
      </c>
      <c r="E289" s="180">
        <f t="shared" si="30"/>
        <v>711.3599999999999</v>
      </c>
    </row>
    <row r="290" spans="1:5">
      <c r="A290" s="94"/>
      <c r="B290" s="115"/>
      <c r="C290" s="65" t="s">
        <v>217</v>
      </c>
      <c r="D290" s="170">
        <v>1410</v>
      </c>
      <c r="E290" s="145">
        <f t="shared" si="30"/>
        <v>803.69999999999993</v>
      </c>
    </row>
    <row r="291" spans="1:5">
      <c r="A291" s="107"/>
      <c r="B291" s="115"/>
      <c r="C291" s="64" t="s">
        <v>218</v>
      </c>
      <c r="D291" s="160">
        <v>1410</v>
      </c>
      <c r="E291" s="180">
        <f t="shared" si="30"/>
        <v>803.69999999999993</v>
      </c>
    </row>
    <row r="292" spans="1:5">
      <c r="A292" s="107"/>
      <c r="B292" s="115"/>
      <c r="C292" s="66" t="s">
        <v>219</v>
      </c>
      <c r="D292" s="161">
        <v>1410</v>
      </c>
      <c r="E292" s="145">
        <f t="shared" si="30"/>
        <v>803.69999999999993</v>
      </c>
    </row>
    <row r="293" spans="1:5">
      <c r="A293" s="107"/>
      <c r="B293" s="25"/>
      <c r="C293" s="16"/>
      <c r="D293" s="147"/>
    </row>
    <row r="294" spans="1:5" ht="21">
      <c r="A294" s="118" t="e" vm="5">
        <v>#VALUE!</v>
      </c>
      <c r="B294" s="102" t="s">
        <v>220</v>
      </c>
      <c r="C294" s="67"/>
      <c r="D294" s="147"/>
    </row>
    <row r="295" spans="1:5" ht="20.399999999999999">
      <c r="A295" s="118"/>
      <c r="B295" s="99" t="s">
        <v>221</v>
      </c>
      <c r="C295" s="67"/>
      <c r="D295" s="147"/>
    </row>
    <row r="296" spans="1:5">
      <c r="A296" s="118"/>
      <c r="B296" s="119"/>
      <c r="C296" s="67"/>
      <c r="D296" s="147"/>
    </row>
    <row r="297" spans="1:5" ht="18">
      <c r="A297" s="107"/>
      <c r="B297" s="27" t="s">
        <v>222</v>
      </c>
      <c r="C297" s="55"/>
      <c r="D297" s="147"/>
    </row>
    <row r="298" spans="1:5">
      <c r="A298" s="107"/>
      <c r="B298" s="24" t="s">
        <v>5</v>
      </c>
      <c r="C298" s="10" t="s">
        <v>223</v>
      </c>
      <c r="D298" s="149">
        <v>130</v>
      </c>
      <c r="E298" s="180">
        <f t="shared" ref="E298:E300" si="31">D298*57%</f>
        <v>74.099999999999994</v>
      </c>
    </row>
    <row r="299" spans="1:5">
      <c r="A299" s="107"/>
      <c r="B299" s="24"/>
      <c r="C299" s="35" t="s">
        <v>224</v>
      </c>
      <c r="D299" s="150">
        <v>130</v>
      </c>
      <c r="E299" s="145">
        <f t="shared" si="31"/>
        <v>74.099999999999994</v>
      </c>
    </row>
    <row r="300" spans="1:5">
      <c r="A300" s="107"/>
      <c r="B300" s="24"/>
      <c r="C300" s="48" t="s">
        <v>225</v>
      </c>
      <c r="D300" s="149">
        <v>130</v>
      </c>
      <c r="E300" s="180">
        <f t="shared" si="31"/>
        <v>74.099999999999994</v>
      </c>
    </row>
    <row r="301" spans="1:5">
      <c r="A301" s="107"/>
      <c r="B301" s="24"/>
      <c r="C301" s="9"/>
      <c r="D301" s="150"/>
    </row>
    <row r="302" spans="1:5">
      <c r="A302" s="107"/>
      <c r="B302" s="24" t="s">
        <v>135</v>
      </c>
      <c r="C302" s="10" t="s">
        <v>226</v>
      </c>
      <c r="D302" s="149">
        <v>130</v>
      </c>
      <c r="E302" s="180">
        <f>D302*57%</f>
        <v>74.099999999999994</v>
      </c>
    </row>
    <row r="303" spans="1:5">
      <c r="A303" s="107"/>
      <c r="B303" s="24"/>
      <c r="C303" s="9"/>
      <c r="D303" s="150"/>
    </row>
    <row r="304" spans="1:5">
      <c r="A304" s="107"/>
      <c r="B304" s="24" t="s">
        <v>227</v>
      </c>
      <c r="C304" s="10" t="s">
        <v>228</v>
      </c>
      <c r="D304" s="149">
        <v>130</v>
      </c>
      <c r="E304" s="180">
        <f>D304*57%</f>
        <v>74.099999999999994</v>
      </c>
    </row>
    <row r="305" spans="1:5">
      <c r="A305" s="107"/>
      <c r="B305" s="25"/>
      <c r="C305" s="16"/>
      <c r="D305" s="147"/>
    </row>
    <row r="306" spans="1:5" ht="20.399999999999999">
      <c r="A306" s="118" t="e" vm="5">
        <v>#VALUE!</v>
      </c>
      <c r="B306" s="99" t="s">
        <v>229</v>
      </c>
      <c r="C306" s="67"/>
      <c r="D306" s="147"/>
    </row>
    <row r="307" spans="1:5" ht="18">
      <c r="A307" s="107"/>
      <c r="B307" s="38"/>
      <c r="C307" s="55"/>
      <c r="D307" s="147"/>
    </row>
    <row r="308" spans="1:5" ht="18">
      <c r="A308" s="107"/>
      <c r="B308" s="27" t="s">
        <v>230</v>
      </c>
      <c r="C308" s="51"/>
      <c r="D308" s="147"/>
    </row>
    <row r="309" spans="1:5">
      <c r="A309" s="107"/>
      <c r="B309" s="24" t="s">
        <v>5</v>
      </c>
      <c r="C309" s="8" t="s">
        <v>231</v>
      </c>
      <c r="D309" s="149">
        <v>298</v>
      </c>
      <c r="E309" s="180">
        <f t="shared" ref="E309:E310" si="32">D309*57%</f>
        <v>169.85999999999999</v>
      </c>
    </row>
    <row r="310" spans="1:5">
      <c r="A310" s="107"/>
      <c r="B310" s="24"/>
      <c r="C310" s="68" t="s">
        <v>232</v>
      </c>
      <c r="D310" s="150">
        <v>321</v>
      </c>
      <c r="E310" s="145">
        <f t="shared" si="32"/>
        <v>182.96999999999997</v>
      </c>
    </row>
    <row r="311" spans="1:5">
      <c r="A311" s="107"/>
      <c r="B311" s="24"/>
      <c r="C311" s="16"/>
      <c r="D311" s="147"/>
    </row>
    <row r="312" spans="1:5">
      <c r="A312" s="107"/>
      <c r="B312" s="24" t="s">
        <v>227</v>
      </c>
      <c r="C312" s="8" t="s">
        <v>233</v>
      </c>
      <c r="D312" s="149">
        <v>229</v>
      </c>
      <c r="E312" s="180">
        <f t="shared" ref="E312:E315" si="33">D312*57%</f>
        <v>130.53</v>
      </c>
    </row>
    <row r="313" spans="1:5">
      <c r="A313" s="107"/>
      <c r="B313" s="24"/>
      <c r="C313" s="15" t="s">
        <v>234</v>
      </c>
      <c r="D313" s="150">
        <v>335</v>
      </c>
      <c r="E313" s="145">
        <f t="shared" si="33"/>
        <v>190.95</v>
      </c>
    </row>
    <row r="314" spans="1:5">
      <c r="A314" s="107"/>
      <c r="B314" s="24"/>
      <c r="C314" s="8" t="s">
        <v>235</v>
      </c>
      <c r="D314" s="149">
        <v>629</v>
      </c>
      <c r="E314" s="180">
        <f t="shared" si="33"/>
        <v>358.53</v>
      </c>
    </row>
    <row r="315" spans="1:5">
      <c r="A315" s="107"/>
      <c r="B315" s="24"/>
      <c r="C315" s="68" t="s">
        <v>236</v>
      </c>
      <c r="D315" s="150">
        <v>935</v>
      </c>
      <c r="E315" s="145">
        <f t="shared" si="33"/>
        <v>532.94999999999993</v>
      </c>
    </row>
    <row r="316" spans="1:5">
      <c r="A316" s="87"/>
      <c r="B316" s="87"/>
      <c r="C316" s="16"/>
      <c r="D316" s="147"/>
    </row>
    <row r="317" spans="1:5" ht="20.399999999999999">
      <c r="A317" s="118" t="e" vm="5">
        <v>#VALUE!</v>
      </c>
      <c r="B317" s="99" t="s">
        <v>237</v>
      </c>
      <c r="C317" s="67"/>
      <c r="D317" s="147"/>
    </row>
    <row r="318" spans="1:5" ht="18">
      <c r="A318" s="107"/>
      <c r="B318" s="38"/>
      <c r="C318" s="55"/>
      <c r="D318" s="150"/>
    </row>
    <row r="319" spans="1:5" ht="18">
      <c r="A319" s="120"/>
      <c r="B319" s="27" t="s">
        <v>238</v>
      </c>
      <c r="C319" s="9"/>
      <c r="D319" s="150"/>
    </row>
    <row r="320" spans="1:5">
      <c r="A320" s="120"/>
      <c r="B320" s="24" t="s">
        <v>239</v>
      </c>
      <c r="C320" s="48" t="s">
        <v>240</v>
      </c>
      <c r="D320" s="149">
        <v>274</v>
      </c>
      <c r="E320" s="180">
        <f t="shared" ref="E320:E323" si="34">D320*57%</f>
        <v>156.17999999999998</v>
      </c>
    </row>
    <row r="321" spans="1:5">
      <c r="A321" s="87"/>
      <c r="B321" s="24"/>
      <c r="C321" s="35" t="s">
        <v>241</v>
      </c>
      <c r="D321" s="150">
        <v>280</v>
      </c>
      <c r="E321" s="145">
        <f t="shared" si="34"/>
        <v>159.6</v>
      </c>
    </row>
    <row r="322" spans="1:5">
      <c r="A322" s="87"/>
      <c r="B322" s="24"/>
      <c r="C322" s="48" t="s">
        <v>242</v>
      </c>
      <c r="D322" s="149">
        <v>280</v>
      </c>
      <c r="E322" s="180">
        <f t="shared" si="34"/>
        <v>159.6</v>
      </c>
    </row>
    <row r="323" spans="1:5">
      <c r="A323" s="87"/>
      <c r="B323" s="24"/>
      <c r="C323" s="69" t="s">
        <v>243</v>
      </c>
      <c r="D323" s="150">
        <v>326</v>
      </c>
      <c r="E323" s="145">
        <f t="shared" si="34"/>
        <v>185.82</v>
      </c>
    </row>
    <row r="324" spans="1:5">
      <c r="A324" s="87"/>
      <c r="B324" s="24"/>
      <c r="C324" s="9"/>
      <c r="D324" s="150"/>
    </row>
    <row r="325" spans="1:5">
      <c r="A325" s="87"/>
      <c r="B325" s="24" t="s">
        <v>22</v>
      </c>
      <c r="C325" s="10" t="s">
        <v>244</v>
      </c>
      <c r="D325" s="149">
        <v>275</v>
      </c>
      <c r="E325" s="180">
        <f>D325*57%</f>
        <v>156.75</v>
      </c>
    </row>
    <row r="326" spans="1:5">
      <c r="A326" s="107"/>
      <c r="B326" s="47"/>
      <c r="C326" s="9"/>
      <c r="D326" s="150"/>
    </row>
    <row r="327" spans="1:5" ht="20.399999999999999">
      <c r="A327" s="118" t="e" vm="5">
        <v>#VALUE!</v>
      </c>
      <c r="B327" s="99" t="s">
        <v>245</v>
      </c>
      <c r="C327" s="67"/>
      <c r="D327" s="150"/>
    </row>
    <row r="328" spans="1:5" ht="18">
      <c r="A328" s="107"/>
      <c r="B328" s="38"/>
      <c r="C328" s="55"/>
      <c r="D328" s="150"/>
    </row>
    <row r="329" spans="1:5" ht="18">
      <c r="A329" s="107"/>
      <c r="B329" s="27" t="s">
        <v>246</v>
      </c>
      <c r="C329" s="9"/>
      <c r="D329" s="150"/>
    </row>
    <row r="330" spans="1:5">
      <c r="A330" s="107"/>
      <c r="B330" s="24" t="s">
        <v>239</v>
      </c>
      <c r="C330" s="10" t="s">
        <v>247</v>
      </c>
      <c r="D330" s="149">
        <v>143</v>
      </c>
      <c r="E330" s="180">
        <f t="shared" ref="E330:E331" si="35">D330*57%</f>
        <v>81.509999999999991</v>
      </c>
    </row>
    <row r="331" spans="1:5">
      <c r="A331" s="107"/>
      <c r="B331" s="24"/>
      <c r="C331" s="37" t="s">
        <v>248</v>
      </c>
      <c r="D331" s="151">
        <v>222</v>
      </c>
      <c r="E331" s="145">
        <f t="shared" si="35"/>
        <v>126.53999999999999</v>
      </c>
    </row>
    <row r="332" spans="1:5">
      <c r="A332" s="107"/>
      <c r="B332" s="24"/>
      <c r="C332" s="10" t="s">
        <v>249</v>
      </c>
      <c r="D332" s="152" t="s">
        <v>11</v>
      </c>
      <c r="E332" s="181" t="s">
        <v>11</v>
      </c>
    </row>
    <row r="333" spans="1:5">
      <c r="A333" s="107"/>
      <c r="B333" s="24"/>
      <c r="C333" s="37" t="s">
        <v>250</v>
      </c>
      <c r="D333" s="151">
        <v>204</v>
      </c>
      <c r="E333" s="145">
        <f>D333*57%</f>
        <v>116.27999999999999</v>
      </c>
    </row>
    <row r="334" spans="1:5">
      <c r="A334" s="107"/>
      <c r="B334" s="24"/>
      <c r="C334" s="9"/>
      <c r="D334" s="150"/>
    </row>
    <row r="335" spans="1:5">
      <c r="A335" s="107"/>
      <c r="B335" s="24" t="s">
        <v>22</v>
      </c>
      <c r="C335" s="10" t="s">
        <v>251</v>
      </c>
      <c r="D335" s="149">
        <v>180</v>
      </c>
      <c r="E335" s="180">
        <f t="shared" ref="E335:E336" si="36">D335*57%</f>
        <v>102.6</v>
      </c>
    </row>
    <row r="336" spans="1:5">
      <c r="A336" s="107"/>
      <c r="B336" s="24"/>
      <c r="C336" s="37" t="s">
        <v>252</v>
      </c>
      <c r="D336" s="151">
        <v>327</v>
      </c>
      <c r="E336" s="145">
        <f t="shared" si="36"/>
        <v>186.39</v>
      </c>
    </row>
    <row r="337" spans="1:5">
      <c r="A337" s="107"/>
      <c r="B337" s="24"/>
      <c r="C337" s="37"/>
      <c r="D337" s="151"/>
    </row>
    <row r="338" spans="1:5" ht="20.399999999999999">
      <c r="A338" s="118" t="e" vm="5">
        <v>#VALUE!</v>
      </c>
      <c r="B338" s="99" t="s">
        <v>253</v>
      </c>
      <c r="C338" s="67"/>
      <c r="D338" s="150"/>
    </row>
    <row r="339" spans="1:5">
      <c r="A339" s="94"/>
      <c r="B339" s="47"/>
      <c r="C339" s="9"/>
      <c r="D339" s="150"/>
    </row>
    <row r="340" spans="1:5" ht="18">
      <c r="A340" s="94"/>
      <c r="B340" s="27" t="s">
        <v>254</v>
      </c>
      <c r="C340" s="9"/>
      <c r="D340" s="150"/>
    </row>
    <row r="341" spans="1:5">
      <c r="A341" s="94"/>
      <c r="B341" s="24" t="s">
        <v>22</v>
      </c>
      <c r="C341" s="70" t="s">
        <v>255</v>
      </c>
      <c r="D341" s="149">
        <v>289</v>
      </c>
      <c r="E341" s="180">
        <f t="shared" ref="E341:E354" si="37">D341*57%</f>
        <v>164.73</v>
      </c>
    </row>
    <row r="342" spans="1:5">
      <c r="A342" s="94"/>
      <c r="B342" s="47"/>
      <c r="C342" s="71" t="s">
        <v>256</v>
      </c>
      <c r="D342" s="151">
        <v>460</v>
      </c>
      <c r="E342" s="145">
        <f t="shared" si="37"/>
        <v>262.2</v>
      </c>
    </row>
    <row r="343" spans="1:5">
      <c r="A343" s="94"/>
      <c r="B343" s="47"/>
      <c r="C343" s="70" t="s">
        <v>257</v>
      </c>
      <c r="D343" s="149">
        <v>460</v>
      </c>
      <c r="E343" s="180">
        <f t="shared" si="37"/>
        <v>262.2</v>
      </c>
    </row>
    <row r="344" spans="1:5">
      <c r="A344" s="94"/>
      <c r="B344" s="47"/>
      <c r="C344" s="71" t="s">
        <v>258</v>
      </c>
      <c r="D344" s="151">
        <v>505</v>
      </c>
      <c r="E344" s="145">
        <f t="shared" si="37"/>
        <v>287.84999999999997</v>
      </c>
    </row>
    <row r="345" spans="1:5">
      <c r="A345" s="94"/>
      <c r="B345" s="47"/>
      <c r="C345" s="70" t="s">
        <v>259</v>
      </c>
      <c r="D345" s="149">
        <v>505</v>
      </c>
      <c r="E345" s="180">
        <f t="shared" si="37"/>
        <v>287.84999999999997</v>
      </c>
    </row>
    <row r="346" spans="1:5">
      <c r="A346" s="94"/>
      <c r="B346" s="47"/>
      <c r="C346" s="71" t="s">
        <v>260</v>
      </c>
      <c r="D346" s="151">
        <v>924</v>
      </c>
      <c r="E346" s="145">
        <f t="shared" si="37"/>
        <v>526.67999999999995</v>
      </c>
    </row>
    <row r="347" spans="1:5">
      <c r="A347" s="94"/>
      <c r="B347" s="47"/>
      <c r="C347" s="70" t="s">
        <v>261</v>
      </c>
      <c r="D347" s="149">
        <v>967</v>
      </c>
      <c r="E347" s="180">
        <f t="shared" si="37"/>
        <v>551.18999999999994</v>
      </c>
    </row>
    <row r="348" spans="1:5">
      <c r="A348" s="94"/>
      <c r="B348" s="47"/>
      <c r="C348" s="71" t="s">
        <v>262</v>
      </c>
      <c r="D348" s="151">
        <v>1211</v>
      </c>
      <c r="E348" s="145">
        <f t="shared" si="37"/>
        <v>690.27</v>
      </c>
    </row>
    <row r="349" spans="1:5">
      <c r="A349" s="94"/>
      <c r="B349" s="47"/>
      <c r="C349" s="70" t="s">
        <v>263</v>
      </c>
      <c r="D349" s="149">
        <v>1211</v>
      </c>
      <c r="E349" s="180">
        <f t="shared" si="37"/>
        <v>690.27</v>
      </c>
    </row>
    <row r="350" spans="1:5">
      <c r="A350" s="94"/>
      <c r="B350" s="47"/>
      <c r="C350" s="71" t="s">
        <v>264</v>
      </c>
      <c r="D350" s="151">
        <v>2422</v>
      </c>
      <c r="E350" s="145">
        <f t="shared" si="37"/>
        <v>1380.54</v>
      </c>
    </row>
    <row r="351" spans="1:5">
      <c r="A351" s="94"/>
      <c r="B351" s="47"/>
      <c r="C351" s="70" t="s">
        <v>265</v>
      </c>
      <c r="D351" s="149">
        <v>1329</v>
      </c>
      <c r="E351" s="180">
        <f t="shared" si="37"/>
        <v>757.53</v>
      </c>
    </row>
    <row r="352" spans="1:5">
      <c r="A352" s="94"/>
      <c r="B352" s="47"/>
      <c r="C352" s="71" t="s">
        <v>266</v>
      </c>
      <c r="D352" s="151">
        <v>1329</v>
      </c>
      <c r="E352" s="145">
        <f t="shared" si="37"/>
        <v>757.53</v>
      </c>
    </row>
    <row r="353" spans="1:5">
      <c r="A353" s="94"/>
      <c r="B353" s="47"/>
      <c r="C353" s="70" t="s">
        <v>267</v>
      </c>
      <c r="D353" s="149">
        <v>2658</v>
      </c>
      <c r="E353" s="180">
        <f t="shared" si="37"/>
        <v>1515.06</v>
      </c>
    </row>
    <row r="354" spans="1:5">
      <c r="A354" s="94"/>
      <c r="B354" s="47"/>
      <c r="C354" s="71" t="s">
        <v>268</v>
      </c>
      <c r="D354" s="151">
        <v>1642</v>
      </c>
      <c r="E354" s="145">
        <f t="shared" si="37"/>
        <v>935.93999999999994</v>
      </c>
    </row>
    <row r="355" spans="1:5">
      <c r="A355" s="94"/>
      <c r="B355" s="47"/>
      <c r="C355" s="70" t="s">
        <v>269</v>
      </c>
      <c r="D355" s="152" t="s">
        <v>11</v>
      </c>
      <c r="E355" s="181" t="s">
        <v>11</v>
      </c>
    </row>
    <row r="356" spans="1:5">
      <c r="A356" s="121"/>
      <c r="B356" s="47"/>
      <c r="C356" s="9"/>
      <c r="D356" s="150"/>
    </row>
    <row r="357" spans="1:5" ht="18">
      <c r="A357" s="87"/>
      <c r="B357" s="27" t="s">
        <v>270</v>
      </c>
      <c r="C357" s="72"/>
      <c r="D357" s="150"/>
    </row>
    <row r="358" spans="1:5">
      <c r="A358" s="87"/>
      <c r="B358" s="24" t="s">
        <v>22</v>
      </c>
      <c r="C358" s="8" t="s">
        <v>271</v>
      </c>
      <c r="D358" s="149">
        <v>321</v>
      </c>
      <c r="E358" s="180">
        <f t="shared" ref="E358:E363" si="38">D358*57%</f>
        <v>182.96999999999997</v>
      </c>
    </row>
    <row r="359" spans="1:5">
      <c r="A359" s="87"/>
      <c r="B359" s="47"/>
      <c r="C359" s="11" t="s">
        <v>272</v>
      </c>
      <c r="D359" s="151">
        <v>409</v>
      </c>
      <c r="E359" s="145">
        <f t="shared" si="38"/>
        <v>233.12999999999997</v>
      </c>
    </row>
    <row r="360" spans="1:5">
      <c r="A360" s="107"/>
      <c r="B360" s="47"/>
      <c r="C360" s="8" t="s">
        <v>273</v>
      </c>
      <c r="D360" s="149">
        <v>726</v>
      </c>
      <c r="E360" s="180">
        <f t="shared" si="38"/>
        <v>413.81999999999994</v>
      </c>
    </row>
    <row r="361" spans="1:5">
      <c r="A361" s="107"/>
      <c r="B361" s="47"/>
      <c r="C361" s="11" t="s">
        <v>274</v>
      </c>
      <c r="D361" s="151">
        <v>726</v>
      </c>
      <c r="E361" s="145">
        <f t="shared" si="38"/>
        <v>413.81999999999994</v>
      </c>
    </row>
    <row r="362" spans="1:5">
      <c r="A362" s="107"/>
      <c r="B362" s="47"/>
      <c r="C362" s="8" t="s">
        <v>275</v>
      </c>
      <c r="D362" s="149">
        <v>989</v>
      </c>
      <c r="E362" s="180">
        <f t="shared" si="38"/>
        <v>563.7299999999999</v>
      </c>
    </row>
    <row r="363" spans="1:5">
      <c r="A363" s="107"/>
      <c r="B363" s="47"/>
      <c r="C363" s="11" t="s">
        <v>276</v>
      </c>
      <c r="D363" s="151">
        <v>1093</v>
      </c>
      <c r="E363" s="145">
        <f t="shared" si="38"/>
        <v>623.01</v>
      </c>
    </row>
    <row r="364" spans="1:5">
      <c r="A364" s="107"/>
      <c r="B364" s="47"/>
      <c r="C364" s="9"/>
      <c r="D364" s="150"/>
    </row>
    <row r="365" spans="1:5" ht="20.399999999999999">
      <c r="A365" s="118" t="e" vm="5">
        <v>#VALUE!</v>
      </c>
      <c r="B365" s="99" t="s">
        <v>277</v>
      </c>
      <c r="C365" s="67"/>
      <c r="D365" s="150"/>
    </row>
    <row r="366" spans="1:5">
      <c r="A366" s="107"/>
      <c r="B366" s="47"/>
      <c r="C366" s="9"/>
      <c r="D366" s="150"/>
    </row>
    <row r="367" spans="1:5" ht="18">
      <c r="A367" s="107"/>
      <c r="B367" s="27" t="s">
        <v>278</v>
      </c>
      <c r="C367" s="72"/>
      <c r="D367" s="150"/>
    </row>
    <row r="368" spans="1:5">
      <c r="A368" s="107"/>
      <c r="B368" s="24" t="s">
        <v>5</v>
      </c>
      <c r="C368" s="8" t="s">
        <v>279</v>
      </c>
      <c r="D368" s="149">
        <v>138</v>
      </c>
      <c r="E368" s="180">
        <f t="shared" ref="E368:E369" si="39">D368*57%</f>
        <v>78.66</v>
      </c>
    </row>
    <row r="369" spans="1:5">
      <c r="A369" s="107"/>
      <c r="B369" s="24"/>
      <c r="C369" s="15" t="s">
        <v>280</v>
      </c>
      <c r="D369" s="150">
        <v>138</v>
      </c>
      <c r="E369" s="145">
        <f t="shared" si="39"/>
        <v>78.66</v>
      </c>
    </row>
    <row r="370" spans="1:5">
      <c r="A370" s="107"/>
      <c r="B370" s="24"/>
      <c r="C370" s="15"/>
      <c r="D370" s="150"/>
    </row>
    <row r="371" spans="1:5">
      <c r="A371" s="107"/>
      <c r="B371" s="24" t="s">
        <v>227</v>
      </c>
      <c r="C371" s="19" t="s">
        <v>281</v>
      </c>
      <c r="D371" s="149">
        <v>138</v>
      </c>
      <c r="E371" s="180">
        <f t="shared" ref="E371:E379" si="40">D371*57%</f>
        <v>78.66</v>
      </c>
    </row>
    <row r="372" spans="1:5">
      <c r="A372" s="107"/>
      <c r="B372" s="24"/>
      <c r="C372" s="68" t="s">
        <v>282</v>
      </c>
      <c r="D372" s="159">
        <v>99</v>
      </c>
      <c r="E372" s="145">
        <f t="shared" si="40"/>
        <v>56.429999999999993</v>
      </c>
    </row>
    <row r="373" spans="1:5">
      <c r="A373" s="107"/>
      <c r="B373" s="24"/>
      <c r="C373" s="19" t="s">
        <v>283</v>
      </c>
      <c r="D373" s="149">
        <v>138</v>
      </c>
      <c r="E373" s="180">
        <f t="shared" si="40"/>
        <v>78.66</v>
      </c>
    </row>
    <row r="374" spans="1:5">
      <c r="A374" s="107"/>
      <c r="B374" s="47"/>
      <c r="C374" s="68" t="s">
        <v>284</v>
      </c>
      <c r="D374" s="150">
        <v>168</v>
      </c>
      <c r="E374" s="145">
        <f t="shared" si="40"/>
        <v>95.759999999999991</v>
      </c>
    </row>
    <row r="375" spans="1:5">
      <c r="A375" s="107"/>
      <c r="B375" s="47"/>
      <c r="C375" s="19" t="s">
        <v>285</v>
      </c>
      <c r="D375" s="149">
        <v>168</v>
      </c>
      <c r="E375" s="180">
        <f t="shared" si="40"/>
        <v>95.759999999999991</v>
      </c>
    </row>
    <row r="376" spans="1:5">
      <c r="A376" s="107"/>
      <c r="B376" s="47"/>
      <c r="C376" s="11" t="s">
        <v>286</v>
      </c>
      <c r="D376" s="151">
        <v>245</v>
      </c>
      <c r="E376" s="145">
        <f t="shared" si="40"/>
        <v>139.64999999999998</v>
      </c>
    </row>
    <row r="377" spans="1:5">
      <c r="A377" s="120"/>
      <c r="B377" s="47"/>
      <c r="C377" s="19" t="s">
        <v>287</v>
      </c>
      <c r="D377" s="149">
        <v>285</v>
      </c>
      <c r="E377" s="180">
        <f t="shared" si="40"/>
        <v>162.44999999999999</v>
      </c>
    </row>
    <row r="378" spans="1:5">
      <c r="A378" s="120"/>
      <c r="B378" s="47"/>
      <c r="C378" s="20" t="s">
        <v>288</v>
      </c>
      <c r="D378" s="151">
        <v>312</v>
      </c>
      <c r="E378" s="145">
        <f t="shared" si="40"/>
        <v>177.83999999999997</v>
      </c>
    </row>
    <row r="379" spans="1:5">
      <c r="A379" s="87"/>
      <c r="B379" s="47"/>
      <c r="C379" s="19" t="s">
        <v>289</v>
      </c>
      <c r="D379" s="149">
        <v>343</v>
      </c>
      <c r="E379" s="180">
        <f t="shared" si="40"/>
        <v>195.51</v>
      </c>
    </row>
    <row r="380" spans="1:5">
      <c r="A380" s="87"/>
      <c r="B380" s="47"/>
      <c r="C380" s="35"/>
      <c r="D380" s="150"/>
    </row>
    <row r="381" spans="1:5" ht="20.399999999999999">
      <c r="A381" s="118" t="e" vm="5">
        <v>#VALUE!</v>
      </c>
      <c r="B381" s="99" t="s">
        <v>290</v>
      </c>
      <c r="C381" s="67"/>
      <c r="D381" s="150"/>
    </row>
    <row r="382" spans="1:5">
      <c r="A382" s="107"/>
      <c r="B382" s="47"/>
      <c r="C382" s="9"/>
      <c r="D382" s="150"/>
    </row>
    <row r="383" spans="1:5" ht="18">
      <c r="A383" s="183"/>
      <c r="B383" s="27" t="s">
        <v>291</v>
      </c>
      <c r="C383" s="55"/>
      <c r="D383" s="150"/>
    </row>
    <row r="384" spans="1:5">
      <c r="A384" s="183"/>
      <c r="B384" s="24" t="s">
        <v>5</v>
      </c>
      <c r="C384" s="70" t="s">
        <v>292</v>
      </c>
      <c r="D384" s="149">
        <v>471</v>
      </c>
      <c r="E384" s="180">
        <f t="shared" ref="E384:E385" si="41">D384*57%</f>
        <v>268.46999999999997</v>
      </c>
    </row>
    <row r="385" spans="1:5">
      <c r="A385" s="183"/>
      <c r="B385" s="24"/>
      <c r="C385" s="69" t="s">
        <v>293</v>
      </c>
      <c r="D385" s="150">
        <v>824</v>
      </c>
      <c r="E385" s="145">
        <f t="shared" si="41"/>
        <v>469.67999999999995</v>
      </c>
    </row>
    <row r="386" spans="1:5">
      <c r="A386" s="183"/>
      <c r="B386" s="122"/>
      <c r="C386" s="16"/>
      <c r="D386" s="147"/>
    </row>
    <row r="387" spans="1:5">
      <c r="A387" s="183"/>
      <c r="B387" s="122" t="s">
        <v>227</v>
      </c>
      <c r="C387" s="70" t="s">
        <v>294</v>
      </c>
      <c r="D387" s="149">
        <v>471</v>
      </c>
      <c r="E387" s="180">
        <f t="shared" ref="E387:E392" si="42">D387*57%</f>
        <v>268.46999999999997</v>
      </c>
    </row>
    <row r="388" spans="1:5">
      <c r="A388" s="183"/>
      <c r="B388" s="122"/>
      <c r="C388" s="69" t="s">
        <v>295</v>
      </c>
      <c r="D388" s="150">
        <v>494</v>
      </c>
      <c r="E388" s="145">
        <f t="shared" si="42"/>
        <v>281.58</v>
      </c>
    </row>
    <row r="389" spans="1:5">
      <c r="A389" s="183"/>
      <c r="B389" s="25"/>
      <c r="C389" s="70" t="s">
        <v>296</v>
      </c>
      <c r="D389" s="149">
        <v>916</v>
      </c>
      <c r="E389" s="180">
        <f t="shared" si="42"/>
        <v>522.12</v>
      </c>
    </row>
    <row r="390" spans="1:5">
      <c r="A390" s="183"/>
      <c r="B390" s="25"/>
      <c r="C390" s="69" t="s">
        <v>297</v>
      </c>
      <c r="D390" s="150">
        <v>916</v>
      </c>
      <c r="E390" s="145">
        <f t="shared" si="42"/>
        <v>522.12</v>
      </c>
    </row>
    <row r="391" spans="1:5">
      <c r="A391" s="183"/>
      <c r="B391" s="25"/>
      <c r="C391" s="70" t="s">
        <v>298</v>
      </c>
      <c r="D391" s="149">
        <v>1164</v>
      </c>
      <c r="E391" s="180">
        <f t="shared" si="42"/>
        <v>663.4799999999999</v>
      </c>
    </row>
    <row r="392" spans="1:5">
      <c r="A392" s="183"/>
      <c r="B392" s="25"/>
      <c r="C392" s="69" t="s">
        <v>299</v>
      </c>
      <c r="D392" s="150">
        <v>1164</v>
      </c>
      <c r="E392" s="145">
        <f t="shared" si="42"/>
        <v>663.4799999999999</v>
      </c>
    </row>
    <row r="393" spans="1:5">
      <c r="A393" s="183"/>
      <c r="B393" s="25"/>
      <c r="C393" s="16"/>
      <c r="D393" s="147"/>
    </row>
    <row r="394" spans="1:5" ht="18">
      <c r="A394" s="183"/>
      <c r="B394" s="27" t="s">
        <v>300</v>
      </c>
      <c r="C394" s="73"/>
      <c r="D394" s="147"/>
    </row>
    <row r="395" spans="1:5">
      <c r="A395" s="94"/>
      <c r="B395" s="24" t="s">
        <v>5</v>
      </c>
      <c r="C395" s="8" t="s">
        <v>301</v>
      </c>
      <c r="D395" s="152" t="s">
        <v>11</v>
      </c>
      <c r="E395" s="181" t="s">
        <v>11</v>
      </c>
    </row>
    <row r="396" spans="1:5">
      <c r="A396" s="94"/>
      <c r="B396" s="24"/>
      <c r="C396" s="15" t="s">
        <v>302</v>
      </c>
      <c r="D396" s="150">
        <v>189</v>
      </c>
      <c r="E396" s="145">
        <f>D396*57%</f>
        <v>107.72999999999999</v>
      </c>
    </row>
    <row r="397" spans="1:5">
      <c r="A397" s="94"/>
      <c r="B397" s="24"/>
      <c r="C397" s="15"/>
      <c r="D397" s="150"/>
    </row>
    <row r="398" spans="1:5">
      <c r="A398" s="94"/>
      <c r="B398" s="24" t="s">
        <v>227</v>
      </c>
      <c r="C398" s="8" t="s">
        <v>303</v>
      </c>
      <c r="D398" s="149">
        <v>134</v>
      </c>
      <c r="E398" s="180">
        <f t="shared" ref="E398:E400" si="43">D398*57%</f>
        <v>76.38</v>
      </c>
    </row>
    <row r="399" spans="1:5">
      <c r="A399" s="94"/>
      <c r="B399" s="24"/>
      <c r="C399" s="11" t="s">
        <v>304</v>
      </c>
      <c r="D399" s="151">
        <v>186</v>
      </c>
      <c r="E399" s="145">
        <f t="shared" si="43"/>
        <v>106.02</v>
      </c>
    </row>
    <row r="400" spans="1:5">
      <c r="A400" s="94"/>
      <c r="B400" s="123"/>
      <c r="C400" s="8" t="s">
        <v>305</v>
      </c>
      <c r="D400" s="149">
        <v>165</v>
      </c>
      <c r="E400" s="180">
        <f t="shared" si="43"/>
        <v>94.05</v>
      </c>
    </row>
    <row r="401" spans="1:5">
      <c r="A401" s="94"/>
      <c r="B401" s="25"/>
      <c r="C401" s="16"/>
      <c r="D401" s="147"/>
    </row>
    <row r="402" spans="1:5" ht="20.399999999999999">
      <c r="A402" s="118" t="e" vm="5">
        <v>#VALUE!</v>
      </c>
      <c r="B402" s="99" t="s">
        <v>306</v>
      </c>
      <c r="C402" s="67"/>
      <c r="D402" s="147"/>
    </row>
    <row r="403" spans="1:5">
      <c r="A403" s="121"/>
      <c r="B403" s="47"/>
      <c r="C403" s="9"/>
      <c r="D403" s="147"/>
    </row>
    <row r="404" spans="1:5" ht="18">
      <c r="A404" s="87"/>
      <c r="B404" s="27" t="s">
        <v>307</v>
      </c>
      <c r="C404" s="72"/>
      <c r="D404" s="147"/>
    </row>
    <row r="405" spans="1:5">
      <c r="A405" s="87"/>
      <c r="B405" s="114" t="s">
        <v>5</v>
      </c>
      <c r="C405" s="12" t="s">
        <v>308</v>
      </c>
      <c r="D405" s="168">
        <v>327</v>
      </c>
      <c r="E405" s="180">
        <f>D405*57%</f>
        <v>186.39</v>
      </c>
    </row>
    <row r="406" spans="1:5" ht="18">
      <c r="A406" s="87"/>
      <c r="B406" s="27"/>
      <c r="C406" s="72"/>
      <c r="D406" s="147"/>
    </row>
    <row r="407" spans="1:5">
      <c r="A407" s="121"/>
      <c r="B407" s="114" t="s">
        <v>22</v>
      </c>
      <c r="C407" s="12" t="s">
        <v>309</v>
      </c>
      <c r="D407" s="160">
        <v>225</v>
      </c>
      <c r="E407" s="180">
        <f t="shared" ref="E407:E418" si="44">D407*57%</f>
        <v>128.25</v>
      </c>
    </row>
    <row r="408" spans="1:5">
      <c r="A408" s="121"/>
      <c r="B408" s="114"/>
      <c r="C408" s="74" t="s">
        <v>310</v>
      </c>
      <c r="D408" s="170">
        <v>225</v>
      </c>
      <c r="E408" s="145">
        <f t="shared" si="44"/>
        <v>128.25</v>
      </c>
    </row>
    <row r="409" spans="1:5">
      <c r="A409" s="121"/>
      <c r="B409" s="115"/>
      <c r="C409" s="12" t="s">
        <v>311</v>
      </c>
      <c r="D409" s="160">
        <v>447</v>
      </c>
      <c r="E409" s="180">
        <f t="shared" si="44"/>
        <v>254.79</v>
      </c>
    </row>
    <row r="410" spans="1:5">
      <c r="A410" s="121"/>
      <c r="B410" s="115"/>
      <c r="C410" s="74" t="s">
        <v>312</v>
      </c>
      <c r="D410" s="170">
        <v>277</v>
      </c>
      <c r="E410" s="145">
        <f t="shared" si="44"/>
        <v>157.88999999999999</v>
      </c>
    </row>
    <row r="411" spans="1:5">
      <c r="A411" s="121"/>
      <c r="B411" s="115"/>
      <c r="C411" s="75" t="s">
        <v>313</v>
      </c>
      <c r="D411" s="160">
        <v>920</v>
      </c>
      <c r="E411" s="180">
        <f t="shared" si="44"/>
        <v>524.4</v>
      </c>
    </row>
    <row r="412" spans="1:5">
      <c r="A412" s="121"/>
      <c r="B412" s="115"/>
      <c r="C412" s="74" t="s">
        <v>314</v>
      </c>
      <c r="D412" s="150">
        <v>1849</v>
      </c>
      <c r="E412" s="145">
        <f t="shared" si="44"/>
        <v>1053.9299999999998</v>
      </c>
    </row>
    <row r="413" spans="1:5">
      <c r="A413" s="121"/>
      <c r="B413" s="115"/>
      <c r="C413" s="12" t="s">
        <v>315</v>
      </c>
      <c r="D413" s="160">
        <v>745</v>
      </c>
      <c r="E413" s="180">
        <f t="shared" si="44"/>
        <v>424.65</v>
      </c>
    </row>
    <row r="414" spans="1:5">
      <c r="A414" s="121"/>
      <c r="B414" s="115"/>
      <c r="C414" s="74" t="s">
        <v>316</v>
      </c>
      <c r="D414" s="170">
        <v>745</v>
      </c>
      <c r="E414" s="145">
        <f t="shared" si="44"/>
        <v>424.65</v>
      </c>
    </row>
    <row r="415" spans="1:5">
      <c r="A415" s="121"/>
      <c r="B415" s="115"/>
      <c r="C415" s="12" t="s">
        <v>317</v>
      </c>
      <c r="D415" s="160">
        <v>972</v>
      </c>
      <c r="E415" s="180">
        <f t="shared" si="44"/>
        <v>554.04</v>
      </c>
    </row>
    <row r="416" spans="1:5">
      <c r="A416" s="121"/>
      <c r="B416" s="115"/>
      <c r="C416" s="74" t="s">
        <v>318</v>
      </c>
      <c r="D416" s="170">
        <v>972</v>
      </c>
      <c r="E416" s="145">
        <f t="shared" si="44"/>
        <v>554.04</v>
      </c>
    </row>
    <row r="417" spans="1:5">
      <c r="A417" s="121"/>
      <c r="B417" s="115"/>
      <c r="C417" s="12" t="s">
        <v>319</v>
      </c>
      <c r="D417" s="160">
        <v>2532</v>
      </c>
      <c r="E417" s="180">
        <f t="shared" si="44"/>
        <v>1443.2399999999998</v>
      </c>
    </row>
    <row r="418" spans="1:5">
      <c r="A418" s="121"/>
      <c r="B418" s="115"/>
      <c r="C418" s="74" t="s">
        <v>320</v>
      </c>
      <c r="D418" s="170">
        <v>2532</v>
      </c>
      <c r="E418" s="145">
        <f t="shared" si="44"/>
        <v>1443.2399999999998</v>
      </c>
    </row>
    <row r="419" spans="1:5">
      <c r="A419" s="121"/>
      <c r="B419" s="25"/>
      <c r="C419" s="16"/>
      <c r="D419" s="147"/>
    </row>
    <row r="420" spans="1:5" ht="18">
      <c r="A420" s="121"/>
      <c r="B420" s="27" t="s">
        <v>321</v>
      </c>
      <c r="C420" s="16"/>
      <c r="D420" s="147"/>
    </row>
    <row r="421" spans="1:5">
      <c r="A421" s="107"/>
      <c r="B421" s="24" t="s">
        <v>22</v>
      </c>
      <c r="C421" s="48" t="s">
        <v>322</v>
      </c>
      <c r="D421" s="149">
        <v>149</v>
      </c>
      <c r="E421" s="180">
        <f>D421*57%</f>
        <v>84.929999999999993</v>
      </c>
    </row>
    <row r="422" spans="1:5">
      <c r="A422" s="107"/>
      <c r="B422" s="25"/>
      <c r="C422" s="16"/>
      <c r="D422" s="147"/>
    </row>
    <row r="423" spans="1:5" ht="18">
      <c r="A423" s="107"/>
      <c r="B423" s="27" t="s">
        <v>323</v>
      </c>
      <c r="C423" s="73"/>
      <c r="D423" s="147"/>
    </row>
    <row r="424" spans="1:5">
      <c r="A424" s="107"/>
      <c r="B424" s="24" t="s">
        <v>5</v>
      </c>
      <c r="C424" s="8" t="s">
        <v>324</v>
      </c>
      <c r="D424" s="149">
        <v>283</v>
      </c>
      <c r="E424" s="180">
        <f>D424*57%</f>
        <v>161.30999999999997</v>
      </c>
    </row>
    <row r="425" spans="1:5">
      <c r="A425" s="107"/>
      <c r="B425" s="24"/>
      <c r="C425" s="15"/>
      <c r="D425" s="150"/>
    </row>
    <row r="426" spans="1:5">
      <c r="A426" s="107"/>
      <c r="B426" s="24" t="s">
        <v>227</v>
      </c>
      <c r="C426" s="8" t="s">
        <v>325</v>
      </c>
      <c r="D426" s="149">
        <v>220</v>
      </c>
      <c r="E426" s="180">
        <f t="shared" ref="E426:E430" si="45">D426*57%</f>
        <v>125.39999999999999</v>
      </c>
    </row>
    <row r="427" spans="1:5">
      <c r="A427" s="107"/>
      <c r="B427" s="24"/>
      <c r="C427" s="11" t="s">
        <v>326</v>
      </c>
      <c r="D427" s="151">
        <v>387</v>
      </c>
      <c r="E427" s="145">
        <f t="shared" si="45"/>
        <v>220.58999999999997</v>
      </c>
    </row>
    <row r="428" spans="1:5">
      <c r="A428" s="107"/>
      <c r="B428" s="24"/>
      <c r="C428" s="8" t="s">
        <v>327</v>
      </c>
      <c r="D428" s="149">
        <v>299</v>
      </c>
      <c r="E428" s="180">
        <f t="shared" si="45"/>
        <v>170.42999999999998</v>
      </c>
    </row>
    <row r="429" spans="1:5">
      <c r="A429" s="107"/>
      <c r="B429" s="47"/>
      <c r="C429" s="11" t="s">
        <v>328</v>
      </c>
      <c r="D429" s="151">
        <v>451</v>
      </c>
      <c r="E429" s="145">
        <f t="shared" si="45"/>
        <v>257.07</v>
      </c>
    </row>
    <row r="430" spans="1:5">
      <c r="A430" s="107"/>
      <c r="B430" s="47"/>
      <c r="C430" s="8" t="s">
        <v>329</v>
      </c>
      <c r="D430" s="149">
        <v>451</v>
      </c>
      <c r="E430" s="180">
        <f t="shared" si="45"/>
        <v>257.07</v>
      </c>
    </row>
    <row r="431" spans="1:5">
      <c r="A431" s="107"/>
      <c r="B431" s="25"/>
      <c r="C431" s="76"/>
      <c r="D431" s="147"/>
    </row>
    <row r="432" spans="1:5" ht="18">
      <c r="A432" s="107"/>
      <c r="B432" s="27" t="s">
        <v>330</v>
      </c>
      <c r="C432" s="73"/>
      <c r="D432" s="147"/>
    </row>
    <row r="433" spans="1:5">
      <c r="A433" s="107"/>
      <c r="B433" s="24" t="s">
        <v>22</v>
      </c>
      <c r="C433" s="19" t="s">
        <v>331</v>
      </c>
      <c r="D433" s="149">
        <v>375</v>
      </c>
      <c r="E433" s="180">
        <f t="shared" ref="E433:E434" si="46">D433*57%</f>
        <v>213.74999999999997</v>
      </c>
    </row>
    <row r="434" spans="1:5">
      <c r="A434" s="107"/>
      <c r="B434" s="47"/>
      <c r="C434" s="20" t="s">
        <v>332</v>
      </c>
      <c r="D434" s="151">
        <v>469</v>
      </c>
      <c r="E434" s="145">
        <f t="shared" si="46"/>
        <v>267.33</v>
      </c>
    </row>
    <row r="435" spans="1:5">
      <c r="A435" s="107"/>
      <c r="B435" s="47"/>
      <c r="C435" s="19" t="s">
        <v>333</v>
      </c>
      <c r="D435" s="152" t="s">
        <v>11</v>
      </c>
      <c r="E435" s="181" t="s">
        <v>11</v>
      </c>
    </row>
    <row r="436" spans="1:5">
      <c r="A436" s="107"/>
      <c r="B436" s="47"/>
      <c r="C436" s="11" t="s">
        <v>334</v>
      </c>
      <c r="D436" s="151">
        <v>757</v>
      </c>
      <c r="E436" s="145">
        <f>D436*57%</f>
        <v>431.48999999999995</v>
      </c>
    </row>
    <row r="437" spans="1:5">
      <c r="A437" s="107"/>
      <c r="B437" s="47"/>
      <c r="C437" s="19" t="s">
        <v>335</v>
      </c>
      <c r="D437" s="152" t="s">
        <v>11</v>
      </c>
      <c r="E437" s="181" t="s">
        <v>11</v>
      </c>
    </row>
    <row r="438" spans="1:5">
      <c r="A438" s="107"/>
      <c r="B438" s="25"/>
      <c r="C438" s="16" t="s">
        <v>336</v>
      </c>
      <c r="D438" s="147"/>
    </row>
    <row r="439" spans="1:5" ht="18">
      <c r="A439" s="107"/>
      <c r="B439" s="27" t="s">
        <v>337</v>
      </c>
      <c r="C439" s="73"/>
      <c r="D439" s="147"/>
    </row>
    <row r="440" spans="1:5">
      <c r="A440" s="107"/>
      <c r="B440" s="47" t="s">
        <v>22</v>
      </c>
      <c r="C440" s="8" t="s">
        <v>338</v>
      </c>
      <c r="D440" s="149">
        <v>154</v>
      </c>
      <c r="E440" s="180">
        <f t="shared" ref="E440:E443" si="47">D440*57%</f>
        <v>87.779999999999987</v>
      </c>
    </row>
    <row r="441" spans="1:5">
      <c r="A441" s="107"/>
      <c r="B441" s="47"/>
      <c r="C441" s="11" t="s">
        <v>339</v>
      </c>
      <c r="D441" s="151">
        <v>290</v>
      </c>
      <c r="E441" s="145">
        <f t="shared" si="47"/>
        <v>165.29999999999998</v>
      </c>
    </row>
    <row r="442" spans="1:5">
      <c r="A442" s="107"/>
      <c r="B442" s="47"/>
      <c r="C442" s="19" t="s">
        <v>340</v>
      </c>
      <c r="D442" s="149">
        <v>670</v>
      </c>
      <c r="E442" s="180">
        <f t="shared" si="47"/>
        <v>381.9</v>
      </c>
    </row>
    <row r="443" spans="1:5">
      <c r="A443" s="107"/>
      <c r="B443" s="47"/>
      <c r="C443" s="68" t="s">
        <v>341</v>
      </c>
      <c r="D443" s="150">
        <v>1463</v>
      </c>
      <c r="E443" s="145">
        <f t="shared" si="47"/>
        <v>833.91</v>
      </c>
    </row>
    <row r="444" spans="1:5">
      <c r="A444" s="107"/>
      <c r="B444" s="25"/>
      <c r="C444" s="16"/>
      <c r="D444" s="147"/>
    </row>
    <row r="445" spans="1:5" ht="18">
      <c r="A445" s="107"/>
      <c r="B445" s="27" t="s">
        <v>342</v>
      </c>
      <c r="C445" s="73"/>
      <c r="D445" s="147"/>
    </row>
    <row r="446" spans="1:5">
      <c r="A446" s="120"/>
      <c r="B446" s="47" t="s">
        <v>5</v>
      </c>
      <c r="C446" s="8" t="s">
        <v>343</v>
      </c>
      <c r="D446" s="149">
        <v>429</v>
      </c>
      <c r="E446" s="180">
        <f>D446*57%</f>
        <v>244.52999999999997</v>
      </c>
    </row>
    <row r="447" spans="1:5">
      <c r="A447" s="120"/>
      <c r="B447" s="14"/>
      <c r="C447" s="15"/>
      <c r="D447" s="150"/>
    </row>
    <row r="448" spans="1:5">
      <c r="A448" s="107"/>
      <c r="B448" s="47" t="s">
        <v>227</v>
      </c>
      <c r="C448" s="8" t="s">
        <v>344</v>
      </c>
      <c r="D448" s="160">
        <v>169</v>
      </c>
      <c r="E448" s="180">
        <f t="shared" ref="E448:E451" si="48">D448*57%</f>
        <v>96.33</v>
      </c>
    </row>
    <row r="449" spans="1:5">
      <c r="A449" s="107"/>
      <c r="B449" s="22"/>
      <c r="C449" s="15" t="s">
        <v>345</v>
      </c>
      <c r="D449" s="170">
        <v>225</v>
      </c>
      <c r="E449" s="145">
        <f t="shared" si="48"/>
        <v>128.25</v>
      </c>
    </row>
    <row r="450" spans="1:5">
      <c r="A450" s="107"/>
      <c r="B450" s="47"/>
      <c r="C450" s="19" t="s">
        <v>346</v>
      </c>
      <c r="D450" s="149">
        <v>503</v>
      </c>
      <c r="E450" s="180">
        <f t="shared" si="48"/>
        <v>286.70999999999998</v>
      </c>
    </row>
    <row r="451" spans="1:5">
      <c r="A451" s="107"/>
      <c r="B451" s="47"/>
      <c r="C451" s="20" t="s">
        <v>347</v>
      </c>
      <c r="D451" s="151">
        <v>860</v>
      </c>
      <c r="E451" s="145">
        <f t="shared" si="48"/>
        <v>490.19999999999993</v>
      </c>
    </row>
    <row r="452" spans="1:5">
      <c r="A452" s="107"/>
      <c r="B452" s="25"/>
      <c r="C452" s="16"/>
      <c r="D452" s="147"/>
    </row>
    <row r="453" spans="1:5" ht="20.399999999999999">
      <c r="A453" s="118" t="e" vm="5">
        <v>#VALUE!</v>
      </c>
      <c r="B453" s="99" t="s">
        <v>348</v>
      </c>
      <c r="C453" s="67"/>
      <c r="D453" s="147"/>
    </row>
    <row r="454" spans="1:5">
      <c r="A454" s="121"/>
      <c r="B454" s="47"/>
      <c r="C454" s="9"/>
      <c r="D454" s="147"/>
    </row>
    <row r="455" spans="1:5">
      <c r="A455" s="107"/>
      <c r="B455" s="124"/>
      <c r="C455" s="77"/>
      <c r="D455" s="147"/>
    </row>
    <row r="456" spans="1:5" ht="18">
      <c r="A456" s="107"/>
      <c r="B456" s="27" t="s">
        <v>349</v>
      </c>
      <c r="C456" s="73"/>
      <c r="D456" s="147"/>
    </row>
    <row r="457" spans="1:5">
      <c r="A457" s="107"/>
      <c r="B457" s="24" t="s">
        <v>5</v>
      </c>
      <c r="C457" s="48" t="s">
        <v>350</v>
      </c>
      <c r="D457" s="149">
        <v>271</v>
      </c>
      <c r="E457" s="180">
        <f t="shared" ref="E457:E458" si="49">D457*57%</f>
        <v>154.47</v>
      </c>
    </row>
    <row r="458" spans="1:5">
      <c r="A458" s="107"/>
      <c r="B458" s="25"/>
      <c r="C458" s="35" t="s">
        <v>351</v>
      </c>
      <c r="D458" s="150">
        <v>315</v>
      </c>
      <c r="E458" s="145">
        <f t="shared" si="49"/>
        <v>179.54999999999998</v>
      </c>
    </row>
    <row r="459" spans="1:5">
      <c r="A459" s="107"/>
      <c r="B459" s="25"/>
      <c r="C459" s="1"/>
      <c r="D459" s="147"/>
    </row>
    <row r="460" spans="1:5">
      <c r="A460" s="107"/>
      <c r="B460" s="24" t="s">
        <v>227</v>
      </c>
      <c r="C460" s="48" t="s">
        <v>352</v>
      </c>
      <c r="D460" s="149">
        <v>345</v>
      </c>
      <c r="E460" s="180">
        <f t="shared" ref="E460:E462" si="50">D460*57%</f>
        <v>196.64999999999998</v>
      </c>
    </row>
    <row r="461" spans="1:5">
      <c r="A461" s="107"/>
      <c r="B461" s="47"/>
      <c r="C461" s="22" t="s">
        <v>353</v>
      </c>
      <c r="D461" s="151">
        <v>472</v>
      </c>
      <c r="E461" s="145">
        <f t="shared" si="50"/>
        <v>269.03999999999996</v>
      </c>
    </row>
    <row r="462" spans="1:5">
      <c r="A462" s="87"/>
      <c r="B462" s="47"/>
      <c r="C462" s="48" t="s">
        <v>354</v>
      </c>
      <c r="D462" s="149">
        <v>990</v>
      </c>
      <c r="E462" s="180">
        <f t="shared" si="50"/>
        <v>564.29999999999995</v>
      </c>
    </row>
    <row r="463" spans="1:5">
      <c r="A463" s="87"/>
      <c r="B463" s="25"/>
      <c r="C463" s="16"/>
      <c r="D463" s="147"/>
    </row>
    <row r="464" spans="1:5" ht="21">
      <c r="A464" s="98" t="e" vm="6">
        <v>#VALUE!</v>
      </c>
      <c r="B464" s="102" t="s">
        <v>355</v>
      </c>
      <c r="C464" s="5"/>
      <c r="D464" s="147"/>
    </row>
    <row r="465" spans="1:5" ht="20.399999999999999">
      <c r="A465" s="98"/>
      <c r="B465" s="99" t="s">
        <v>356</v>
      </c>
      <c r="C465" s="5"/>
      <c r="D465" s="147"/>
    </row>
    <row r="466" spans="1:5">
      <c r="A466" s="98"/>
      <c r="B466" s="100"/>
      <c r="C466" s="5"/>
      <c r="D466" s="147"/>
    </row>
    <row r="467" spans="1:5" ht="18">
      <c r="A467" s="107"/>
      <c r="B467" s="27" t="s">
        <v>357</v>
      </c>
      <c r="C467" s="73"/>
      <c r="D467" s="147"/>
    </row>
    <row r="468" spans="1:5">
      <c r="A468" s="107"/>
      <c r="B468" s="24" t="s">
        <v>358</v>
      </c>
      <c r="C468" s="10" t="s">
        <v>359</v>
      </c>
      <c r="D468" s="149">
        <v>472</v>
      </c>
      <c r="E468" s="180">
        <f>D468*57%</f>
        <v>269.03999999999996</v>
      </c>
    </row>
    <row r="469" spans="1:5">
      <c r="A469" s="107"/>
      <c r="B469" s="24"/>
      <c r="C469" s="9"/>
      <c r="D469" s="150"/>
    </row>
    <row r="470" spans="1:5">
      <c r="A470" s="107"/>
      <c r="B470" s="125" t="s">
        <v>5</v>
      </c>
      <c r="C470" s="48" t="s">
        <v>360</v>
      </c>
      <c r="D470" s="149">
        <v>490</v>
      </c>
      <c r="E470" s="180">
        <f t="shared" ref="E470:E473" si="51">D470*57%</f>
        <v>279.29999999999995</v>
      </c>
    </row>
    <row r="471" spans="1:5">
      <c r="A471" s="107"/>
      <c r="B471" s="24"/>
      <c r="C471" s="35" t="s">
        <v>361</v>
      </c>
      <c r="D471" s="150">
        <v>559</v>
      </c>
      <c r="E471" s="145">
        <f t="shared" si="51"/>
        <v>318.63</v>
      </c>
    </row>
    <row r="472" spans="1:5">
      <c r="A472" s="107"/>
      <c r="B472" s="123"/>
      <c r="C472" s="48" t="s">
        <v>362</v>
      </c>
      <c r="D472" s="149">
        <v>608</v>
      </c>
      <c r="E472" s="180">
        <f t="shared" si="51"/>
        <v>346.55999999999995</v>
      </c>
    </row>
    <row r="473" spans="1:5">
      <c r="A473" s="107"/>
      <c r="B473" s="125"/>
      <c r="C473" s="35" t="s">
        <v>363</v>
      </c>
      <c r="D473" s="150">
        <v>647</v>
      </c>
      <c r="E473" s="145">
        <f t="shared" si="51"/>
        <v>368.78999999999996</v>
      </c>
    </row>
    <row r="474" spans="1:5">
      <c r="A474" s="107"/>
      <c r="B474" s="24"/>
      <c r="C474" s="48" t="s">
        <v>364</v>
      </c>
      <c r="D474" s="152" t="s">
        <v>11</v>
      </c>
      <c r="E474" s="181" t="s">
        <v>11</v>
      </c>
    </row>
    <row r="475" spans="1:5">
      <c r="A475" s="107"/>
      <c r="B475" s="24"/>
      <c r="C475" s="35" t="s">
        <v>365</v>
      </c>
      <c r="D475" s="171" t="s">
        <v>11</v>
      </c>
      <c r="E475" s="153" t="s">
        <v>11</v>
      </c>
    </row>
    <row r="476" spans="1:5">
      <c r="A476" s="107"/>
      <c r="B476" s="22"/>
      <c r="C476" s="48" t="s">
        <v>366</v>
      </c>
      <c r="D476" s="149">
        <v>1475</v>
      </c>
      <c r="E476" s="180">
        <f>D476*57%</f>
        <v>840.74999999999989</v>
      </c>
    </row>
    <row r="477" spans="1:5">
      <c r="A477" s="107"/>
      <c r="B477" s="22"/>
      <c r="C477" s="22" t="s">
        <v>367</v>
      </c>
      <c r="D477" s="154" t="s">
        <v>11</v>
      </c>
      <c r="E477" s="153" t="s">
        <v>11</v>
      </c>
    </row>
    <row r="478" spans="1:5">
      <c r="A478" s="107"/>
      <c r="B478" s="25"/>
      <c r="C478" s="16"/>
      <c r="D478" s="147"/>
    </row>
    <row r="479" spans="1:5" ht="20.399999999999999">
      <c r="A479" s="98" t="e" vm="6">
        <v>#VALUE!</v>
      </c>
      <c r="B479" s="99" t="s">
        <v>368</v>
      </c>
      <c r="C479" s="5"/>
      <c r="D479" s="147"/>
    </row>
    <row r="480" spans="1:5">
      <c r="A480" s="98"/>
      <c r="B480" s="126"/>
      <c r="C480" s="5"/>
      <c r="D480" s="147"/>
    </row>
    <row r="481" spans="1:5" ht="18">
      <c r="A481" s="87"/>
      <c r="B481" s="27" t="s">
        <v>369</v>
      </c>
      <c r="C481" s="16"/>
      <c r="D481" s="147"/>
    </row>
    <row r="482" spans="1:5">
      <c r="A482" s="87"/>
      <c r="B482" s="125" t="s">
        <v>227</v>
      </c>
      <c r="C482" s="10" t="s">
        <v>370</v>
      </c>
      <c r="D482" s="155">
        <v>213</v>
      </c>
      <c r="E482" s="180">
        <f t="shared" ref="E482:E483" si="52">D482*57%</f>
        <v>121.41</v>
      </c>
    </row>
    <row r="483" spans="1:5">
      <c r="A483" s="107"/>
      <c r="B483" s="47"/>
      <c r="C483" s="9" t="s">
        <v>371</v>
      </c>
      <c r="D483" s="150">
        <v>325</v>
      </c>
      <c r="E483" s="145">
        <f t="shared" si="52"/>
        <v>185.24999999999997</v>
      </c>
    </row>
    <row r="484" spans="1:5">
      <c r="A484" s="107"/>
      <c r="B484" s="25"/>
      <c r="C484" s="16"/>
      <c r="D484" s="147"/>
    </row>
    <row r="485" spans="1:5" ht="18">
      <c r="A485" s="107"/>
      <c r="B485" s="27" t="s">
        <v>372</v>
      </c>
      <c r="C485" s="16"/>
      <c r="D485" s="147"/>
    </row>
    <row r="486" spans="1:5">
      <c r="A486" s="107"/>
      <c r="B486" s="24" t="s">
        <v>22</v>
      </c>
      <c r="C486" s="10" t="s">
        <v>373</v>
      </c>
      <c r="D486" s="152" t="s">
        <v>11</v>
      </c>
      <c r="E486" s="181" t="s">
        <v>11</v>
      </c>
    </row>
    <row r="487" spans="1:5">
      <c r="A487" s="107"/>
      <c r="B487" s="47"/>
      <c r="C487" s="9" t="s">
        <v>374</v>
      </c>
      <c r="D487" s="171" t="s">
        <v>11</v>
      </c>
      <c r="E487" s="153" t="s">
        <v>11</v>
      </c>
    </row>
    <row r="488" spans="1:5">
      <c r="A488" s="107"/>
      <c r="B488" s="25"/>
      <c r="C488" s="16"/>
      <c r="D488" s="147"/>
    </row>
    <row r="489" spans="1:5" ht="20.399999999999999">
      <c r="A489" s="98" t="e" vm="6">
        <v>#VALUE!</v>
      </c>
      <c r="B489" s="99" t="s">
        <v>375</v>
      </c>
      <c r="C489" s="5"/>
      <c r="D489" s="147"/>
    </row>
    <row r="490" spans="1:5">
      <c r="A490" s="98"/>
      <c r="B490" s="126"/>
      <c r="C490" s="5"/>
      <c r="D490" s="147"/>
    </row>
    <row r="491" spans="1:5" ht="18">
      <c r="A491" s="107"/>
      <c r="B491" s="27" t="s">
        <v>376</v>
      </c>
      <c r="C491" s="77"/>
      <c r="D491" s="147"/>
    </row>
    <row r="492" spans="1:5">
      <c r="A492" s="107"/>
      <c r="B492" s="125" t="s">
        <v>227</v>
      </c>
      <c r="C492" s="8" t="s">
        <v>377</v>
      </c>
      <c r="D492" s="149">
        <v>141</v>
      </c>
      <c r="E492" s="180">
        <f>D492*57%</f>
        <v>80.36999999999999</v>
      </c>
    </row>
    <row r="493" spans="1:5">
      <c r="A493" s="107"/>
      <c r="B493" s="127"/>
      <c r="C493" s="16"/>
      <c r="D493" s="147"/>
    </row>
    <row r="494" spans="1:5" ht="18">
      <c r="A494" s="107"/>
      <c r="B494" s="27" t="s">
        <v>378</v>
      </c>
      <c r="C494" s="16"/>
      <c r="D494" s="147"/>
    </row>
    <row r="495" spans="1:5">
      <c r="A495" s="107"/>
      <c r="B495" s="125" t="s">
        <v>227</v>
      </c>
      <c r="C495" s="10" t="s">
        <v>379</v>
      </c>
      <c r="D495" s="149">
        <v>203</v>
      </c>
      <c r="E495" s="180">
        <f t="shared" ref="E495:E496" si="53">D495*57%</f>
        <v>115.71</v>
      </c>
    </row>
    <row r="496" spans="1:5">
      <c r="A496" s="107"/>
      <c r="B496" s="20"/>
      <c r="C496" s="37" t="s">
        <v>380</v>
      </c>
      <c r="D496" s="151">
        <v>232</v>
      </c>
      <c r="E496" s="145">
        <f t="shared" si="53"/>
        <v>132.23999999999998</v>
      </c>
    </row>
    <row r="497" spans="1:5">
      <c r="A497" s="107"/>
      <c r="B497" s="20"/>
      <c r="C497" s="37"/>
      <c r="D497" s="150"/>
    </row>
    <row r="498" spans="1:5" ht="18">
      <c r="A498" s="107"/>
      <c r="B498" s="27" t="s">
        <v>381</v>
      </c>
      <c r="C498" s="37"/>
      <c r="D498" s="150"/>
    </row>
    <row r="499" spans="1:5">
      <c r="A499" s="107"/>
      <c r="B499" s="125" t="s">
        <v>227</v>
      </c>
      <c r="C499" s="8" t="s">
        <v>382</v>
      </c>
      <c r="D499" s="155">
        <v>164</v>
      </c>
      <c r="E499" s="180">
        <f>D499*57%</f>
        <v>93.47999999999999</v>
      </c>
    </row>
    <row r="500" spans="1:5">
      <c r="A500" s="107"/>
      <c r="B500" s="125"/>
      <c r="C500" s="76"/>
      <c r="D500" s="147"/>
    </row>
    <row r="501" spans="1:5" ht="20.399999999999999">
      <c r="A501" s="98" t="e" vm="6">
        <v>#VALUE!</v>
      </c>
      <c r="B501" s="99" t="s">
        <v>383</v>
      </c>
      <c r="C501" s="5"/>
      <c r="D501" s="147"/>
    </row>
    <row r="502" spans="1:5">
      <c r="A502" s="98"/>
      <c r="B502" s="126"/>
      <c r="C502" s="5"/>
      <c r="D502" s="147"/>
    </row>
    <row r="503" spans="1:5" ht="18">
      <c r="A503" s="107"/>
      <c r="B503" s="27" t="s">
        <v>384</v>
      </c>
      <c r="C503" s="76"/>
      <c r="D503" s="147"/>
    </row>
    <row r="504" spans="1:5">
      <c r="A504" s="107"/>
      <c r="B504" s="24" t="s">
        <v>5</v>
      </c>
      <c r="C504" s="19" t="s">
        <v>385</v>
      </c>
      <c r="D504" s="149">
        <v>275</v>
      </c>
      <c r="E504" s="180">
        <f>D504*57%</f>
        <v>156.75</v>
      </c>
    </row>
    <row r="505" spans="1:5">
      <c r="A505" s="107"/>
      <c r="B505" s="24"/>
      <c r="C505" s="15"/>
      <c r="D505" s="150"/>
    </row>
    <row r="506" spans="1:5">
      <c r="A506" s="107"/>
      <c r="B506" s="24" t="s">
        <v>227</v>
      </c>
      <c r="C506" s="8" t="s">
        <v>386</v>
      </c>
      <c r="D506" s="149">
        <v>294</v>
      </c>
      <c r="E506" s="180">
        <f>D506*57%</f>
        <v>167.57999999999998</v>
      </c>
    </row>
    <row r="507" spans="1:5">
      <c r="A507" s="107"/>
      <c r="B507" s="87"/>
      <c r="C507" s="16"/>
      <c r="D507" s="147"/>
    </row>
    <row r="508" spans="1:5" ht="20.399999999999999">
      <c r="A508" s="98" t="e" vm="6">
        <v>#VALUE!</v>
      </c>
      <c r="B508" s="99" t="s">
        <v>387</v>
      </c>
      <c r="C508" s="5"/>
      <c r="D508" s="147"/>
    </row>
    <row r="509" spans="1:5">
      <c r="A509" s="98"/>
      <c r="B509" s="126"/>
      <c r="C509" s="5"/>
      <c r="D509" s="147"/>
    </row>
    <row r="510" spans="1:5" ht="18">
      <c r="A510" s="121"/>
      <c r="B510" s="27" t="s">
        <v>388</v>
      </c>
      <c r="C510" s="79"/>
      <c r="D510" s="147"/>
    </row>
    <row r="511" spans="1:5">
      <c r="A511" s="183"/>
      <c r="B511" s="24" t="s">
        <v>227</v>
      </c>
      <c r="C511" s="10" t="s">
        <v>389</v>
      </c>
      <c r="D511" s="149">
        <v>439</v>
      </c>
      <c r="E511" s="180">
        <f>D511*57%</f>
        <v>250.23</v>
      </c>
    </row>
    <row r="512" spans="1:5">
      <c r="A512" s="183"/>
      <c r="B512" s="24"/>
      <c r="C512" s="37"/>
      <c r="D512" s="151"/>
    </row>
    <row r="513" spans="1:5" ht="18">
      <c r="A513" s="183"/>
      <c r="B513" s="27" t="s">
        <v>390</v>
      </c>
      <c r="C513" s="37"/>
      <c r="D513" s="151"/>
    </row>
    <row r="514" spans="1:5">
      <c r="A514" s="183"/>
      <c r="B514" s="24" t="s">
        <v>227</v>
      </c>
      <c r="C514" s="10" t="s">
        <v>391</v>
      </c>
      <c r="D514" s="149">
        <v>1086</v>
      </c>
      <c r="E514" s="180">
        <f>D514*57%</f>
        <v>619.02</v>
      </c>
    </row>
    <row r="515" spans="1:5">
      <c r="A515" s="183"/>
      <c r="B515" s="24"/>
      <c r="C515" s="35"/>
      <c r="D515" s="150"/>
    </row>
    <row r="516" spans="1:5" ht="18">
      <c r="A516" s="183"/>
      <c r="B516" s="27" t="s">
        <v>392</v>
      </c>
      <c r="C516" s="35"/>
      <c r="D516" s="150"/>
    </row>
    <row r="517" spans="1:5">
      <c r="A517" s="183"/>
      <c r="B517" s="24" t="s">
        <v>227</v>
      </c>
      <c r="C517" s="48" t="s">
        <v>393</v>
      </c>
      <c r="D517" s="149">
        <v>514</v>
      </c>
      <c r="E517" s="180">
        <f>D517*57%</f>
        <v>292.97999999999996</v>
      </c>
    </row>
    <row r="518" spans="1:5">
      <c r="A518" s="183"/>
      <c r="B518" s="127"/>
      <c r="C518" s="76"/>
      <c r="D518" s="147"/>
    </row>
    <row r="519" spans="1:5" ht="20.399999999999999">
      <c r="A519" s="98" t="e" vm="6">
        <v>#VALUE!</v>
      </c>
      <c r="B519" s="99" t="s">
        <v>394</v>
      </c>
      <c r="C519" s="5"/>
      <c r="D519" s="147"/>
    </row>
    <row r="520" spans="1:5">
      <c r="A520" s="98"/>
      <c r="B520" s="126"/>
      <c r="C520" s="5"/>
      <c r="D520" s="147"/>
    </row>
    <row r="521" spans="1:5" ht="18">
      <c r="A521" s="107"/>
      <c r="B521" s="27" t="s">
        <v>395</v>
      </c>
      <c r="C521" s="73"/>
      <c r="D521" s="147"/>
    </row>
    <row r="522" spans="1:5">
      <c r="A522" s="107"/>
      <c r="B522" s="24" t="s">
        <v>227</v>
      </c>
      <c r="C522" s="8" t="s">
        <v>396</v>
      </c>
      <c r="D522" s="149">
        <v>340</v>
      </c>
      <c r="E522" s="180">
        <f t="shared" ref="E522:E523" si="54">D522*57%</f>
        <v>193.79999999999998</v>
      </c>
    </row>
    <row r="523" spans="1:5">
      <c r="A523" s="107"/>
      <c r="B523" s="24"/>
      <c r="C523" s="11" t="s">
        <v>397</v>
      </c>
      <c r="D523" s="151">
        <v>699</v>
      </c>
      <c r="E523" s="145">
        <f t="shared" si="54"/>
        <v>398.42999999999995</v>
      </c>
    </row>
    <row r="524" spans="1:5">
      <c r="A524" s="107"/>
      <c r="B524" s="127"/>
      <c r="C524" s="76"/>
      <c r="D524" s="147"/>
    </row>
    <row r="525" spans="1:5" ht="20.399999999999999">
      <c r="A525" s="98" t="e" vm="6">
        <v>#VALUE!</v>
      </c>
      <c r="B525" s="99" t="s">
        <v>398</v>
      </c>
      <c r="C525" s="5"/>
      <c r="D525" s="147"/>
    </row>
    <row r="526" spans="1:5">
      <c r="A526" s="98"/>
      <c r="B526" s="126"/>
      <c r="C526" s="5"/>
      <c r="D526" s="147"/>
    </row>
    <row r="527" spans="1:5" ht="18">
      <c r="A527" s="107"/>
      <c r="B527" s="27" t="s">
        <v>399</v>
      </c>
      <c r="C527" s="17"/>
      <c r="D527" s="147"/>
    </row>
    <row r="528" spans="1:5">
      <c r="A528" s="107"/>
      <c r="B528" s="24" t="s">
        <v>227</v>
      </c>
      <c r="C528" s="29" t="s">
        <v>400</v>
      </c>
      <c r="D528" s="149">
        <v>1653</v>
      </c>
      <c r="E528" s="180">
        <f>D528*57%</f>
        <v>942.20999999999992</v>
      </c>
    </row>
    <row r="529" spans="1:5" ht="18">
      <c r="A529" s="107"/>
      <c r="B529" s="127"/>
      <c r="C529" s="17"/>
      <c r="D529" s="147"/>
    </row>
    <row r="530" spans="1:5" ht="18">
      <c r="A530" s="107"/>
      <c r="B530" s="27" t="s">
        <v>401</v>
      </c>
      <c r="C530" s="17"/>
      <c r="D530" s="147"/>
    </row>
    <row r="531" spans="1:5">
      <c r="A531" s="107"/>
      <c r="B531" s="24" t="s">
        <v>227</v>
      </c>
      <c r="C531" s="29" t="s">
        <v>402</v>
      </c>
      <c r="D531" s="149">
        <v>981</v>
      </c>
      <c r="E531" s="180">
        <f>D531*57%</f>
        <v>559.16999999999996</v>
      </c>
    </row>
    <row r="532" spans="1:5" ht="18">
      <c r="A532" s="107"/>
      <c r="B532" s="127"/>
      <c r="C532" s="17"/>
      <c r="D532" s="147"/>
    </row>
    <row r="533" spans="1:5" ht="18">
      <c r="A533" s="107"/>
      <c r="B533" s="27" t="s">
        <v>403</v>
      </c>
      <c r="C533" s="76"/>
      <c r="D533" s="147"/>
    </row>
    <row r="534" spans="1:5">
      <c r="A534" s="107"/>
      <c r="B534" s="24" t="s">
        <v>227</v>
      </c>
      <c r="C534" s="80" t="s">
        <v>404</v>
      </c>
      <c r="D534" s="149">
        <v>1401</v>
      </c>
      <c r="E534" s="180">
        <f>D534*57%</f>
        <v>798.56999999999994</v>
      </c>
    </row>
    <row r="535" spans="1:5">
      <c r="A535" s="107"/>
      <c r="B535" s="25"/>
      <c r="C535" s="16"/>
      <c r="D535" s="173"/>
    </row>
    <row r="536" spans="1:5" ht="20.399999999999999">
      <c r="A536" s="98" t="e" vm="6">
        <v>#VALUE!</v>
      </c>
      <c r="B536" s="99" t="s">
        <v>405</v>
      </c>
      <c r="C536" s="5"/>
      <c r="D536" s="173"/>
    </row>
    <row r="537" spans="1:5">
      <c r="A537" s="98"/>
      <c r="B537" s="126"/>
      <c r="C537" s="5"/>
      <c r="D537" s="173"/>
    </row>
    <row r="538" spans="1:5" ht="18">
      <c r="A538" s="107"/>
      <c r="B538" s="27" t="s">
        <v>406</v>
      </c>
      <c r="C538" s="79"/>
      <c r="D538" s="173"/>
    </row>
    <row r="539" spans="1:5">
      <c r="A539" s="107"/>
      <c r="B539" s="24" t="s">
        <v>227</v>
      </c>
      <c r="C539" s="10" t="s">
        <v>407</v>
      </c>
      <c r="D539" s="163">
        <v>826</v>
      </c>
      <c r="E539" s="180">
        <f t="shared" ref="E539:E540" si="55">D539*57%</f>
        <v>470.81999999999994</v>
      </c>
    </row>
    <row r="540" spans="1:5">
      <c r="A540" s="107"/>
      <c r="B540" s="22"/>
      <c r="C540" s="37" t="s">
        <v>408</v>
      </c>
      <c r="D540" s="167">
        <v>826</v>
      </c>
      <c r="E540" s="145">
        <f t="shared" si="55"/>
        <v>470.81999999999994</v>
      </c>
    </row>
    <row r="541" spans="1:5">
      <c r="A541" s="107"/>
      <c r="B541" s="22"/>
      <c r="C541" s="37"/>
      <c r="D541" s="167"/>
    </row>
    <row r="542" spans="1:5" ht="20.399999999999999">
      <c r="A542" s="98" t="e" vm="6">
        <v>#VALUE!</v>
      </c>
      <c r="B542" s="99" t="s">
        <v>409</v>
      </c>
      <c r="C542" s="5"/>
      <c r="D542" s="165"/>
    </row>
    <row r="543" spans="1:5">
      <c r="A543" s="98"/>
      <c r="B543" s="126"/>
      <c r="C543" s="5"/>
      <c r="D543" s="165"/>
    </row>
    <row r="544" spans="1:5" ht="18">
      <c r="A544" s="107"/>
      <c r="B544" s="27" t="s">
        <v>410</v>
      </c>
      <c r="C544" s="35"/>
      <c r="D544" s="165"/>
    </row>
    <row r="545" spans="1:5">
      <c r="A545" s="107"/>
      <c r="B545" s="24" t="s">
        <v>227</v>
      </c>
      <c r="C545" s="48" t="s">
        <v>411</v>
      </c>
      <c r="D545" s="163">
        <v>1174</v>
      </c>
      <c r="E545" s="180">
        <f>D545*57%</f>
        <v>669.18</v>
      </c>
    </row>
    <row r="546" spans="1:5">
      <c r="A546" s="107"/>
      <c r="B546" s="87"/>
      <c r="C546" s="35"/>
      <c r="D546" s="165"/>
    </row>
    <row r="547" spans="1:5" ht="18">
      <c r="A547" s="107"/>
      <c r="B547" s="27" t="s">
        <v>412</v>
      </c>
      <c r="C547" s="35"/>
      <c r="D547" s="165"/>
    </row>
    <row r="548" spans="1:5">
      <c r="A548" s="107"/>
      <c r="B548" s="24" t="s">
        <v>227</v>
      </c>
      <c r="C548" s="48" t="s">
        <v>413</v>
      </c>
      <c r="D548" s="163">
        <v>1174</v>
      </c>
      <c r="E548" s="180">
        <f>D548*57%</f>
        <v>669.18</v>
      </c>
    </row>
    <row r="549" spans="1:5">
      <c r="A549" s="107"/>
      <c r="B549" s="25"/>
      <c r="C549" s="78"/>
      <c r="D549" s="173"/>
    </row>
    <row r="550" spans="1:5" ht="20.399999999999999">
      <c r="A550" s="98" t="e" vm="6">
        <v>#VALUE!</v>
      </c>
      <c r="B550" s="99" t="s">
        <v>414</v>
      </c>
      <c r="C550" s="5"/>
      <c r="D550" s="147"/>
    </row>
    <row r="551" spans="1:5">
      <c r="A551" s="98"/>
      <c r="B551" s="126"/>
      <c r="C551" s="5"/>
      <c r="D551" s="147"/>
    </row>
    <row r="552" spans="1:5" ht="18">
      <c r="A552" s="107"/>
      <c r="B552" s="27" t="s">
        <v>415</v>
      </c>
      <c r="C552" s="73"/>
      <c r="D552" s="147"/>
    </row>
    <row r="553" spans="1:5">
      <c r="A553" s="107"/>
      <c r="B553" s="24" t="s">
        <v>227</v>
      </c>
      <c r="C553" s="10" t="s">
        <v>416</v>
      </c>
      <c r="D553" s="149">
        <v>3504</v>
      </c>
      <c r="E553" s="180">
        <f>D553*57%</f>
        <v>1997.2799999999997</v>
      </c>
    </row>
    <row r="554" spans="1:5">
      <c r="A554" s="107"/>
      <c r="B554" s="25"/>
      <c r="C554" s="16"/>
      <c r="D554" s="147"/>
    </row>
    <row r="555" spans="1:5" ht="18">
      <c r="A555" s="107"/>
      <c r="B555" s="27" t="s">
        <v>417</v>
      </c>
      <c r="C555" s="35"/>
      <c r="D555" s="150"/>
    </row>
    <row r="556" spans="1:5">
      <c r="A556" s="107"/>
      <c r="B556" s="24" t="s">
        <v>227</v>
      </c>
      <c r="C556" s="48" t="s">
        <v>418</v>
      </c>
      <c r="D556" s="149">
        <v>854</v>
      </c>
      <c r="E556" s="180">
        <f>D556*57%</f>
        <v>486.78</v>
      </c>
    </row>
    <row r="557" spans="1:5">
      <c r="A557" s="107"/>
      <c r="B557" s="47"/>
      <c r="C557" s="9"/>
      <c r="D557" s="174"/>
    </row>
    <row r="558" spans="1:5" ht="20.399999999999999">
      <c r="A558" s="98" t="e" vm="6">
        <v>#VALUE!</v>
      </c>
      <c r="B558" s="99" t="s">
        <v>419</v>
      </c>
      <c r="C558" s="5"/>
      <c r="D558" s="147"/>
    </row>
    <row r="559" spans="1:5">
      <c r="A559" s="98"/>
      <c r="B559" s="126"/>
      <c r="C559" s="5"/>
      <c r="D559" s="147"/>
    </row>
    <row r="560" spans="1:5" ht="18">
      <c r="A560" s="107"/>
      <c r="B560" s="27" t="s">
        <v>420</v>
      </c>
      <c r="C560" s="73"/>
      <c r="D560" s="147"/>
    </row>
    <row r="561" spans="1:5">
      <c r="A561" s="107"/>
      <c r="B561" s="24" t="s">
        <v>227</v>
      </c>
      <c r="C561" s="8" t="s">
        <v>421</v>
      </c>
      <c r="D561" s="149">
        <v>315</v>
      </c>
      <c r="E561" s="180">
        <f>D561*57%</f>
        <v>179.54999999999998</v>
      </c>
    </row>
    <row r="562" spans="1:5">
      <c r="A562" s="107"/>
      <c r="B562" s="22"/>
      <c r="C562" s="9"/>
      <c r="D562" s="150"/>
    </row>
    <row r="563" spans="1:5" ht="18">
      <c r="A563" s="107"/>
      <c r="B563" s="27" t="s">
        <v>422</v>
      </c>
      <c r="C563" s="73"/>
      <c r="D563" s="147"/>
    </row>
    <row r="564" spans="1:5">
      <c r="A564" s="107"/>
      <c r="B564" s="24" t="s">
        <v>5</v>
      </c>
      <c r="C564" s="19" t="s">
        <v>423</v>
      </c>
      <c r="D564" s="149">
        <v>249</v>
      </c>
      <c r="E564" s="180">
        <f>D564*57%</f>
        <v>141.92999999999998</v>
      </c>
    </row>
    <row r="565" spans="1:5">
      <c r="A565" s="107"/>
      <c r="B565" s="24"/>
      <c r="C565" s="35"/>
      <c r="D565" s="150"/>
    </row>
    <row r="566" spans="1:5">
      <c r="A566" s="107"/>
      <c r="B566" s="24" t="s">
        <v>227</v>
      </c>
      <c r="C566" s="19" t="s">
        <v>424</v>
      </c>
      <c r="D566" s="149">
        <v>296</v>
      </c>
      <c r="E566" s="180">
        <f t="shared" ref="E566:E579" si="56">D566*57%</f>
        <v>168.72</v>
      </c>
    </row>
    <row r="567" spans="1:5">
      <c r="A567" s="107"/>
      <c r="B567" s="47"/>
      <c r="C567" s="9" t="s">
        <v>425</v>
      </c>
      <c r="D567" s="150">
        <v>735</v>
      </c>
      <c r="E567" s="145">
        <f t="shared" si="56"/>
        <v>418.95</v>
      </c>
    </row>
    <row r="568" spans="1:5">
      <c r="A568" s="107"/>
      <c r="B568" s="47"/>
      <c r="C568" s="10" t="s">
        <v>426</v>
      </c>
      <c r="D568" s="149">
        <v>735</v>
      </c>
      <c r="E568" s="180">
        <f t="shared" si="56"/>
        <v>418.95</v>
      </c>
    </row>
    <row r="569" spans="1:5">
      <c r="A569" s="121"/>
      <c r="B569" s="47"/>
      <c r="C569" s="37" t="s">
        <v>427</v>
      </c>
      <c r="D569" s="151">
        <v>1490</v>
      </c>
      <c r="E569" s="145">
        <f t="shared" si="56"/>
        <v>849.3</v>
      </c>
    </row>
    <row r="570" spans="1:5">
      <c r="A570" s="183"/>
      <c r="B570" s="47"/>
      <c r="C570" s="10" t="s">
        <v>428</v>
      </c>
      <c r="D570" s="149">
        <v>799</v>
      </c>
      <c r="E570" s="180">
        <f t="shared" si="56"/>
        <v>455.42999999999995</v>
      </c>
    </row>
    <row r="571" spans="1:5">
      <c r="A571" s="183"/>
      <c r="B571" s="47"/>
      <c r="C571" s="22" t="s">
        <v>429</v>
      </c>
      <c r="D571" s="151">
        <v>3143</v>
      </c>
      <c r="E571" s="145">
        <f t="shared" si="56"/>
        <v>1791.5099999999998</v>
      </c>
    </row>
    <row r="572" spans="1:5">
      <c r="A572" s="183"/>
      <c r="B572" s="47"/>
      <c r="C572" s="48" t="s">
        <v>430</v>
      </c>
      <c r="D572" s="149">
        <v>3143</v>
      </c>
      <c r="E572" s="180">
        <f t="shared" si="56"/>
        <v>1791.5099999999998</v>
      </c>
    </row>
    <row r="573" spans="1:5">
      <c r="A573" s="183"/>
      <c r="B573" s="47"/>
      <c r="C573" s="22" t="s">
        <v>431</v>
      </c>
      <c r="D573" s="151">
        <v>3143</v>
      </c>
      <c r="E573" s="145">
        <f t="shared" si="56"/>
        <v>1791.5099999999998</v>
      </c>
    </row>
    <row r="574" spans="1:5">
      <c r="A574" s="183"/>
      <c r="B574" s="47"/>
      <c r="C574" s="48" t="s">
        <v>432</v>
      </c>
      <c r="D574" s="149">
        <v>3143</v>
      </c>
      <c r="E574" s="180">
        <f t="shared" si="56"/>
        <v>1791.5099999999998</v>
      </c>
    </row>
    <row r="575" spans="1:5">
      <c r="A575" s="183"/>
      <c r="B575" s="47"/>
      <c r="C575" s="22" t="s">
        <v>433</v>
      </c>
      <c r="D575" s="151">
        <v>3143</v>
      </c>
      <c r="E575" s="145">
        <f t="shared" si="56"/>
        <v>1791.5099999999998</v>
      </c>
    </row>
    <row r="576" spans="1:5">
      <c r="A576" s="183"/>
      <c r="B576" s="47"/>
      <c r="C576" s="48" t="s">
        <v>434</v>
      </c>
      <c r="D576" s="149">
        <v>3143</v>
      </c>
      <c r="E576" s="180">
        <f t="shared" si="56"/>
        <v>1791.5099999999998</v>
      </c>
    </row>
    <row r="577" spans="1:5">
      <c r="A577" s="183"/>
      <c r="B577" s="47"/>
      <c r="C577" s="22" t="s">
        <v>435</v>
      </c>
      <c r="D577" s="151">
        <v>3656</v>
      </c>
      <c r="E577" s="145">
        <f t="shared" si="56"/>
        <v>2083.9199999999996</v>
      </c>
    </row>
    <row r="578" spans="1:5">
      <c r="A578" s="183"/>
      <c r="B578" s="47"/>
      <c r="C578" s="48" t="s">
        <v>436</v>
      </c>
      <c r="D578" s="149">
        <v>3656</v>
      </c>
      <c r="E578" s="180">
        <f t="shared" si="56"/>
        <v>2083.9199999999996</v>
      </c>
    </row>
    <row r="579" spans="1:5">
      <c r="A579" s="87"/>
      <c r="B579" s="47"/>
      <c r="C579" s="22" t="s">
        <v>437</v>
      </c>
      <c r="D579" s="151">
        <v>3656</v>
      </c>
      <c r="E579" s="145">
        <f t="shared" si="56"/>
        <v>2083.9199999999996</v>
      </c>
    </row>
    <row r="580" spans="1:5" ht="18">
      <c r="A580" s="87"/>
      <c r="B580" s="25"/>
      <c r="C580" s="17"/>
      <c r="D580" s="147"/>
    </row>
    <row r="581" spans="1:5" ht="20.399999999999999">
      <c r="A581" s="98" t="e" vm="6">
        <v>#VALUE!</v>
      </c>
      <c r="B581" s="99" t="s">
        <v>438</v>
      </c>
      <c r="C581" s="5"/>
      <c r="D581" s="147"/>
    </row>
    <row r="582" spans="1:5">
      <c r="A582" s="98"/>
      <c r="B582" s="126"/>
      <c r="C582" s="5"/>
      <c r="D582" s="147"/>
    </row>
    <row r="583" spans="1:5" ht="18">
      <c r="A583" s="87"/>
      <c r="B583" s="27" t="s">
        <v>439</v>
      </c>
      <c r="C583" s="17"/>
      <c r="D583" s="147"/>
    </row>
    <row r="584" spans="1:5">
      <c r="A584" s="87"/>
      <c r="B584" s="24" t="s">
        <v>227</v>
      </c>
      <c r="C584" s="29" t="s">
        <v>440</v>
      </c>
      <c r="D584" s="149">
        <v>1031</v>
      </c>
      <c r="E584" s="180">
        <f>D584*57%</f>
        <v>587.66999999999996</v>
      </c>
    </row>
    <row r="585" spans="1:5" ht="18">
      <c r="A585" s="87"/>
      <c r="B585" s="24"/>
      <c r="C585" s="17"/>
      <c r="D585" s="147"/>
    </row>
    <row r="586" spans="1:5" ht="18">
      <c r="A586" s="87"/>
      <c r="B586" s="27" t="s">
        <v>441</v>
      </c>
      <c r="C586" s="17"/>
      <c r="D586" s="147"/>
    </row>
    <row r="587" spans="1:5">
      <c r="A587" s="87"/>
      <c r="B587" s="24" t="s">
        <v>227</v>
      </c>
      <c r="C587" s="75" t="s">
        <v>442</v>
      </c>
      <c r="D587" s="149">
        <v>916</v>
      </c>
      <c r="E587" s="180">
        <f>D587*57%</f>
        <v>522.12</v>
      </c>
    </row>
    <row r="588" spans="1:5" ht="18">
      <c r="A588" s="87"/>
      <c r="B588" s="25"/>
      <c r="C588" s="17"/>
      <c r="D588" s="147"/>
    </row>
    <row r="589" spans="1:5" ht="18">
      <c r="A589" s="87"/>
      <c r="B589" s="27" t="s">
        <v>443</v>
      </c>
      <c r="C589" s="35"/>
      <c r="D589" s="150"/>
    </row>
    <row r="590" spans="1:5">
      <c r="A590" s="87"/>
      <c r="B590" s="24" t="s">
        <v>227</v>
      </c>
      <c r="C590" s="48" t="s">
        <v>444</v>
      </c>
      <c r="D590" s="149">
        <v>1289</v>
      </c>
      <c r="E590" s="180">
        <f>D590*57%</f>
        <v>734.7299999999999</v>
      </c>
    </row>
    <row r="591" spans="1:5" ht="18">
      <c r="A591" s="87"/>
      <c r="B591" s="25"/>
      <c r="C591" s="17"/>
      <c r="D591" s="147"/>
    </row>
    <row r="592" spans="1:5" ht="18">
      <c r="A592" s="107"/>
      <c r="B592" s="27" t="s">
        <v>445</v>
      </c>
      <c r="C592" s="16"/>
      <c r="D592" s="147"/>
    </row>
    <row r="593" spans="1:5">
      <c r="A593" s="107"/>
      <c r="B593" s="24" t="s">
        <v>227</v>
      </c>
      <c r="C593" s="10" t="s">
        <v>446</v>
      </c>
      <c r="D593" s="149">
        <v>565</v>
      </c>
      <c r="E593" s="180">
        <f>D593*57%</f>
        <v>322.04999999999995</v>
      </c>
    </row>
    <row r="594" spans="1:5" ht="18">
      <c r="A594" s="107"/>
      <c r="B594" s="24"/>
      <c r="C594" s="17"/>
      <c r="D594" s="171"/>
    </row>
    <row r="595" spans="1:5" ht="20.399999999999999">
      <c r="A595" s="98" t="e" vm="6">
        <v>#VALUE!</v>
      </c>
      <c r="B595" s="99" t="s">
        <v>447</v>
      </c>
      <c r="C595" s="5"/>
      <c r="D595" s="171"/>
    </row>
    <row r="596" spans="1:5">
      <c r="A596" s="98"/>
      <c r="B596" s="126"/>
      <c r="C596" s="5"/>
      <c r="D596" s="171"/>
    </row>
    <row r="597" spans="1:5" ht="18">
      <c r="A597" s="107"/>
      <c r="B597" s="27" t="s">
        <v>448</v>
      </c>
      <c r="C597" s="35"/>
      <c r="D597" s="171"/>
    </row>
    <row r="598" spans="1:5">
      <c r="A598" s="107"/>
      <c r="B598" s="24" t="s">
        <v>227</v>
      </c>
      <c r="C598" s="75" t="s">
        <v>449</v>
      </c>
      <c r="D598" s="149">
        <v>1289</v>
      </c>
      <c r="E598" s="180">
        <f>D598*57%</f>
        <v>734.7299999999999</v>
      </c>
    </row>
    <row r="599" spans="1:5" ht="18">
      <c r="A599" s="107"/>
      <c r="B599" s="25"/>
      <c r="C599" s="17"/>
      <c r="D599" s="147"/>
    </row>
    <row r="600" spans="1:5" ht="20.399999999999999">
      <c r="A600" s="98" t="e" vm="6">
        <v>#VALUE!</v>
      </c>
      <c r="B600" s="99" t="s">
        <v>450</v>
      </c>
      <c r="C600" s="5"/>
      <c r="D600" s="147"/>
    </row>
    <row r="601" spans="1:5">
      <c r="A601" s="98"/>
      <c r="B601" s="126"/>
      <c r="C601" s="5"/>
      <c r="D601" s="147"/>
    </row>
    <row r="602" spans="1:5" ht="18">
      <c r="A602" s="107"/>
      <c r="B602" s="27" t="s">
        <v>451</v>
      </c>
      <c r="C602" s="73"/>
      <c r="D602" s="147"/>
    </row>
    <row r="603" spans="1:5">
      <c r="A603" s="107"/>
      <c r="B603" s="24" t="s">
        <v>13</v>
      </c>
      <c r="C603" s="10" t="s">
        <v>452</v>
      </c>
      <c r="D603" s="149">
        <v>306</v>
      </c>
      <c r="E603" s="180">
        <f>D603*57%</f>
        <v>174.42</v>
      </c>
    </row>
    <row r="604" spans="1:5" ht="18">
      <c r="A604" s="107"/>
      <c r="B604" s="25"/>
      <c r="C604" s="17"/>
      <c r="D604" s="147"/>
    </row>
    <row r="605" spans="1:5" ht="20.399999999999999">
      <c r="A605" s="98" t="e" vm="6">
        <v>#VALUE!</v>
      </c>
      <c r="B605" s="99" t="s">
        <v>453</v>
      </c>
      <c r="C605" s="5"/>
      <c r="D605" s="147"/>
    </row>
    <row r="606" spans="1:5">
      <c r="A606" s="98"/>
      <c r="B606" s="126"/>
      <c r="C606" s="5"/>
      <c r="D606" s="147"/>
    </row>
    <row r="607" spans="1:5" ht="18">
      <c r="A607" s="107"/>
      <c r="B607" s="27" t="s">
        <v>454</v>
      </c>
      <c r="C607" s="73"/>
      <c r="D607" s="147"/>
    </row>
    <row r="608" spans="1:5" ht="18">
      <c r="A608" s="107"/>
      <c r="B608" s="27"/>
      <c r="C608" s="73"/>
      <c r="D608" s="147"/>
    </row>
    <row r="609" spans="1:5">
      <c r="A609" s="107"/>
      <c r="B609" s="24" t="s">
        <v>5</v>
      </c>
      <c r="C609" s="10" t="s">
        <v>455</v>
      </c>
      <c r="D609" s="149">
        <v>2340</v>
      </c>
      <c r="E609" s="180">
        <f>D609*57%</f>
        <v>1333.8</v>
      </c>
    </row>
    <row r="610" spans="1:5" ht="18">
      <c r="A610" s="107"/>
      <c r="B610" s="27"/>
      <c r="C610" s="73"/>
      <c r="D610" s="147"/>
    </row>
    <row r="611" spans="1:5">
      <c r="A611" s="87"/>
      <c r="B611" s="24" t="s">
        <v>22</v>
      </c>
      <c r="C611" s="10" t="s">
        <v>456</v>
      </c>
      <c r="D611" s="149">
        <v>772</v>
      </c>
      <c r="E611" s="180">
        <f>D611*57%</f>
        <v>440.03999999999996</v>
      </c>
    </row>
    <row r="612" spans="1:5">
      <c r="A612" s="87"/>
      <c r="B612" s="24"/>
      <c r="C612" s="37" t="s">
        <v>457</v>
      </c>
      <c r="D612" s="154" t="s">
        <v>11</v>
      </c>
      <c r="E612" s="153" t="s">
        <v>11</v>
      </c>
    </row>
    <row r="613" spans="1:5">
      <c r="A613" s="87"/>
      <c r="B613" s="47"/>
      <c r="C613" s="10" t="s">
        <v>458</v>
      </c>
      <c r="D613" s="149">
        <v>1714</v>
      </c>
      <c r="E613" s="180">
        <f>D613*57%</f>
        <v>976.9799999999999</v>
      </c>
    </row>
    <row r="614" spans="1:5">
      <c r="A614" s="87"/>
      <c r="B614" s="25"/>
      <c r="C614" s="16"/>
      <c r="D614" s="147"/>
    </row>
    <row r="615" spans="1:5" ht="18">
      <c r="A615" s="87"/>
      <c r="B615" s="27" t="s">
        <v>459</v>
      </c>
      <c r="C615" s="16"/>
      <c r="D615" s="147"/>
    </row>
    <row r="616" spans="1:5">
      <c r="A616" s="87"/>
      <c r="B616" s="24" t="s">
        <v>22</v>
      </c>
      <c r="C616" s="10" t="s">
        <v>460</v>
      </c>
      <c r="D616" s="149">
        <v>406</v>
      </c>
      <c r="E616" s="180">
        <f>D616*57%</f>
        <v>231.42</v>
      </c>
    </row>
    <row r="617" spans="1:5">
      <c r="A617" s="87"/>
      <c r="B617" s="25"/>
      <c r="C617" s="16"/>
      <c r="D617" s="147"/>
    </row>
    <row r="618" spans="1:5" ht="18">
      <c r="A618" s="87"/>
      <c r="B618" s="27" t="s">
        <v>461</v>
      </c>
      <c r="C618" s="73"/>
      <c r="D618" s="147"/>
    </row>
    <row r="619" spans="1:5">
      <c r="A619" s="87"/>
      <c r="B619" s="114" t="s">
        <v>5</v>
      </c>
      <c r="C619" s="12" t="s">
        <v>462</v>
      </c>
      <c r="D619" s="149">
        <v>407</v>
      </c>
      <c r="E619" s="180">
        <f t="shared" ref="E619:E623" si="57">D619*57%</f>
        <v>231.98999999999998</v>
      </c>
    </row>
    <row r="620" spans="1:5">
      <c r="A620" s="87"/>
      <c r="B620" s="114"/>
      <c r="C620" s="63" t="s">
        <v>463</v>
      </c>
      <c r="D620" s="170">
        <v>834</v>
      </c>
      <c r="E620" s="145">
        <f t="shared" si="57"/>
        <v>475.37999999999994</v>
      </c>
    </row>
    <row r="621" spans="1:5">
      <c r="A621" s="87"/>
      <c r="B621" s="114"/>
      <c r="C621" s="29" t="s">
        <v>464</v>
      </c>
      <c r="D621" s="160">
        <v>1359</v>
      </c>
      <c r="E621" s="180">
        <f t="shared" si="57"/>
        <v>774.62999999999988</v>
      </c>
    </row>
    <row r="622" spans="1:5">
      <c r="A622" s="87"/>
      <c r="B622" s="114"/>
      <c r="C622" s="30" t="s">
        <v>465</v>
      </c>
      <c r="D622" s="161">
        <v>2226</v>
      </c>
      <c r="E622" s="145">
        <f t="shared" si="57"/>
        <v>1268.82</v>
      </c>
    </row>
    <row r="623" spans="1:5">
      <c r="A623" s="87"/>
      <c r="B623" s="114"/>
      <c r="C623" s="29" t="s">
        <v>466</v>
      </c>
      <c r="D623" s="149">
        <v>2460</v>
      </c>
      <c r="E623" s="180">
        <f t="shared" si="57"/>
        <v>1402.1999999999998</v>
      </c>
    </row>
    <row r="624" spans="1:5">
      <c r="A624" s="87"/>
      <c r="B624" s="128"/>
      <c r="C624" s="81"/>
      <c r="D624" s="170"/>
    </row>
    <row r="625" spans="1:5">
      <c r="A625" s="87"/>
      <c r="B625" s="114" t="s">
        <v>22</v>
      </c>
      <c r="C625" s="12" t="s">
        <v>467</v>
      </c>
      <c r="D625" s="160">
        <v>420</v>
      </c>
      <c r="E625" s="180">
        <f t="shared" ref="E625:E634" si="58">D625*57%</f>
        <v>239.39999999999998</v>
      </c>
    </row>
    <row r="626" spans="1:5">
      <c r="A626" s="107"/>
      <c r="B626" s="87"/>
      <c r="C626" s="63" t="s">
        <v>468</v>
      </c>
      <c r="D626" s="170">
        <v>575</v>
      </c>
      <c r="E626" s="145">
        <f t="shared" si="58"/>
        <v>327.75</v>
      </c>
    </row>
    <row r="627" spans="1:5">
      <c r="A627" s="107"/>
      <c r="B627" s="115"/>
      <c r="C627" s="29" t="s">
        <v>469</v>
      </c>
      <c r="D627" s="149">
        <v>745</v>
      </c>
      <c r="E627" s="180">
        <f t="shared" si="58"/>
        <v>424.65</v>
      </c>
    </row>
    <row r="628" spans="1:5">
      <c r="A628" s="107"/>
      <c r="B628" s="115"/>
      <c r="C628" s="30" t="s">
        <v>470</v>
      </c>
      <c r="D628" s="161">
        <v>1138</v>
      </c>
      <c r="E628" s="145">
        <f t="shared" si="58"/>
        <v>648.66</v>
      </c>
    </row>
    <row r="629" spans="1:5">
      <c r="A629" s="107"/>
      <c r="B629" s="115"/>
      <c r="C629" s="29" t="s">
        <v>471</v>
      </c>
      <c r="D629" s="160">
        <v>1392</v>
      </c>
      <c r="E629" s="180">
        <f t="shared" si="58"/>
        <v>793.43999999999994</v>
      </c>
    </row>
    <row r="630" spans="1:5">
      <c r="A630" s="107"/>
      <c r="B630" s="115"/>
      <c r="C630" s="30" t="s">
        <v>472</v>
      </c>
      <c r="D630" s="161">
        <v>1734</v>
      </c>
      <c r="E630" s="145">
        <f t="shared" si="58"/>
        <v>988.37999999999988</v>
      </c>
    </row>
    <row r="631" spans="1:5">
      <c r="A631" s="121"/>
      <c r="B631" s="115"/>
      <c r="C631" s="29" t="s">
        <v>473</v>
      </c>
      <c r="D631" s="160">
        <v>1728</v>
      </c>
      <c r="E631" s="180">
        <f t="shared" si="58"/>
        <v>984.95999999999992</v>
      </c>
    </row>
    <row r="632" spans="1:5">
      <c r="A632" s="183"/>
      <c r="B632" s="115"/>
      <c r="C632" s="30" t="s">
        <v>474</v>
      </c>
      <c r="D632" s="161">
        <v>1895</v>
      </c>
      <c r="E632" s="145">
        <f t="shared" si="58"/>
        <v>1080.1499999999999</v>
      </c>
    </row>
    <row r="633" spans="1:5">
      <c r="A633" s="183"/>
      <c r="B633" s="115"/>
      <c r="C633" s="29" t="s">
        <v>475</v>
      </c>
      <c r="D633" s="160">
        <v>3021</v>
      </c>
      <c r="E633" s="180">
        <f t="shared" si="58"/>
        <v>1721.9699999999998</v>
      </c>
    </row>
    <row r="634" spans="1:5">
      <c r="A634" s="183"/>
      <c r="B634" s="115"/>
      <c r="C634" s="30" t="s">
        <v>476</v>
      </c>
      <c r="D634" s="161">
        <v>2953</v>
      </c>
      <c r="E634" s="145">
        <f t="shared" si="58"/>
        <v>1683.2099999999998</v>
      </c>
    </row>
    <row r="635" spans="1:5">
      <c r="A635" s="183"/>
      <c r="B635" s="127"/>
      <c r="C635" s="76"/>
      <c r="D635" s="147"/>
    </row>
    <row r="636" spans="1:5" ht="18">
      <c r="A636" s="183"/>
      <c r="B636" s="27" t="s">
        <v>477</v>
      </c>
      <c r="C636" s="73"/>
      <c r="D636" s="147"/>
    </row>
    <row r="637" spans="1:5">
      <c r="A637" s="183"/>
      <c r="B637" s="24" t="s">
        <v>22</v>
      </c>
      <c r="C637" s="10" t="s">
        <v>478</v>
      </c>
      <c r="D637" s="149">
        <v>1063</v>
      </c>
      <c r="E637" s="180">
        <f>D637*57%</f>
        <v>605.91</v>
      </c>
    </row>
    <row r="638" spans="1:5">
      <c r="A638" s="183"/>
      <c r="B638" s="25"/>
      <c r="C638" s="16"/>
      <c r="D638" s="147"/>
    </row>
    <row r="639" spans="1:5" ht="18">
      <c r="A639" s="183"/>
      <c r="B639" s="27" t="s">
        <v>479</v>
      </c>
      <c r="C639" s="16"/>
      <c r="D639" s="147"/>
    </row>
    <row r="640" spans="1:5">
      <c r="A640" s="183"/>
      <c r="B640" s="24" t="s">
        <v>5</v>
      </c>
      <c r="C640" s="10" t="s">
        <v>480</v>
      </c>
      <c r="D640" s="149">
        <v>285</v>
      </c>
      <c r="E640" s="180">
        <f t="shared" ref="E640:E643" si="59">D640*57%</f>
        <v>162.44999999999999</v>
      </c>
    </row>
    <row r="641" spans="1:5">
      <c r="A641" s="183"/>
      <c r="B641" s="47"/>
      <c r="C641" s="9" t="s">
        <v>481</v>
      </c>
      <c r="D641" s="150">
        <v>335</v>
      </c>
      <c r="E641" s="145">
        <f t="shared" si="59"/>
        <v>190.95</v>
      </c>
    </row>
    <row r="642" spans="1:5">
      <c r="A642" s="107"/>
      <c r="B642" s="47"/>
      <c r="C642" s="10" t="s">
        <v>482</v>
      </c>
      <c r="D642" s="149">
        <v>408</v>
      </c>
      <c r="E642" s="180">
        <f t="shared" si="59"/>
        <v>232.55999999999997</v>
      </c>
    </row>
    <row r="643" spans="1:5">
      <c r="A643" s="107"/>
      <c r="B643" s="47"/>
      <c r="C643" s="9" t="s">
        <v>483</v>
      </c>
      <c r="D643" s="150">
        <v>656</v>
      </c>
      <c r="E643" s="145">
        <f t="shared" si="59"/>
        <v>373.91999999999996</v>
      </c>
    </row>
    <row r="644" spans="1:5">
      <c r="A644" s="107"/>
      <c r="B644" s="47"/>
      <c r="C644" s="9"/>
      <c r="D644" s="150"/>
    </row>
    <row r="645" spans="1:5">
      <c r="A645" s="107"/>
      <c r="B645" s="24" t="s">
        <v>22</v>
      </c>
      <c r="C645" s="10" t="s">
        <v>484</v>
      </c>
      <c r="D645" s="152" t="s">
        <v>11</v>
      </c>
      <c r="E645" s="181" t="s">
        <v>11</v>
      </c>
    </row>
    <row r="646" spans="1:5">
      <c r="A646" s="107"/>
      <c r="B646" s="47"/>
      <c r="C646" s="37" t="s">
        <v>485</v>
      </c>
      <c r="D646" s="151">
        <v>408</v>
      </c>
      <c r="E646" s="145">
        <f t="shared" ref="E646:E648" si="60">D646*57%</f>
        <v>232.55999999999997</v>
      </c>
    </row>
    <row r="647" spans="1:5">
      <c r="A647" s="107"/>
      <c r="B647" s="47"/>
      <c r="C647" s="10" t="s">
        <v>486</v>
      </c>
      <c r="D647" s="149">
        <v>408</v>
      </c>
      <c r="E647" s="180">
        <f t="shared" si="60"/>
        <v>232.55999999999997</v>
      </c>
    </row>
    <row r="648" spans="1:5">
      <c r="A648" s="107"/>
      <c r="B648" s="47"/>
      <c r="C648" s="37" t="s">
        <v>487</v>
      </c>
      <c r="D648" s="151">
        <v>685</v>
      </c>
      <c r="E648" s="145">
        <f t="shared" si="60"/>
        <v>390.45</v>
      </c>
    </row>
    <row r="649" spans="1:5">
      <c r="A649" s="107"/>
      <c r="B649" s="47"/>
      <c r="C649" s="9"/>
      <c r="D649" s="150"/>
    </row>
    <row r="650" spans="1:5" ht="18">
      <c r="A650" s="107"/>
      <c r="B650" s="129" t="s">
        <v>488</v>
      </c>
      <c r="C650" s="1"/>
      <c r="D650" s="147"/>
    </row>
    <row r="651" spans="1:5">
      <c r="A651" s="107"/>
      <c r="B651" s="24" t="s">
        <v>91</v>
      </c>
      <c r="C651" s="48" t="s">
        <v>489</v>
      </c>
      <c r="D651" s="149">
        <v>118</v>
      </c>
      <c r="E651" s="180">
        <f t="shared" ref="E651:E652" si="61">D651*57%</f>
        <v>67.259999999999991</v>
      </c>
    </row>
    <row r="652" spans="1:5">
      <c r="A652" s="107"/>
      <c r="B652" s="47"/>
      <c r="C652" s="35" t="s">
        <v>490</v>
      </c>
      <c r="D652" s="159">
        <v>280</v>
      </c>
      <c r="E652" s="145">
        <f t="shared" si="61"/>
        <v>159.6</v>
      </c>
    </row>
    <row r="653" spans="1:5" ht="18">
      <c r="A653" s="107"/>
      <c r="B653" s="25"/>
      <c r="C653" s="17"/>
      <c r="D653" s="147"/>
    </row>
    <row r="654" spans="1:5" ht="20.399999999999999">
      <c r="A654" s="98" t="e" vm="6">
        <v>#VALUE!</v>
      </c>
      <c r="B654" s="99" t="s">
        <v>491</v>
      </c>
      <c r="C654" s="5"/>
      <c r="D654" s="147"/>
    </row>
    <row r="655" spans="1:5">
      <c r="A655" s="98"/>
      <c r="B655" s="126"/>
      <c r="C655" s="5"/>
      <c r="D655" s="147"/>
    </row>
    <row r="656" spans="1:5" ht="18">
      <c r="A656" s="87"/>
      <c r="B656" s="27" t="s">
        <v>492</v>
      </c>
      <c r="C656" s="73"/>
      <c r="D656" s="147"/>
    </row>
    <row r="657" spans="1:5">
      <c r="A657" s="107"/>
      <c r="B657" s="24" t="s">
        <v>5</v>
      </c>
      <c r="C657" s="48" t="s">
        <v>493</v>
      </c>
      <c r="D657" s="149">
        <v>379</v>
      </c>
      <c r="E657" s="180">
        <f t="shared" ref="E657:E662" si="62">D657*57%</f>
        <v>216.02999999999997</v>
      </c>
    </row>
    <row r="658" spans="1:5">
      <c r="A658" s="107"/>
      <c r="B658" s="47"/>
      <c r="C658" s="9" t="s">
        <v>494</v>
      </c>
      <c r="D658" s="159">
        <v>449</v>
      </c>
      <c r="E658" s="145">
        <f t="shared" si="62"/>
        <v>255.92999999999998</v>
      </c>
    </row>
    <row r="659" spans="1:5">
      <c r="A659" s="107"/>
      <c r="B659" s="47"/>
      <c r="C659" s="10" t="s">
        <v>495</v>
      </c>
      <c r="D659" s="149">
        <v>699</v>
      </c>
      <c r="E659" s="180">
        <f t="shared" si="62"/>
        <v>398.42999999999995</v>
      </c>
    </row>
    <row r="660" spans="1:5">
      <c r="A660" s="107"/>
      <c r="B660" s="47"/>
      <c r="C660" s="9" t="s">
        <v>496</v>
      </c>
      <c r="D660" s="150">
        <v>735</v>
      </c>
      <c r="E660" s="145">
        <f t="shared" si="62"/>
        <v>418.95</v>
      </c>
    </row>
    <row r="661" spans="1:5">
      <c r="A661" s="107"/>
      <c r="B661" s="47"/>
      <c r="C661" s="10" t="s">
        <v>497</v>
      </c>
      <c r="D661" s="149">
        <v>1575</v>
      </c>
      <c r="E661" s="180">
        <f t="shared" si="62"/>
        <v>897.74999999999989</v>
      </c>
    </row>
    <row r="662" spans="1:5">
      <c r="A662" s="107"/>
      <c r="B662" s="47"/>
      <c r="C662" s="9" t="s">
        <v>498</v>
      </c>
      <c r="D662" s="150">
        <v>1721</v>
      </c>
      <c r="E662" s="145">
        <f t="shared" si="62"/>
        <v>980.96999999999991</v>
      </c>
    </row>
    <row r="663" spans="1:5" ht="18">
      <c r="A663" s="107"/>
      <c r="B663" s="25"/>
      <c r="C663" s="17"/>
      <c r="D663" s="147"/>
    </row>
    <row r="664" spans="1:5" ht="20.399999999999999">
      <c r="A664" s="98" t="e" vm="6">
        <v>#VALUE!</v>
      </c>
      <c r="B664" s="99" t="s">
        <v>499</v>
      </c>
      <c r="C664" s="5"/>
      <c r="D664" s="147"/>
    </row>
    <row r="665" spans="1:5">
      <c r="A665" s="107"/>
      <c r="B665" s="25"/>
      <c r="C665" s="16"/>
      <c r="D665" s="147"/>
    </row>
    <row r="666" spans="1:5" ht="18">
      <c r="A666" s="107"/>
      <c r="B666" s="27" t="s">
        <v>500</v>
      </c>
      <c r="C666" s="16"/>
      <c r="D666" s="147"/>
    </row>
    <row r="667" spans="1:5">
      <c r="A667" s="107"/>
      <c r="B667" s="114" t="s">
        <v>91</v>
      </c>
      <c r="C667" s="29" t="s">
        <v>501</v>
      </c>
      <c r="D667" s="160">
        <v>924</v>
      </c>
      <c r="E667" s="180">
        <f t="shared" ref="E667:E668" si="63">D667*57%</f>
        <v>526.67999999999995</v>
      </c>
    </row>
    <row r="668" spans="1:5">
      <c r="A668" s="107"/>
      <c r="B668" s="115"/>
      <c r="C668" s="63" t="s">
        <v>502</v>
      </c>
      <c r="D668" s="175">
        <v>1347</v>
      </c>
      <c r="E668" s="145">
        <f t="shared" si="63"/>
        <v>767.79</v>
      </c>
    </row>
    <row r="669" spans="1:5">
      <c r="A669" s="107"/>
      <c r="B669" s="115"/>
      <c r="C669" s="63"/>
      <c r="D669" s="175"/>
    </row>
    <row r="670" spans="1:5">
      <c r="A670" s="107"/>
      <c r="B670" s="114" t="s">
        <v>503</v>
      </c>
      <c r="C670" s="29" t="s">
        <v>504</v>
      </c>
      <c r="D670" s="172">
        <v>1163</v>
      </c>
      <c r="E670" s="180">
        <f>D670*57%</f>
        <v>662.91</v>
      </c>
    </row>
    <row r="671" spans="1:5">
      <c r="A671" s="121"/>
      <c r="B671" s="25"/>
      <c r="C671" s="16"/>
      <c r="D671" s="147"/>
    </row>
    <row r="672" spans="1:5" ht="20.399999999999999">
      <c r="A672" s="98" t="e" vm="6">
        <v>#VALUE!</v>
      </c>
      <c r="B672" s="99" t="s">
        <v>505</v>
      </c>
      <c r="C672" s="5"/>
      <c r="D672" s="147"/>
    </row>
    <row r="673" spans="1:5">
      <c r="A673" s="121"/>
      <c r="B673" s="47"/>
      <c r="C673" s="9"/>
      <c r="D673" s="150"/>
    </row>
    <row r="674" spans="1:5" ht="18">
      <c r="A674" s="121"/>
      <c r="B674" s="27" t="s">
        <v>506</v>
      </c>
      <c r="C674" s="16"/>
      <c r="D674" s="147"/>
    </row>
    <row r="675" spans="1:5">
      <c r="A675" s="121"/>
      <c r="B675" s="24" t="s">
        <v>5</v>
      </c>
      <c r="C675" s="10" t="s">
        <v>507</v>
      </c>
      <c r="D675" s="155">
        <v>815</v>
      </c>
      <c r="E675" s="180">
        <f t="shared" ref="E675:E677" si="64">D675*57%</f>
        <v>464.54999999999995</v>
      </c>
    </row>
    <row r="676" spans="1:5">
      <c r="A676" s="121"/>
      <c r="B676" s="47"/>
      <c r="C676" s="9" t="s">
        <v>508</v>
      </c>
      <c r="D676" s="158">
        <v>910</v>
      </c>
      <c r="E676" s="145">
        <f t="shared" si="64"/>
        <v>518.69999999999993</v>
      </c>
    </row>
    <row r="677" spans="1:5">
      <c r="A677" s="121"/>
      <c r="B677" s="47"/>
      <c r="C677" s="10" t="s">
        <v>509</v>
      </c>
      <c r="D677" s="155">
        <v>2111</v>
      </c>
      <c r="E677" s="180">
        <f t="shared" si="64"/>
        <v>1203.27</v>
      </c>
    </row>
    <row r="678" spans="1:5">
      <c r="A678" s="121"/>
      <c r="B678" s="47"/>
      <c r="C678" s="9"/>
      <c r="D678" s="154"/>
    </row>
    <row r="679" spans="1:5">
      <c r="A679" s="121"/>
      <c r="B679" s="24" t="s">
        <v>22</v>
      </c>
      <c r="C679" s="10" t="s">
        <v>510</v>
      </c>
      <c r="D679" s="155">
        <v>770</v>
      </c>
      <c r="E679" s="180">
        <f t="shared" ref="E679:E680" si="65">D679*57%</f>
        <v>438.9</v>
      </c>
    </row>
    <row r="680" spans="1:5">
      <c r="A680" s="121"/>
      <c r="B680" s="47"/>
      <c r="C680" s="37" t="s">
        <v>511</v>
      </c>
      <c r="D680" s="158">
        <v>815</v>
      </c>
      <c r="E680" s="145">
        <f t="shared" si="65"/>
        <v>464.54999999999995</v>
      </c>
    </row>
    <row r="681" spans="1:5">
      <c r="A681" s="121"/>
      <c r="B681" s="25"/>
      <c r="C681" s="16"/>
      <c r="D681" s="147"/>
    </row>
    <row r="682" spans="1:5" ht="18">
      <c r="A682" s="121"/>
      <c r="B682" s="27" t="s">
        <v>512</v>
      </c>
      <c r="C682" s="16"/>
      <c r="D682" s="147"/>
    </row>
    <row r="683" spans="1:5">
      <c r="A683" s="121"/>
      <c r="B683" s="24" t="s">
        <v>91</v>
      </c>
      <c r="C683" s="10" t="s">
        <v>513</v>
      </c>
      <c r="D683" s="155">
        <v>549</v>
      </c>
      <c r="E683" s="180">
        <f>D683*57%</f>
        <v>312.92999999999995</v>
      </c>
    </row>
    <row r="684" spans="1:5">
      <c r="A684" s="121"/>
      <c r="B684" s="24"/>
      <c r="C684" s="9"/>
      <c r="D684" s="150"/>
    </row>
    <row r="685" spans="1:5">
      <c r="A685" s="121"/>
      <c r="B685" s="24" t="s">
        <v>5</v>
      </c>
      <c r="C685" s="10" t="s">
        <v>514</v>
      </c>
      <c r="D685" s="149">
        <v>635</v>
      </c>
      <c r="E685" s="180">
        <f t="shared" ref="E685:E687" si="66">D685*57%</f>
        <v>361.95</v>
      </c>
    </row>
    <row r="686" spans="1:5">
      <c r="A686" s="121"/>
      <c r="B686" s="24"/>
      <c r="C686" s="9" t="s">
        <v>515</v>
      </c>
      <c r="D686" s="150">
        <v>915</v>
      </c>
      <c r="E686" s="145">
        <f t="shared" si="66"/>
        <v>521.54999999999995</v>
      </c>
    </row>
    <row r="687" spans="1:5">
      <c r="A687" s="121"/>
      <c r="B687" s="24"/>
      <c r="C687" s="10" t="s">
        <v>516</v>
      </c>
      <c r="D687" s="149">
        <v>1015</v>
      </c>
      <c r="E687" s="180">
        <f t="shared" si="66"/>
        <v>578.54999999999995</v>
      </c>
    </row>
    <row r="688" spans="1:5">
      <c r="A688" s="183"/>
      <c r="B688" s="24"/>
      <c r="C688" s="9"/>
      <c r="D688" s="150"/>
    </row>
    <row r="689" spans="1:5">
      <c r="A689" s="183"/>
      <c r="B689" s="24" t="s">
        <v>22</v>
      </c>
      <c r="C689" s="10" t="s">
        <v>517</v>
      </c>
      <c r="D689" s="152" t="s">
        <v>11</v>
      </c>
      <c r="E689" s="181" t="s">
        <v>11</v>
      </c>
    </row>
    <row r="690" spans="1:5">
      <c r="A690" s="183"/>
      <c r="B690" s="25"/>
      <c r="C690" s="16"/>
      <c r="D690" s="147"/>
    </row>
    <row r="691" spans="1:5" ht="18">
      <c r="A691" s="183"/>
      <c r="B691" s="27" t="s">
        <v>518</v>
      </c>
      <c r="C691" s="16"/>
      <c r="D691" s="147"/>
    </row>
    <row r="692" spans="1:5">
      <c r="A692" s="183"/>
      <c r="B692" s="24" t="s">
        <v>5</v>
      </c>
      <c r="C692" s="10" t="s">
        <v>519</v>
      </c>
      <c r="D692" s="152" t="s">
        <v>11</v>
      </c>
      <c r="E692" s="181" t="s">
        <v>11</v>
      </c>
    </row>
    <row r="693" spans="1:5">
      <c r="A693" s="183"/>
      <c r="B693" s="24"/>
      <c r="C693" s="9"/>
      <c r="D693" s="150"/>
    </row>
    <row r="694" spans="1:5">
      <c r="A694" s="183"/>
      <c r="B694" s="24" t="s">
        <v>22</v>
      </c>
      <c r="C694" s="10" t="s">
        <v>520</v>
      </c>
      <c r="D694" s="152" t="s">
        <v>11</v>
      </c>
      <c r="E694" s="181" t="s">
        <v>11</v>
      </c>
    </row>
    <row r="695" spans="1:5">
      <c r="A695" s="183"/>
      <c r="B695" s="24"/>
      <c r="C695" s="9" t="s">
        <v>521</v>
      </c>
      <c r="D695" s="171" t="s">
        <v>11</v>
      </c>
      <c r="E695" s="153" t="s">
        <v>11</v>
      </c>
    </row>
    <row r="696" spans="1:5">
      <c r="A696" s="183"/>
      <c r="B696" s="47"/>
      <c r="C696" s="9"/>
      <c r="D696" s="150"/>
    </row>
    <row r="697" spans="1:5" ht="18">
      <c r="A697" s="183"/>
      <c r="B697" s="27" t="s">
        <v>522</v>
      </c>
      <c r="C697" s="16"/>
      <c r="D697" s="147"/>
    </row>
    <row r="698" spans="1:5">
      <c r="A698" s="107"/>
      <c r="B698" s="24" t="s">
        <v>22</v>
      </c>
      <c r="C698" s="10" t="s">
        <v>523</v>
      </c>
      <c r="D698" s="149">
        <v>483</v>
      </c>
      <c r="E698" s="180">
        <f t="shared" ref="E698:E699" si="67">D698*57%</f>
        <v>275.31</v>
      </c>
    </row>
    <row r="699" spans="1:5">
      <c r="A699" s="107"/>
      <c r="B699" s="47"/>
      <c r="C699" s="9" t="s">
        <v>524</v>
      </c>
      <c r="D699" s="150">
        <v>604</v>
      </c>
      <c r="E699" s="145">
        <f t="shared" si="67"/>
        <v>344.28</v>
      </c>
    </row>
    <row r="700" spans="1:5">
      <c r="A700" s="107"/>
      <c r="B700" s="47"/>
      <c r="C700" s="10" t="s">
        <v>525</v>
      </c>
      <c r="D700" s="152" t="s">
        <v>11</v>
      </c>
      <c r="E700" s="181" t="s">
        <v>11</v>
      </c>
    </row>
    <row r="701" spans="1:5">
      <c r="A701" s="107"/>
      <c r="B701" s="47"/>
      <c r="C701" s="9" t="s">
        <v>526</v>
      </c>
      <c r="D701" s="150">
        <v>1211</v>
      </c>
      <c r="E701" s="145">
        <f>D701*57%</f>
        <v>690.27</v>
      </c>
    </row>
    <row r="702" spans="1:5" ht="18">
      <c r="A702" s="107"/>
      <c r="B702" s="25"/>
      <c r="C702" s="17"/>
      <c r="D702" s="147"/>
    </row>
    <row r="703" spans="1:5" ht="20.399999999999999">
      <c r="A703" s="98" t="e" vm="6">
        <v>#VALUE!</v>
      </c>
      <c r="B703" s="99" t="s">
        <v>527</v>
      </c>
      <c r="C703" s="5"/>
      <c r="D703" s="147"/>
    </row>
    <row r="704" spans="1:5" ht="18">
      <c r="A704" s="107"/>
      <c r="B704" s="87"/>
      <c r="C704" s="17"/>
      <c r="D704" s="147"/>
    </row>
    <row r="705" spans="1:5" ht="18">
      <c r="A705" s="107"/>
      <c r="B705" s="27" t="s">
        <v>528</v>
      </c>
      <c r="C705" s="16"/>
      <c r="D705" s="147"/>
    </row>
    <row r="706" spans="1:5">
      <c r="A706" s="107"/>
      <c r="B706" s="24" t="s">
        <v>5</v>
      </c>
      <c r="C706" s="10" t="s">
        <v>529</v>
      </c>
      <c r="D706" s="149">
        <v>167</v>
      </c>
      <c r="E706" s="180">
        <f>D706*57%</f>
        <v>95.19</v>
      </c>
    </row>
    <row r="707" spans="1:5">
      <c r="A707" s="107"/>
      <c r="B707" s="24"/>
      <c r="C707" s="9"/>
      <c r="D707" s="150"/>
    </row>
    <row r="708" spans="1:5">
      <c r="A708" s="107"/>
      <c r="B708" s="24" t="s">
        <v>135</v>
      </c>
      <c r="C708" s="10" t="s">
        <v>530</v>
      </c>
      <c r="D708" s="149">
        <v>167</v>
      </c>
      <c r="E708" s="180">
        <f>D708*57%</f>
        <v>95.19</v>
      </c>
    </row>
    <row r="709" spans="1:5">
      <c r="A709" s="107"/>
      <c r="B709" s="24"/>
      <c r="C709" s="9"/>
      <c r="D709" s="150"/>
    </row>
    <row r="710" spans="1:5">
      <c r="A710" s="107"/>
      <c r="B710" s="24" t="s">
        <v>22</v>
      </c>
      <c r="C710" s="10" t="s">
        <v>531</v>
      </c>
      <c r="D710" s="149">
        <v>201</v>
      </c>
      <c r="E710" s="180">
        <f t="shared" ref="E710:E713" si="68">D710*57%</f>
        <v>114.57</v>
      </c>
    </row>
    <row r="711" spans="1:5">
      <c r="A711" s="107"/>
      <c r="B711" s="123"/>
      <c r="C711" s="37" t="s">
        <v>532</v>
      </c>
      <c r="D711" s="151">
        <v>274</v>
      </c>
      <c r="E711" s="145">
        <f t="shared" si="68"/>
        <v>156.17999999999998</v>
      </c>
    </row>
    <row r="712" spans="1:5">
      <c r="A712" s="107"/>
      <c r="B712" s="123"/>
      <c r="C712" s="10" t="s">
        <v>533</v>
      </c>
      <c r="D712" s="149">
        <v>285</v>
      </c>
      <c r="E712" s="180">
        <f t="shared" si="68"/>
        <v>162.44999999999999</v>
      </c>
    </row>
    <row r="713" spans="1:5">
      <c r="A713" s="107"/>
      <c r="B713" s="47"/>
      <c r="C713" s="37" t="s">
        <v>534</v>
      </c>
      <c r="D713" s="158">
        <v>320</v>
      </c>
      <c r="E713" s="145">
        <f t="shared" si="68"/>
        <v>182.39999999999998</v>
      </c>
    </row>
    <row r="714" spans="1:5">
      <c r="A714" s="107"/>
      <c r="B714" s="47"/>
      <c r="C714" s="10" t="s">
        <v>535</v>
      </c>
      <c r="D714" s="152" t="s">
        <v>11</v>
      </c>
      <c r="E714" s="181" t="s">
        <v>11</v>
      </c>
    </row>
    <row r="715" spans="1:5">
      <c r="A715" s="107"/>
      <c r="B715" s="47"/>
      <c r="C715" s="37" t="s">
        <v>536</v>
      </c>
      <c r="D715" s="151">
        <v>593</v>
      </c>
      <c r="E715" s="145">
        <f t="shared" ref="E715:E716" si="69">D715*57%</f>
        <v>338.01</v>
      </c>
    </row>
    <row r="716" spans="1:5">
      <c r="A716" s="107"/>
      <c r="B716" s="22"/>
      <c r="C716" s="10" t="s">
        <v>537</v>
      </c>
      <c r="D716" s="149">
        <v>1199</v>
      </c>
      <c r="E716" s="180">
        <f t="shared" si="69"/>
        <v>683.43</v>
      </c>
    </row>
    <row r="717" spans="1:5" ht="18">
      <c r="A717" s="107"/>
      <c r="B717" s="87"/>
      <c r="C717" s="17"/>
      <c r="D717" s="147"/>
    </row>
    <row r="718" spans="1:5" ht="18">
      <c r="A718" s="107"/>
      <c r="B718" s="27" t="s">
        <v>538</v>
      </c>
      <c r="C718" s="17"/>
      <c r="D718" s="147"/>
    </row>
    <row r="719" spans="1:5">
      <c r="A719" s="183"/>
      <c r="B719" s="24" t="s">
        <v>5</v>
      </c>
      <c r="C719" s="10" t="s">
        <v>539</v>
      </c>
      <c r="D719" s="149">
        <v>399</v>
      </c>
      <c r="E719" s="180">
        <f t="shared" ref="E719:E720" si="70">D719*57%</f>
        <v>227.42999999999998</v>
      </c>
    </row>
    <row r="720" spans="1:5">
      <c r="A720" s="183"/>
      <c r="B720" s="24"/>
      <c r="C720" s="9" t="s">
        <v>540</v>
      </c>
      <c r="D720" s="150">
        <v>565</v>
      </c>
      <c r="E720" s="145">
        <f t="shared" si="70"/>
        <v>322.04999999999995</v>
      </c>
    </row>
    <row r="721" spans="1:5">
      <c r="A721" s="183"/>
      <c r="B721" s="24"/>
      <c r="C721" s="82"/>
      <c r="D721" s="150"/>
    </row>
    <row r="722" spans="1:5">
      <c r="A722" s="183"/>
      <c r="B722" s="24" t="s">
        <v>22</v>
      </c>
      <c r="C722" s="10" t="s">
        <v>541</v>
      </c>
      <c r="D722" s="149">
        <v>355</v>
      </c>
      <c r="E722" s="180">
        <f t="shared" ref="E722:E724" si="71">D722*57%</f>
        <v>202.35</v>
      </c>
    </row>
    <row r="723" spans="1:5">
      <c r="A723" s="183"/>
      <c r="B723" s="24"/>
      <c r="C723" s="37" t="s">
        <v>542</v>
      </c>
      <c r="D723" s="151">
        <v>563</v>
      </c>
      <c r="E723" s="145">
        <f t="shared" si="71"/>
        <v>320.90999999999997</v>
      </c>
    </row>
    <row r="724" spans="1:5">
      <c r="A724" s="183"/>
      <c r="B724" s="22"/>
      <c r="C724" s="48" t="s">
        <v>543</v>
      </c>
      <c r="D724" s="149">
        <v>779</v>
      </c>
      <c r="E724" s="180">
        <f t="shared" si="71"/>
        <v>444.03</v>
      </c>
    </row>
    <row r="725" spans="1:5">
      <c r="A725" s="183"/>
      <c r="B725" s="25"/>
      <c r="C725" s="76"/>
      <c r="D725" s="147"/>
    </row>
    <row r="726" spans="1:5" ht="18">
      <c r="A726" s="183"/>
      <c r="B726" s="130" t="s">
        <v>544</v>
      </c>
      <c r="C726" s="83"/>
      <c r="D726" s="176"/>
    </row>
    <row r="727" spans="1:5">
      <c r="A727" s="183"/>
      <c r="B727" s="114" t="s">
        <v>5</v>
      </c>
      <c r="C727" s="29" t="s">
        <v>545</v>
      </c>
      <c r="D727" s="160">
        <v>384</v>
      </c>
      <c r="E727" s="180">
        <f>D727*57%</f>
        <v>218.88</v>
      </c>
    </row>
    <row r="728" spans="1:5">
      <c r="A728" s="183"/>
      <c r="B728" s="114"/>
      <c r="C728" s="63"/>
      <c r="D728" s="170"/>
    </row>
    <row r="729" spans="1:5">
      <c r="A729" s="107"/>
      <c r="B729" s="114" t="s">
        <v>22</v>
      </c>
      <c r="C729" s="29" t="s">
        <v>546</v>
      </c>
      <c r="D729" s="160">
        <v>443</v>
      </c>
      <c r="E729" s="180">
        <f>D729*57%</f>
        <v>252.51</v>
      </c>
    </row>
    <row r="730" spans="1:5">
      <c r="A730" s="107"/>
      <c r="B730" s="25"/>
      <c r="C730" s="16"/>
      <c r="D730" s="147"/>
    </row>
    <row r="731" spans="1:5" ht="18">
      <c r="A731" s="107"/>
      <c r="B731" s="27" t="s">
        <v>547</v>
      </c>
      <c r="C731" s="16"/>
      <c r="D731" s="147"/>
    </row>
    <row r="732" spans="1:5">
      <c r="A732" s="107"/>
      <c r="B732" s="24" t="s">
        <v>5</v>
      </c>
      <c r="C732" s="10" t="s">
        <v>548</v>
      </c>
      <c r="D732" s="149">
        <v>350</v>
      </c>
      <c r="E732" s="180">
        <f t="shared" ref="E732:E733" si="72">D732*57%</f>
        <v>199.49999999999997</v>
      </c>
    </row>
    <row r="733" spans="1:5">
      <c r="A733" s="121"/>
      <c r="B733" s="24"/>
      <c r="C733" s="9" t="s">
        <v>549</v>
      </c>
      <c r="D733" s="150">
        <v>482</v>
      </c>
      <c r="E733" s="145">
        <f t="shared" si="72"/>
        <v>274.73999999999995</v>
      </c>
    </row>
    <row r="734" spans="1:5">
      <c r="A734" s="87"/>
      <c r="B734" s="24"/>
      <c r="C734" s="9"/>
      <c r="D734" s="150"/>
    </row>
    <row r="735" spans="1:5">
      <c r="A735" s="87"/>
      <c r="B735" s="24" t="s">
        <v>22</v>
      </c>
      <c r="C735" s="10" t="s">
        <v>550</v>
      </c>
      <c r="D735" s="149">
        <v>424</v>
      </c>
      <c r="E735" s="180">
        <f t="shared" ref="E735:E736" si="73">D735*57%</f>
        <v>241.67999999999998</v>
      </c>
    </row>
    <row r="736" spans="1:5">
      <c r="A736" s="87"/>
      <c r="B736" s="24"/>
      <c r="C736" s="9" t="s">
        <v>551</v>
      </c>
      <c r="D736" s="150">
        <v>589</v>
      </c>
      <c r="E736" s="145">
        <f t="shared" si="73"/>
        <v>335.72999999999996</v>
      </c>
    </row>
    <row r="737" spans="1:5">
      <c r="A737" s="87"/>
      <c r="B737" s="25"/>
      <c r="C737" s="16"/>
      <c r="D737" s="147"/>
    </row>
    <row r="738" spans="1:5" ht="18">
      <c r="A738" s="87"/>
      <c r="B738" s="27" t="s">
        <v>552</v>
      </c>
      <c r="C738" s="16"/>
      <c r="D738" s="147"/>
    </row>
    <row r="739" spans="1:5">
      <c r="A739" s="87"/>
      <c r="B739" s="24" t="s">
        <v>5</v>
      </c>
      <c r="C739" s="10" t="s">
        <v>553</v>
      </c>
      <c r="D739" s="149">
        <v>2455</v>
      </c>
      <c r="E739" s="180">
        <f>D739*57%</f>
        <v>1399.35</v>
      </c>
    </row>
    <row r="740" spans="1:5">
      <c r="A740" s="87"/>
      <c r="B740" s="24"/>
      <c r="C740" s="9"/>
      <c r="D740" s="150"/>
    </row>
    <row r="741" spans="1:5">
      <c r="A741" s="87"/>
      <c r="B741" s="24" t="s">
        <v>22</v>
      </c>
      <c r="C741" s="10" t="s">
        <v>554</v>
      </c>
      <c r="D741" s="149">
        <v>1067</v>
      </c>
      <c r="E741" s="180">
        <f t="shared" ref="E741:E742" si="74">D741*57%</f>
        <v>608.18999999999994</v>
      </c>
    </row>
    <row r="742" spans="1:5">
      <c r="A742" s="87"/>
      <c r="B742" s="47"/>
      <c r="C742" s="9" t="s">
        <v>555</v>
      </c>
      <c r="D742" s="150">
        <v>1390</v>
      </c>
      <c r="E742" s="145">
        <f t="shared" si="74"/>
        <v>792.3</v>
      </c>
    </row>
    <row r="743" spans="1:5">
      <c r="A743" s="87"/>
      <c r="B743" s="47"/>
      <c r="C743" s="9"/>
      <c r="D743" s="150"/>
    </row>
    <row r="744" spans="1:5" ht="20.399999999999999">
      <c r="A744" s="98" t="e" vm="6">
        <v>#VALUE!</v>
      </c>
      <c r="B744" s="99" t="s">
        <v>556</v>
      </c>
      <c r="C744" s="5"/>
      <c r="D744" s="147"/>
    </row>
    <row r="745" spans="1:5" ht="18">
      <c r="A745" s="107"/>
      <c r="B745" s="87"/>
      <c r="C745" s="17"/>
      <c r="D745" s="147"/>
    </row>
    <row r="746" spans="1:5">
      <c r="A746" s="121"/>
      <c r="B746" s="25"/>
      <c r="C746" s="16"/>
      <c r="D746" s="147"/>
    </row>
    <row r="747" spans="1:5" ht="18">
      <c r="A747" s="183"/>
      <c r="B747" s="27" t="s">
        <v>557</v>
      </c>
      <c r="C747" s="73"/>
      <c r="D747" s="147"/>
    </row>
    <row r="748" spans="1:5">
      <c r="A748" s="183"/>
      <c r="B748" s="24" t="s">
        <v>5</v>
      </c>
      <c r="C748" s="8" t="s">
        <v>558</v>
      </c>
      <c r="D748" s="149">
        <v>164</v>
      </c>
      <c r="E748" s="180">
        <f t="shared" ref="E748:E750" si="75">D748*57%</f>
        <v>93.47999999999999</v>
      </c>
    </row>
    <row r="749" spans="1:5">
      <c r="A749" s="183"/>
      <c r="B749" s="47"/>
      <c r="C749" s="68" t="s">
        <v>559</v>
      </c>
      <c r="D749" s="150">
        <v>110</v>
      </c>
      <c r="E749" s="145">
        <f t="shared" si="75"/>
        <v>62.699999999999996</v>
      </c>
    </row>
    <row r="750" spans="1:5">
      <c r="A750" s="183"/>
      <c r="B750" s="20"/>
      <c r="C750" s="8" t="s">
        <v>560</v>
      </c>
      <c r="D750" s="149">
        <v>354</v>
      </c>
      <c r="E750" s="180">
        <f t="shared" si="75"/>
        <v>201.77999999999997</v>
      </c>
    </row>
    <row r="751" spans="1:5">
      <c r="A751" s="183"/>
      <c r="B751" s="47"/>
      <c r="C751" s="9"/>
      <c r="D751" s="150"/>
    </row>
    <row r="752" spans="1:5" ht="18">
      <c r="A752" s="183"/>
      <c r="B752" s="27" t="s">
        <v>561</v>
      </c>
      <c r="C752" s="73"/>
      <c r="D752" s="147"/>
    </row>
    <row r="753" spans="1:5">
      <c r="A753" s="183"/>
      <c r="B753" s="24" t="s">
        <v>5</v>
      </c>
      <c r="C753" s="8" t="s">
        <v>562</v>
      </c>
      <c r="D753" s="149">
        <v>378</v>
      </c>
      <c r="E753" s="180">
        <f>D753*57%</f>
        <v>215.45999999999998</v>
      </c>
    </row>
    <row r="754" spans="1:5">
      <c r="A754" s="183"/>
      <c r="B754" s="24"/>
      <c r="C754" s="15" t="s">
        <v>563</v>
      </c>
      <c r="D754" s="171" t="s">
        <v>11</v>
      </c>
      <c r="E754" s="153" t="s">
        <v>11</v>
      </c>
    </row>
    <row r="755" spans="1:5">
      <c r="A755" s="183"/>
      <c r="B755" s="24"/>
      <c r="C755" s="15"/>
      <c r="D755" s="150"/>
    </row>
    <row r="756" spans="1:5">
      <c r="A756" s="183"/>
      <c r="B756" s="24" t="s">
        <v>227</v>
      </c>
      <c r="C756" s="8" t="s">
        <v>564</v>
      </c>
      <c r="D756" s="149">
        <v>344</v>
      </c>
      <c r="E756" s="180">
        <f t="shared" ref="E756:E757" si="76">D756*57%</f>
        <v>196.07999999999998</v>
      </c>
    </row>
    <row r="757" spans="1:5">
      <c r="A757" s="107"/>
      <c r="B757" s="47"/>
      <c r="C757" s="15" t="s">
        <v>565</v>
      </c>
      <c r="D757" s="150">
        <v>524</v>
      </c>
      <c r="E757" s="145">
        <f t="shared" si="76"/>
        <v>298.67999999999995</v>
      </c>
    </row>
    <row r="758" spans="1:5">
      <c r="A758" s="107"/>
      <c r="B758" s="25"/>
      <c r="C758" s="16"/>
      <c r="D758" s="147"/>
    </row>
    <row r="759" spans="1:5" ht="18">
      <c r="A759" s="107"/>
      <c r="B759" s="27" t="s">
        <v>566</v>
      </c>
      <c r="C759" s="73"/>
      <c r="D759" s="147"/>
    </row>
    <row r="760" spans="1:5">
      <c r="A760" s="107"/>
      <c r="B760" s="24" t="s">
        <v>5</v>
      </c>
      <c r="C760" s="48" t="s">
        <v>567</v>
      </c>
      <c r="D760" s="149">
        <v>269</v>
      </c>
      <c r="E760" s="180">
        <f t="shared" ref="E760:E764" si="77">D760*57%</f>
        <v>153.32999999999998</v>
      </c>
    </row>
    <row r="761" spans="1:5">
      <c r="A761" s="107"/>
      <c r="B761" s="131"/>
      <c r="C761" s="15" t="s">
        <v>568</v>
      </c>
      <c r="D761" s="150">
        <v>377</v>
      </c>
      <c r="E761" s="145">
        <f t="shared" si="77"/>
        <v>214.89</v>
      </c>
    </row>
    <row r="762" spans="1:5">
      <c r="A762" s="107"/>
      <c r="B762" s="24"/>
      <c r="C762" s="8" t="s">
        <v>569</v>
      </c>
      <c r="D762" s="149">
        <v>555</v>
      </c>
      <c r="E762" s="180">
        <f t="shared" si="77"/>
        <v>316.34999999999997</v>
      </c>
    </row>
    <row r="763" spans="1:5">
      <c r="A763" s="107"/>
      <c r="B763" s="24"/>
      <c r="C763" s="15" t="s">
        <v>570</v>
      </c>
      <c r="D763" s="150">
        <v>687</v>
      </c>
      <c r="E763" s="145">
        <f t="shared" si="77"/>
        <v>391.59</v>
      </c>
    </row>
    <row r="764" spans="1:5">
      <c r="A764" s="107"/>
      <c r="B764" s="24"/>
      <c r="C764" s="8" t="s">
        <v>571</v>
      </c>
      <c r="D764" s="149">
        <v>648</v>
      </c>
      <c r="E764" s="180">
        <f t="shared" si="77"/>
        <v>369.35999999999996</v>
      </c>
    </row>
    <row r="765" spans="1:5">
      <c r="A765" s="107"/>
      <c r="B765" s="24"/>
      <c r="C765" s="15"/>
      <c r="D765" s="150"/>
    </row>
    <row r="766" spans="1:5">
      <c r="A766" s="107"/>
      <c r="B766" s="24" t="s">
        <v>135</v>
      </c>
      <c r="C766" s="8" t="s">
        <v>572</v>
      </c>
      <c r="D766" s="149">
        <v>504</v>
      </c>
      <c r="E766" s="180">
        <f>D766*57%</f>
        <v>287.27999999999997</v>
      </c>
    </row>
    <row r="767" spans="1:5">
      <c r="A767" s="107"/>
      <c r="B767" s="127"/>
      <c r="C767" s="76"/>
      <c r="D767" s="147"/>
    </row>
    <row r="768" spans="1:5" ht="18">
      <c r="A768" s="107"/>
      <c r="B768" s="27" t="s">
        <v>573</v>
      </c>
      <c r="C768" s="73"/>
      <c r="D768" s="147"/>
    </row>
    <row r="769" spans="1:5">
      <c r="A769" s="107"/>
      <c r="B769" s="24" t="s">
        <v>91</v>
      </c>
      <c r="C769" s="8" t="s">
        <v>574</v>
      </c>
      <c r="D769" s="149">
        <v>442</v>
      </c>
      <c r="E769" s="180">
        <f t="shared" ref="E769:E770" si="78">D769*57%</f>
        <v>251.93999999999997</v>
      </c>
    </row>
    <row r="770" spans="1:5">
      <c r="A770" s="107"/>
      <c r="B770" s="24"/>
      <c r="C770" s="15" t="s">
        <v>575</v>
      </c>
      <c r="D770" s="150">
        <v>619</v>
      </c>
      <c r="E770" s="145">
        <f t="shared" si="78"/>
        <v>352.83</v>
      </c>
    </row>
    <row r="771" spans="1:5">
      <c r="A771" s="107"/>
      <c r="B771" s="24"/>
      <c r="C771" s="15"/>
      <c r="D771" s="150"/>
    </row>
    <row r="772" spans="1:5">
      <c r="A772" s="107"/>
      <c r="B772" s="24" t="s">
        <v>5</v>
      </c>
      <c r="C772" s="8" t="s">
        <v>576</v>
      </c>
      <c r="D772" s="149">
        <v>720</v>
      </c>
      <c r="E772" s="180">
        <f t="shared" ref="E772:E779" si="79">D772*57%</f>
        <v>410.4</v>
      </c>
    </row>
    <row r="773" spans="1:5">
      <c r="A773" s="107"/>
      <c r="B773" s="24"/>
      <c r="C773" s="15" t="s">
        <v>577</v>
      </c>
      <c r="D773" s="150">
        <v>720</v>
      </c>
      <c r="E773" s="145">
        <f t="shared" si="79"/>
        <v>410.4</v>
      </c>
    </row>
    <row r="774" spans="1:5">
      <c r="A774" s="107"/>
      <c r="B774" s="24"/>
      <c r="C774" s="8" t="s">
        <v>578</v>
      </c>
      <c r="D774" s="149">
        <v>720</v>
      </c>
      <c r="E774" s="180">
        <f t="shared" si="79"/>
        <v>410.4</v>
      </c>
    </row>
    <row r="775" spans="1:5">
      <c r="A775" s="107"/>
      <c r="B775" s="24"/>
      <c r="C775" s="68" t="s">
        <v>579</v>
      </c>
      <c r="D775" s="150">
        <v>961</v>
      </c>
      <c r="E775" s="145">
        <f t="shared" si="79"/>
        <v>547.77</v>
      </c>
    </row>
    <row r="776" spans="1:5">
      <c r="A776" s="107"/>
      <c r="B776" s="24"/>
      <c r="C776" s="8" t="s">
        <v>580</v>
      </c>
      <c r="D776" s="149">
        <v>1056</v>
      </c>
      <c r="E776" s="180">
        <f t="shared" si="79"/>
        <v>601.91999999999996</v>
      </c>
    </row>
    <row r="777" spans="1:5">
      <c r="A777" s="107"/>
      <c r="B777" s="24"/>
      <c r="C777" s="15" t="s">
        <v>581</v>
      </c>
      <c r="D777" s="150">
        <v>1056</v>
      </c>
      <c r="E777" s="145">
        <f t="shared" si="79"/>
        <v>601.91999999999996</v>
      </c>
    </row>
    <row r="778" spans="1:5">
      <c r="A778" s="107"/>
      <c r="B778" s="24"/>
      <c r="C778" s="8" t="s">
        <v>582</v>
      </c>
      <c r="D778" s="149">
        <v>810</v>
      </c>
      <c r="E778" s="180">
        <f t="shared" si="79"/>
        <v>461.7</v>
      </c>
    </row>
    <row r="779" spans="1:5">
      <c r="A779" s="107"/>
      <c r="B779" s="24"/>
      <c r="C779" s="20" t="s">
        <v>583</v>
      </c>
      <c r="D779" s="151">
        <v>770</v>
      </c>
      <c r="E779" s="145">
        <f t="shared" si="79"/>
        <v>438.9</v>
      </c>
    </row>
    <row r="780" spans="1:5">
      <c r="A780" s="107"/>
      <c r="B780" s="24"/>
      <c r="C780" s="68"/>
      <c r="D780" s="150"/>
    </row>
    <row r="781" spans="1:5">
      <c r="A781" s="107"/>
      <c r="B781" s="24" t="s">
        <v>13</v>
      </c>
      <c r="C781" s="19" t="s">
        <v>584</v>
      </c>
      <c r="D781" s="149">
        <v>1135</v>
      </c>
      <c r="E781" s="180">
        <f t="shared" ref="E781:E784" si="80">D781*57%</f>
        <v>646.94999999999993</v>
      </c>
    </row>
    <row r="782" spans="1:5">
      <c r="A782" s="107"/>
      <c r="B782" s="24"/>
      <c r="C782" s="20" t="s">
        <v>585</v>
      </c>
      <c r="D782" s="151">
        <v>1364</v>
      </c>
      <c r="E782" s="145">
        <f t="shared" si="80"/>
        <v>777.4799999999999</v>
      </c>
    </row>
    <row r="783" spans="1:5">
      <c r="A783" s="107"/>
      <c r="B783" s="24"/>
      <c r="C783" s="19" t="s">
        <v>586</v>
      </c>
      <c r="D783" s="149">
        <v>1364</v>
      </c>
      <c r="E783" s="180">
        <f t="shared" si="80"/>
        <v>777.4799999999999</v>
      </c>
    </row>
    <row r="784" spans="1:5">
      <c r="A784" s="107"/>
      <c r="B784" s="87"/>
      <c r="C784" s="37" t="s">
        <v>587</v>
      </c>
      <c r="D784" s="151">
        <v>3485</v>
      </c>
      <c r="E784" s="145">
        <f t="shared" si="80"/>
        <v>1986.4499999999998</v>
      </c>
    </row>
    <row r="785" spans="1:5">
      <c r="A785" s="107"/>
      <c r="B785" s="24"/>
      <c r="C785" s="15"/>
      <c r="D785" s="150"/>
    </row>
    <row r="786" spans="1:5" ht="18">
      <c r="A786" s="107"/>
      <c r="B786" s="27" t="s">
        <v>588</v>
      </c>
      <c r="C786" s="76"/>
      <c r="D786" s="147"/>
    </row>
    <row r="787" spans="1:5">
      <c r="A787" s="107"/>
      <c r="B787" s="24" t="s">
        <v>91</v>
      </c>
      <c r="C787" s="8" t="s">
        <v>589</v>
      </c>
      <c r="D787" s="149">
        <v>348</v>
      </c>
      <c r="E787" s="180">
        <f>D787*57%</f>
        <v>198.35999999999999</v>
      </c>
    </row>
    <row r="788" spans="1:5">
      <c r="A788" s="107"/>
      <c r="B788" s="24"/>
      <c r="C788" s="15"/>
      <c r="D788" s="150"/>
    </row>
    <row r="789" spans="1:5">
      <c r="A789" s="107"/>
      <c r="B789" s="24" t="s">
        <v>5</v>
      </c>
      <c r="C789" s="8" t="s">
        <v>590</v>
      </c>
      <c r="D789" s="149">
        <v>370</v>
      </c>
      <c r="E789" s="180">
        <f t="shared" ref="E789:E792" si="81">D789*57%</f>
        <v>210.89999999999998</v>
      </c>
    </row>
    <row r="790" spans="1:5">
      <c r="A790" s="107"/>
      <c r="B790" s="22"/>
      <c r="C790" s="11" t="s">
        <v>591</v>
      </c>
      <c r="D790" s="151">
        <v>430</v>
      </c>
      <c r="E790" s="145">
        <f t="shared" si="81"/>
        <v>245.09999999999997</v>
      </c>
    </row>
    <row r="791" spans="1:5">
      <c r="A791" s="107"/>
      <c r="B791" s="47"/>
      <c r="C791" s="8" t="s">
        <v>592</v>
      </c>
      <c r="D791" s="149">
        <v>512</v>
      </c>
      <c r="E791" s="180">
        <f t="shared" si="81"/>
        <v>291.83999999999997</v>
      </c>
    </row>
    <row r="792" spans="1:5">
      <c r="A792" s="107"/>
      <c r="B792" s="47"/>
      <c r="C792" s="11" t="s">
        <v>593</v>
      </c>
      <c r="D792" s="151">
        <v>551</v>
      </c>
      <c r="E792" s="145">
        <f t="shared" si="81"/>
        <v>314.07</v>
      </c>
    </row>
    <row r="793" spans="1:5">
      <c r="A793" s="107"/>
      <c r="B793" s="47"/>
      <c r="C793" s="11"/>
      <c r="D793" s="151"/>
    </row>
    <row r="794" spans="1:5">
      <c r="A794" s="107"/>
      <c r="B794" s="24" t="s">
        <v>22</v>
      </c>
      <c r="C794" s="8" t="s">
        <v>594</v>
      </c>
      <c r="D794" s="149">
        <v>538</v>
      </c>
      <c r="E794" s="180">
        <f>D794*57%</f>
        <v>306.65999999999997</v>
      </c>
    </row>
    <row r="795" spans="1:5">
      <c r="A795" s="107"/>
      <c r="B795" s="127"/>
      <c r="C795" s="76"/>
      <c r="D795" s="147"/>
    </row>
    <row r="796" spans="1:5" ht="18">
      <c r="A796" s="107"/>
      <c r="B796" s="27" t="s">
        <v>595</v>
      </c>
      <c r="C796" s="73"/>
      <c r="D796" s="147"/>
    </row>
    <row r="797" spans="1:5">
      <c r="A797" s="107"/>
      <c r="B797" s="24" t="s">
        <v>91</v>
      </c>
      <c r="C797" s="8" t="s">
        <v>596</v>
      </c>
      <c r="D797" s="152" t="s">
        <v>11</v>
      </c>
      <c r="E797" s="181" t="s">
        <v>11</v>
      </c>
    </row>
    <row r="798" spans="1:5">
      <c r="A798" s="107"/>
      <c r="B798" s="24"/>
      <c r="C798" s="15" t="s">
        <v>597</v>
      </c>
      <c r="D798" s="150">
        <v>273</v>
      </c>
      <c r="E798" s="145">
        <f>D798*57%</f>
        <v>155.60999999999999</v>
      </c>
    </row>
    <row r="799" spans="1:5">
      <c r="A799" s="107"/>
      <c r="B799" s="24"/>
      <c r="C799" s="15"/>
      <c r="D799" s="150"/>
    </row>
    <row r="800" spans="1:5">
      <c r="A800" s="107"/>
      <c r="B800" s="24" t="s">
        <v>5</v>
      </c>
      <c r="C800" s="8" t="s">
        <v>598</v>
      </c>
      <c r="D800" s="149">
        <v>359</v>
      </c>
      <c r="E800" s="180">
        <f>D800*57%</f>
        <v>204.63</v>
      </c>
    </row>
    <row r="801" spans="1:5">
      <c r="A801" s="107"/>
      <c r="B801" s="47"/>
      <c r="C801" s="84" t="s">
        <v>599</v>
      </c>
      <c r="D801" s="150"/>
    </row>
    <row r="802" spans="1:5" ht="20.399999999999999">
      <c r="A802" s="98" t="e" vm="6">
        <v>#VALUE!</v>
      </c>
      <c r="B802" s="99" t="s">
        <v>600</v>
      </c>
      <c r="C802" s="5"/>
      <c r="D802" s="147"/>
    </row>
    <row r="803" spans="1:5" ht="18">
      <c r="A803" s="107"/>
      <c r="B803" s="87"/>
      <c r="C803" s="17"/>
      <c r="D803" s="147"/>
    </row>
    <row r="804" spans="1:5" ht="18">
      <c r="A804" s="107"/>
      <c r="B804" s="27" t="s">
        <v>601</v>
      </c>
      <c r="C804" s="73"/>
      <c r="D804" s="147"/>
    </row>
    <row r="805" spans="1:5">
      <c r="A805" s="107"/>
      <c r="B805" s="24" t="s">
        <v>135</v>
      </c>
      <c r="C805" s="10" t="s">
        <v>602</v>
      </c>
      <c r="D805" s="149">
        <v>221</v>
      </c>
      <c r="E805" s="180">
        <f t="shared" ref="E805:E806" si="82">D805*57%</f>
        <v>125.96999999999998</v>
      </c>
    </row>
    <row r="806" spans="1:5">
      <c r="A806" s="107"/>
      <c r="B806" s="47"/>
      <c r="C806" s="9" t="s">
        <v>603</v>
      </c>
      <c r="D806" s="150">
        <v>382</v>
      </c>
      <c r="E806" s="145">
        <f t="shared" si="82"/>
        <v>217.73999999999998</v>
      </c>
    </row>
    <row r="807" spans="1:5" ht="18">
      <c r="A807" s="87"/>
      <c r="B807" s="25"/>
      <c r="C807" s="17"/>
      <c r="D807" s="147"/>
    </row>
    <row r="808" spans="1:5" ht="20.399999999999999">
      <c r="A808" s="98" t="e" vm="6">
        <v>#VALUE!</v>
      </c>
      <c r="B808" s="99" t="s">
        <v>604</v>
      </c>
      <c r="C808" s="5"/>
      <c r="D808" s="147"/>
    </row>
    <row r="809" spans="1:5" ht="18">
      <c r="A809" s="107"/>
      <c r="B809" s="87"/>
      <c r="C809" s="17"/>
      <c r="D809" s="147"/>
    </row>
    <row r="810" spans="1:5" ht="18">
      <c r="A810" s="183"/>
      <c r="B810" s="27" t="s">
        <v>605</v>
      </c>
      <c r="C810" s="73"/>
      <c r="D810" s="147"/>
    </row>
    <row r="811" spans="1:5">
      <c r="A811" s="183"/>
      <c r="B811" s="24" t="s">
        <v>5</v>
      </c>
      <c r="C811" s="10" t="s">
        <v>606</v>
      </c>
      <c r="D811" s="149">
        <v>1955</v>
      </c>
      <c r="E811" s="180">
        <f t="shared" ref="E811:E814" si="83">D811*57%</f>
        <v>1114.3499999999999</v>
      </c>
    </row>
    <row r="812" spans="1:5">
      <c r="A812" s="183"/>
      <c r="B812" s="24"/>
      <c r="C812" s="9" t="s">
        <v>607</v>
      </c>
      <c r="D812" s="150">
        <v>1955</v>
      </c>
      <c r="E812" s="145">
        <f t="shared" si="83"/>
        <v>1114.3499999999999</v>
      </c>
    </row>
    <row r="813" spans="1:5">
      <c r="A813" s="183"/>
      <c r="B813" s="24"/>
      <c r="C813" s="10" t="s">
        <v>608</v>
      </c>
      <c r="D813" s="149">
        <v>1955</v>
      </c>
      <c r="E813" s="180">
        <f t="shared" si="83"/>
        <v>1114.3499999999999</v>
      </c>
    </row>
    <row r="814" spans="1:5">
      <c r="A814" s="183"/>
      <c r="B814" s="24"/>
      <c r="C814" s="9" t="s">
        <v>609</v>
      </c>
      <c r="D814" s="150">
        <v>1955</v>
      </c>
      <c r="E814" s="145">
        <f t="shared" si="83"/>
        <v>1114.3499999999999</v>
      </c>
    </row>
    <row r="815" spans="1:5">
      <c r="A815" s="183"/>
      <c r="B815" s="24"/>
      <c r="C815" s="9"/>
      <c r="D815" s="150"/>
    </row>
    <row r="816" spans="1:5">
      <c r="A816" s="183"/>
      <c r="B816" s="24" t="s">
        <v>227</v>
      </c>
      <c r="C816" s="10" t="s">
        <v>610</v>
      </c>
      <c r="D816" s="149">
        <v>789</v>
      </c>
      <c r="E816" s="180">
        <f t="shared" ref="E816:E819" si="84">D816*57%</f>
        <v>449.72999999999996</v>
      </c>
    </row>
    <row r="817" spans="1:5">
      <c r="A817" s="183"/>
      <c r="B817" s="87"/>
      <c r="C817" s="37" t="s">
        <v>611</v>
      </c>
      <c r="D817" s="151">
        <v>1136</v>
      </c>
      <c r="E817" s="145">
        <f t="shared" si="84"/>
        <v>647.52</v>
      </c>
    </row>
    <row r="818" spans="1:5">
      <c r="A818" s="183"/>
      <c r="B818" s="47"/>
      <c r="C818" s="48" t="s">
        <v>612</v>
      </c>
      <c r="D818" s="149">
        <v>1136</v>
      </c>
      <c r="E818" s="180">
        <f t="shared" si="84"/>
        <v>647.52</v>
      </c>
    </row>
    <row r="819" spans="1:5">
      <c r="A819" s="183"/>
      <c r="B819" s="47"/>
      <c r="C819" s="22" t="s">
        <v>613</v>
      </c>
      <c r="D819" s="151">
        <v>1136</v>
      </c>
      <c r="E819" s="145">
        <f t="shared" si="84"/>
        <v>647.52</v>
      </c>
    </row>
    <row r="820" spans="1:5">
      <c r="A820" s="183"/>
      <c r="B820" s="47"/>
      <c r="C820" s="35"/>
      <c r="D820" s="150"/>
    </row>
    <row r="821" spans="1:5" ht="18">
      <c r="A821" s="183"/>
      <c r="B821" s="130" t="s">
        <v>614</v>
      </c>
      <c r="C821" s="35"/>
      <c r="D821" s="150"/>
    </row>
    <row r="822" spans="1:5">
      <c r="A822" s="183"/>
      <c r="B822" s="24" t="s">
        <v>239</v>
      </c>
      <c r="C822" s="48" t="s">
        <v>615</v>
      </c>
      <c r="D822" s="149">
        <v>652</v>
      </c>
      <c r="E822" s="180">
        <f>D822*57%</f>
        <v>371.64</v>
      </c>
    </row>
    <row r="823" spans="1:5">
      <c r="A823" s="183"/>
      <c r="B823" s="47"/>
      <c r="C823" s="35"/>
      <c r="D823" s="150"/>
    </row>
    <row r="824" spans="1:5">
      <c r="A824" s="87"/>
      <c r="B824" s="24" t="s">
        <v>227</v>
      </c>
      <c r="C824" s="10" t="s">
        <v>616</v>
      </c>
      <c r="D824" s="149">
        <v>215</v>
      </c>
      <c r="E824" s="180">
        <f t="shared" ref="E824:E826" si="85">D824*57%</f>
        <v>122.54999999999998</v>
      </c>
    </row>
    <row r="825" spans="1:5">
      <c r="A825" s="87"/>
      <c r="B825" s="47"/>
      <c r="C825" s="22" t="s">
        <v>617</v>
      </c>
      <c r="D825" s="150">
        <v>423</v>
      </c>
      <c r="E825" s="145">
        <f t="shared" si="85"/>
        <v>241.10999999999999</v>
      </c>
    </row>
    <row r="826" spans="1:5">
      <c r="A826" s="87"/>
      <c r="B826" s="47"/>
      <c r="C826" s="48" t="s">
        <v>618</v>
      </c>
      <c r="D826" s="149">
        <v>664</v>
      </c>
      <c r="E826" s="180">
        <f t="shared" si="85"/>
        <v>378.47999999999996</v>
      </c>
    </row>
    <row r="827" spans="1:5">
      <c r="A827" s="87"/>
      <c r="B827" s="25"/>
      <c r="C827" s="16"/>
      <c r="D827" s="147"/>
    </row>
    <row r="828" spans="1:5" ht="20.399999999999999">
      <c r="A828" s="98" t="e" vm="6">
        <v>#VALUE!</v>
      </c>
      <c r="B828" s="99" t="s">
        <v>619</v>
      </c>
      <c r="C828" s="5"/>
      <c r="D828" s="147"/>
    </row>
    <row r="829" spans="1:5">
      <c r="A829" s="121"/>
      <c r="B829" s="25"/>
      <c r="C829" s="16"/>
      <c r="D829" s="147"/>
    </row>
    <row r="830" spans="1:5" ht="18">
      <c r="A830" s="87"/>
      <c r="B830" s="27" t="s">
        <v>620</v>
      </c>
      <c r="C830" s="73"/>
      <c r="D830" s="147"/>
    </row>
    <row r="831" spans="1:5">
      <c r="A831" s="121"/>
      <c r="B831" s="24" t="s">
        <v>239</v>
      </c>
      <c r="C831" s="48" t="s">
        <v>621</v>
      </c>
      <c r="D831" s="149">
        <v>414</v>
      </c>
      <c r="E831" s="180">
        <f>D831*57%</f>
        <v>235.98</v>
      </c>
    </row>
    <row r="832" spans="1:5">
      <c r="A832" s="87"/>
      <c r="B832" s="87"/>
      <c r="C832" s="16"/>
      <c r="D832" s="150"/>
    </row>
    <row r="833" spans="1:5">
      <c r="A833" s="107"/>
      <c r="B833" s="24" t="s">
        <v>227</v>
      </c>
      <c r="C833" s="48" t="s">
        <v>622</v>
      </c>
      <c r="D833" s="149">
        <v>247</v>
      </c>
      <c r="E833" s="180">
        <f t="shared" ref="E833:E834" si="86">D833*57%</f>
        <v>140.79</v>
      </c>
    </row>
    <row r="834" spans="1:5">
      <c r="A834" s="107"/>
      <c r="B834" s="24"/>
      <c r="C834" s="35" t="s">
        <v>623</v>
      </c>
      <c r="D834" s="150">
        <v>346</v>
      </c>
      <c r="E834" s="145">
        <f t="shared" si="86"/>
        <v>197.21999999999997</v>
      </c>
    </row>
    <row r="835" spans="1:5">
      <c r="A835" s="107"/>
      <c r="B835" s="24"/>
      <c r="C835" s="48" t="s">
        <v>624</v>
      </c>
      <c r="D835" s="152" t="s">
        <v>11</v>
      </c>
      <c r="E835" s="181" t="s">
        <v>11</v>
      </c>
    </row>
    <row r="836" spans="1:5">
      <c r="A836" s="107"/>
      <c r="B836" s="25"/>
      <c r="C836" s="1"/>
      <c r="D836" s="147"/>
    </row>
    <row r="837" spans="1:5" ht="18">
      <c r="A837" s="107"/>
      <c r="B837" s="27" t="s">
        <v>625</v>
      </c>
      <c r="C837" s="73"/>
      <c r="D837" s="147"/>
    </row>
    <row r="838" spans="1:5">
      <c r="A838" s="107"/>
      <c r="B838" s="24" t="s">
        <v>227</v>
      </c>
      <c r="C838" s="48" t="s">
        <v>626</v>
      </c>
      <c r="D838" s="149">
        <v>203</v>
      </c>
      <c r="E838" s="180">
        <f t="shared" ref="E838:E841" si="87">D838*57%</f>
        <v>115.71</v>
      </c>
    </row>
    <row r="839" spans="1:5">
      <c r="A839" s="107"/>
      <c r="B839" s="22"/>
      <c r="C839" s="37" t="s">
        <v>627</v>
      </c>
      <c r="D839" s="151">
        <v>245</v>
      </c>
      <c r="E839" s="145">
        <f t="shared" si="87"/>
        <v>139.64999999999998</v>
      </c>
    </row>
    <row r="840" spans="1:5">
      <c r="A840" s="107"/>
      <c r="B840" s="47"/>
      <c r="C840" s="48" t="s">
        <v>628</v>
      </c>
      <c r="D840" s="149">
        <v>353</v>
      </c>
      <c r="E840" s="180">
        <f t="shared" si="87"/>
        <v>201.20999999999998</v>
      </c>
    </row>
    <row r="841" spans="1:5">
      <c r="A841" s="107"/>
      <c r="B841" s="47"/>
      <c r="C841" s="22" t="s">
        <v>629</v>
      </c>
      <c r="D841" s="151">
        <v>635</v>
      </c>
      <c r="E841" s="145">
        <f t="shared" si="87"/>
        <v>361.95</v>
      </c>
    </row>
    <row r="842" spans="1:5">
      <c r="A842" s="107"/>
      <c r="B842" s="25"/>
      <c r="C842" s="16"/>
      <c r="D842" s="147"/>
    </row>
    <row r="843" spans="1:5" ht="18">
      <c r="A843" s="107"/>
      <c r="B843" s="27" t="s">
        <v>630</v>
      </c>
      <c r="C843" s="73"/>
      <c r="D843" s="147"/>
    </row>
    <row r="844" spans="1:5">
      <c r="A844" s="107"/>
      <c r="B844" s="24" t="s">
        <v>5</v>
      </c>
      <c r="C844" s="48" t="s">
        <v>631</v>
      </c>
      <c r="D844" s="149">
        <v>1675</v>
      </c>
      <c r="E844" s="180">
        <f t="shared" ref="E844:E850" si="88">D844*57%</f>
        <v>954.74999999999989</v>
      </c>
    </row>
    <row r="845" spans="1:5">
      <c r="A845" s="107"/>
      <c r="B845" s="24"/>
      <c r="C845" s="22" t="s">
        <v>632</v>
      </c>
      <c r="D845" s="151">
        <v>1766</v>
      </c>
      <c r="E845" s="145">
        <f t="shared" si="88"/>
        <v>1006.6199999999999</v>
      </c>
    </row>
    <row r="846" spans="1:5">
      <c r="A846" s="107"/>
      <c r="B846" s="24"/>
      <c r="C846" s="48" t="s">
        <v>633</v>
      </c>
      <c r="D846" s="149">
        <v>1766</v>
      </c>
      <c r="E846" s="180">
        <f t="shared" si="88"/>
        <v>1006.6199999999999</v>
      </c>
    </row>
    <row r="847" spans="1:5">
      <c r="A847" s="107"/>
      <c r="B847" s="24"/>
      <c r="C847" s="22" t="s">
        <v>634</v>
      </c>
      <c r="D847" s="151">
        <v>1675</v>
      </c>
      <c r="E847" s="145">
        <f t="shared" si="88"/>
        <v>954.74999999999989</v>
      </c>
    </row>
    <row r="848" spans="1:5">
      <c r="A848" s="107"/>
      <c r="B848" s="24"/>
      <c r="C848" s="48" t="s">
        <v>635</v>
      </c>
      <c r="D848" s="149">
        <v>1675</v>
      </c>
      <c r="E848" s="180">
        <f t="shared" si="88"/>
        <v>954.74999999999989</v>
      </c>
    </row>
    <row r="849" spans="1:5">
      <c r="A849" s="107"/>
      <c r="B849" s="24"/>
      <c r="C849" s="22" t="s">
        <v>636</v>
      </c>
      <c r="D849" s="151">
        <v>1766</v>
      </c>
      <c r="E849" s="145">
        <f t="shared" si="88"/>
        <v>1006.6199999999999</v>
      </c>
    </row>
    <row r="850" spans="1:5">
      <c r="A850" s="107"/>
      <c r="B850" s="24"/>
      <c r="C850" s="48" t="s">
        <v>637</v>
      </c>
      <c r="D850" s="149">
        <v>1766</v>
      </c>
      <c r="E850" s="180">
        <f t="shared" si="88"/>
        <v>1006.6199999999999</v>
      </c>
    </row>
    <row r="851" spans="1:5">
      <c r="A851" s="107"/>
      <c r="B851" s="24"/>
      <c r="C851" s="9"/>
      <c r="D851" s="150"/>
    </row>
    <row r="852" spans="1:5">
      <c r="A852" s="107"/>
      <c r="B852" s="24" t="s">
        <v>227</v>
      </c>
      <c r="C852" s="48" t="s">
        <v>638</v>
      </c>
      <c r="D852" s="149">
        <v>457</v>
      </c>
      <c r="E852" s="180">
        <f t="shared" ref="E852:E867" si="89">D852*57%</f>
        <v>260.48999999999995</v>
      </c>
    </row>
    <row r="853" spans="1:5">
      <c r="A853" s="107"/>
      <c r="B853" s="24"/>
      <c r="C853" s="9" t="s">
        <v>639</v>
      </c>
      <c r="D853" s="150">
        <v>2271</v>
      </c>
      <c r="E853" s="145">
        <f t="shared" si="89"/>
        <v>1294.4699999999998</v>
      </c>
    </row>
    <row r="854" spans="1:5">
      <c r="A854" s="107"/>
      <c r="B854" s="47"/>
      <c r="C854" s="48" t="s">
        <v>640</v>
      </c>
      <c r="D854" s="149">
        <v>2218</v>
      </c>
      <c r="E854" s="180">
        <f t="shared" si="89"/>
        <v>1264.26</v>
      </c>
    </row>
    <row r="855" spans="1:5">
      <c r="A855" s="107"/>
      <c r="B855" s="47"/>
      <c r="C855" s="35" t="s">
        <v>641</v>
      </c>
      <c r="D855" s="150">
        <v>2218</v>
      </c>
      <c r="E855" s="145">
        <f t="shared" si="89"/>
        <v>1264.26</v>
      </c>
    </row>
    <row r="856" spans="1:5">
      <c r="A856" s="107"/>
      <c r="B856" s="47"/>
      <c r="C856" s="48" t="s">
        <v>642</v>
      </c>
      <c r="D856" s="149">
        <v>2218</v>
      </c>
      <c r="E856" s="180">
        <f t="shared" si="89"/>
        <v>1264.26</v>
      </c>
    </row>
    <row r="857" spans="1:5">
      <c r="A857" s="107"/>
      <c r="B857" s="47"/>
      <c r="C857" s="22" t="s">
        <v>643</v>
      </c>
      <c r="D857" s="151">
        <v>2349</v>
      </c>
      <c r="E857" s="145">
        <f t="shared" si="89"/>
        <v>1338.9299999999998</v>
      </c>
    </row>
    <row r="858" spans="1:5">
      <c r="A858" s="107"/>
      <c r="B858" s="47"/>
      <c r="C858" s="48" t="s">
        <v>644</v>
      </c>
      <c r="D858" s="149">
        <v>2218</v>
      </c>
      <c r="E858" s="180">
        <f t="shared" si="89"/>
        <v>1264.26</v>
      </c>
    </row>
    <row r="859" spans="1:5">
      <c r="A859" s="107"/>
      <c r="B859" s="47"/>
      <c r="C859" s="22" t="s">
        <v>645</v>
      </c>
      <c r="D859" s="151">
        <v>2401</v>
      </c>
      <c r="E859" s="145">
        <f t="shared" si="89"/>
        <v>1368.57</v>
      </c>
    </row>
    <row r="860" spans="1:5">
      <c r="A860" s="107"/>
      <c r="B860" s="47"/>
      <c r="C860" s="48" t="s">
        <v>646</v>
      </c>
      <c r="D860" s="149">
        <v>2799</v>
      </c>
      <c r="E860" s="180">
        <f t="shared" si="89"/>
        <v>1595.4299999999998</v>
      </c>
    </row>
    <row r="861" spans="1:5">
      <c r="A861" s="107"/>
      <c r="B861" s="47"/>
      <c r="C861" s="22" t="s">
        <v>647</v>
      </c>
      <c r="D861" s="151">
        <v>2218</v>
      </c>
      <c r="E861" s="145">
        <f t="shared" si="89"/>
        <v>1264.26</v>
      </c>
    </row>
    <row r="862" spans="1:5">
      <c r="A862" s="107"/>
      <c r="B862" s="47"/>
      <c r="C862" s="48" t="s">
        <v>648</v>
      </c>
      <c r="D862" s="149">
        <v>2349</v>
      </c>
      <c r="E862" s="180">
        <f t="shared" si="89"/>
        <v>1338.9299999999998</v>
      </c>
    </row>
    <row r="863" spans="1:5">
      <c r="A863" s="107"/>
      <c r="B863" s="47"/>
      <c r="C863" s="22" t="s">
        <v>649</v>
      </c>
      <c r="D863" s="151">
        <v>4950</v>
      </c>
      <c r="E863" s="145">
        <f t="shared" si="89"/>
        <v>2821.4999999999995</v>
      </c>
    </row>
    <row r="864" spans="1:5">
      <c r="A864" s="107"/>
      <c r="B864" s="47"/>
      <c r="C864" s="48" t="s">
        <v>650</v>
      </c>
      <c r="D864" s="149">
        <v>2499</v>
      </c>
      <c r="E864" s="180">
        <f t="shared" si="89"/>
        <v>1424.4299999999998</v>
      </c>
    </row>
    <row r="865" spans="1:5">
      <c r="A865" s="107"/>
      <c r="B865" s="47"/>
      <c r="C865" s="22" t="s">
        <v>651</v>
      </c>
      <c r="D865" s="151">
        <v>2218</v>
      </c>
      <c r="E865" s="145">
        <f t="shared" si="89"/>
        <v>1264.26</v>
      </c>
    </row>
    <row r="866" spans="1:5">
      <c r="A866" s="107"/>
      <c r="B866" s="47"/>
      <c r="C866" s="48" t="s">
        <v>652</v>
      </c>
      <c r="D866" s="149">
        <v>4490</v>
      </c>
      <c r="E866" s="180">
        <f t="shared" si="89"/>
        <v>2559.2999999999997</v>
      </c>
    </row>
    <row r="867" spans="1:5">
      <c r="A867" s="107"/>
      <c r="B867" s="47"/>
      <c r="C867" s="22" t="s">
        <v>653</v>
      </c>
      <c r="D867" s="151">
        <v>8990</v>
      </c>
      <c r="E867" s="145">
        <f t="shared" si="89"/>
        <v>5124.2999999999993</v>
      </c>
    </row>
    <row r="868" spans="1:5">
      <c r="A868" s="107"/>
      <c r="B868" s="25"/>
      <c r="C868" s="1"/>
      <c r="D868" s="147"/>
    </row>
    <row r="869" spans="1:5" ht="18">
      <c r="A869" s="107"/>
      <c r="B869" s="27" t="s">
        <v>654</v>
      </c>
      <c r="C869" s="1"/>
      <c r="D869" s="147"/>
    </row>
    <row r="870" spans="1:5">
      <c r="A870" s="107"/>
      <c r="B870" s="24" t="s">
        <v>5</v>
      </c>
      <c r="C870" s="48" t="s">
        <v>655</v>
      </c>
      <c r="D870" s="149">
        <v>850</v>
      </c>
      <c r="E870" s="180">
        <f>D870*57%</f>
        <v>484.49999999999994</v>
      </c>
    </row>
    <row r="871" spans="1:5">
      <c r="A871" s="107"/>
      <c r="B871" s="24"/>
      <c r="C871" s="35"/>
      <c r="D871" s="150"/>
    </row>
    <row r="872" spans="1:5">
      <c r="A872" s="107"/>
      <c r="B872" s="24" t="s">
        <v>227</v>
      </c>
      <c r="C872" s="48" t="s">
        <v>656</v>
      </c>
      <c r="D872" s="149">
        <v>867</v>
      </c>
      <c r="E872" s="180">
        <f t="shared" ref="E872:E875" si="90">D872*57%</f>
        <v>494.18999999999994</v>
      </c>
    </row>
    <row r="873" spans="1:5">
      <c r="A873" s="107"/>
      <c r="B873" s="24"/>
      <c r="C873" s="22" t="s">
        <v>657</v>
      </c>
      <c r="D873" s="151">
        <v>828</v>
      </c>
      <c r="E873" s="145">
        <f t="shared" si="90"/>
        <v>471.96</v>
      </c>
    </row>
    <row r="874" spans="1:5">
      <c r="A874" s="107"/>
      <c r="B874" s="24"/>
      <c r="C874" s="48" t="s">
        <v>658</v>
      </c>
      <c r="D874" s="149">
        <v>1395</v>
      </c>
      <c r="E874" s="180">
        <f t="shared" si="90"/>
        <v>795.15</v>
      </c>
    </row>
    <row r="875" spans="1:5">
      <c r="A875" s="183"/>
      <c r="B875" s="24"/>
      <c r="C875" s="22" t="s">
        <v>659</v>
      </c>
      <c r="D875" s="151">
        <v>1395</v>
      </c>
      <c r="E875" s="145">
        <f t="shared" si="90"/>
        <v>795.15</v>
      </c>
    </row>
    <row r="876" spans="1:5">
      <c r="A876" s="183"/>
      <c r="B876" s="25"/>
      <c r="C876" s="1"/>
      <c r="D876" s="147"/>
    </row>
    <row r="877" spans="1:5" ht="18">
      <c r="A877" s="183"/>
      <c r="B877" s="132" t="s">
        <v>660</v>
      </c>
      <c r="C877" s="1"/>
      <c r="D877" s="147"/>
    </row>
    <row r="878" spans="1:5">
      <c r="A878" s="183"/>
      <c r="B878" s="24" t="s">
        <v>227</v>
      </c>
      <c r="C878" s="48" t="s">
        <v>661</v>
      </c>
      <c r="D878" s="149">
        <v>732</v>
      </c>
      <c r="E878" s="180">
        <f>D878*57%</f>
        <v>417.23999999999995</v>
      </c>
    </row>
    <row r="879" spans="1:5">
      <c r="A879" s="183"/>
      <c r="B879" s="25"/>
      <c r="C879" s="16"/>
      <c r="D879" s="147"/>
    </row>
    <row r="880" spans="1:5" ht="18">
      <c r="A880" s="183"/>
      <c r="B880" s="27" t="s">
        <v>662</v>
      </c>
      <c r="C880" s="73"/>
      <c r="D880" s="147"/>
    </row>
    <row r="881" spans="1:5">
      <c r="A881" s="183"/>
      <c r="B881" s="24" t="s">
        <v>227</v>
      </c>
      <c r="C881" s="48" t="s">
        <v>663</v>
      </c>
      <c r="D881" s="149">
        <v>381</v>
      </c>
      <c r="E881" s="180">
        <f t="shared" ref="E881:E882" si="91">D881*57%</f>
        <v>217.17</v>
      </c>
    </row>
    <row r="882" spans="1:5">
      <c r="A882" s="183"/>
      <c r="B882" s="47"/>
      <c r="C882" s="22" t="s">
        <v>664</v>
      </c>
      <c r="D882" s="151">
        <v>528</v>
      </c>
      <c r="E882" s="145">
        <f t="shared" si="91"/>
        <v>300.95999999999998</v>
      </c>
    </row>
    <row r="883" spans="1:5">
      <c r="A883" s="183"/>
      <c r="B883" s="25"/>
      <c r="C883" s="16"/>
      <c r="D883" s="147"/>
    </row>
    <row r="884" spans="1:5" ht="18">
      <c r="A884" s="87"/>
      <c r="B884" s="27" t="s">
        <v>665</v>
      </c>
      <c r="C884" s="73"/>
      <c r="D884" s="147"/>
    </row>
    <row r="885" spans="1:5">
      <c r="A885" s="121"/>
      <c r="B885" s="24" t="s">
        <v>227</v>
      </c>
      <c r="C885" s="10" t="s">
        <v>666</v>
      </c>
      <c r="D885" s="149">
        <v>619</v>
      </c>
      <c r="E885" s="180">
        <f t="shared" ref="E885:E886" si="92">D885*57%</f>
        <v>352.83</v>
      </c>
    </row>
    <row r="886" spans="1:5">
      <c r="A886" s="87"/>
      <c r="B886" s="47"/>
      <c r="C886" s="35" t="s">
        <v>667</v>
      </c>
      <c r="D886" s="150">
        <v>362</v>
      </c>
      <c r="E886" s="145">
        <f t="shared" si="92"/>
        <v>206.33999999999997</v>
      </c>
    </row>
    <row r="887" spans="1:5">
      <c r="A887" s="87"/>
      <c r="B887" s="87"/>
      <c r="C887" s="16"/>
      <c r="D887" s="150"/>
    </row>
    <row r="888" spans="1:5" ht="20.399999999999999">
      <c r="A888" s="98" t="e" vm="6">
        <v>#VALUE!</v>
      </c>
      <c r="B888" s="99" t="s">
        <v>668</v>
      </c>
      <c r="C888" s="5"/>
      <c r="D888" s="147"/>
    </row>
    <row r="889" spans="1:5">
      <c r="A889" s="121"/>
      <c r="B889" s="25"/>
      <c r="C889" s="16"/>
      <c r="D889" s="147"/>
    </row>
    <row r="890" spans="1:5" ht="18">
      <c r="A890" s="87"/>
      <c r="B890" s="27" t="s">
        <v>669</v>
      </c>
      <c r="C890" s="73"/>
      <c r="D890" s="147"/>
    </row>
    <row r="891" spans="1:5">
      <c r="A891" s="107"/>
      <c r="B891" s="24" t="s">
        <v>5</v>
      </c>
      <c r="C891" s="8" t="s">
        <v>670</v>
      </c>
      <c r="D891" s="149">
        <v>257</v>
      </c>
      <c r="E891" s="180">
        <f>D891*57%</f>
        <v>146.48999999999998</v>
      </c>
    </row>
    <row r="892" spans="1:5">
      <c r="A892" s="107"/>
      <c r="B892" s="131"/>
      <c r="C892" s="72"/>
      <c r="D892" s="150"/>
    </row>
    <row r="893" spans="1:5">
      <c r="A893" s="107"/>
      <c r="B893" s="24" t="s">
        <v>227</v>
      </c>
      <c r="C893" s="10" t="s">
        <v>671</v>
      </c>
      <c r="D893" s="149">
        <v>257</v>
      </c>
      <c r="E893" s="180">
        <f t="shared" ref="E893:E895" si="93">D893*57%</f>
        <v>146.48999999999998</v>
      </c>
    </row>
    <row r="894" spans="1:5">
      <c r="A894" s="107"/>
      <c r="B894" s="24"/>
      <c r="C894" s="9" t="s">
        <v>672</v>
      </c>
      <c r="D894" s="175">
        <v>654</v>
      </c>
      <c r="E894" s="145">
        <f t="shared" si="93"/>
        <v>372.78</v>
      </c>
    </row>
    <row r="895" spans="1:5">
      <c r="A895" s="107"/>
      <c r="B895" s="24"/>
      <c r="C895" s="10" t="s">
        <v>673</v>
      </c>
      <c r="D895" s="172">
        <v>654</v>
      </c>
      <c r="E895" s="180">
        <f t="shared" si="93"/>
        <v>372.78</v>
      </c>
    </row>
    <row r="896" spans="1:5">
      <c r="A896" s="107"/>
      <c r="B896" s="25"/>
      <c r="C896" s="16"/>
      <c r="D896" s="147"/>
    </row>
    <row r="897" spans="1:5" ht="18">
      <c r="A897" s="107"/>
      <c r="B897" s="27" t="s">
        <v>674</v>
      </c>
      <c r="C897" s="73"/>
      <c r="D897" s="147"/>
    </row>
    <row r="898" spans="1:5">
      <c r="A898" s="107"/>
      <c r="B898" s="24" t="s">
        <v>5</v>
      </c>
      <c r="C898" s="10" t="s">
        <v>675</v>
      </c>
      <c r="D898" s="149">
        <v>269</v>
      </c>
      <c r="E898" s="180">
        <f t="shared" ref="E898:E902" si="94">D898*57%</f>
        <v>153.32999999999998</v>
      </c>
    </row>
    <row r="899" spans="1:5">
      <c r="A899" s="107"/>
      <c r="B899" s="24"/>
      <c r="C899" s="37" t="s">
        <v>676</v>
      </c>
      <c r="D899" s="151">
        <v>315</v>
      </c>
      <c r="E899" s="145">
        <f t="shared" si="94"/>
        <v>179.54999999999998</v>
      </c>
    </row>
    <row r="900" spans="1:5">
      <c r="A900" s="107"/>
      <c r="B900" s="24"/>
      <c r="C900" s="48" t="s">
        <v>677</v>
      </c>
      <c r="D900" s="149">
        <v>139</v>
      </c>
      <c r="E900" s="180">
        <f t="shared" si="94"/>
        <v>79.22999999999999</v>
      </c>
    </row>
    <row r="901" spans="1:5">
      <c r="A901" s="107"/>
      <c r="B901" s="24"/>
      <c r="C901" s="22" t="s">
        <v>678</v>
      </c>
      <c r="D901" s="151">
        <v>160</v>
      </c>
      <c r="E901" s="145">
        <f t="shared" si="94"/>
        <v>91.199999999999989</v>
      </c>
    </row>
    <row r="902" spans="1:5">
      <c r="A902" s="107"/>
      <c r="B902" s="24"/>
      <c r="C902" s="48" t="s">
        <v>679</v>
      </c>
      <c r="D902" s="149">
        <v>439</v>
      </c>
      <c r="E902" s="180">
        <f t="shared" si="94"/>
        <v>250.23</v>
      </c>
    </row>
    <row r="903" spans="1:5">
      <c r="A903" s="107"/>
      <c r="B903" s="24"/>
      <c r="C903" s="9"/>
      <c r="D903" s="150"/>
    </row>
    <row r="904" spans="1:5">
      <c r="A904" s="87"/>
      <c r="B904" s="24" t="s">
        <v>13</v>
      </c>
      <c r="C904" s="48" t="s">
        <v>680</v>
      </c>
      <c r="D904" s="149">
        <v>328</v>
      </c>
      <c r="E904" s="180">
        <f t="shared" ref="E904:E906" si="95">D904*57%</f>
        <v>186.95999999999998</v>
      </c>
    </row>
    <row r="905" spans="1:5">
      <c r="A905" s="87"/>
      <c r="B905" s="24"/>
      <c r="C905" s="37" t="s">
        <v>681</v>
      </c>
      <c r="D905" s="151">
        <v>419</v>
      </c>
      <c r="E905" s="145">
        <f t="shared" si="95"/>
        <v>238.82999999999998</v>
      </c>
    </row>
    <row r="906" spans="1:5">
      <c r="A906" s="87"/>
      <c r="B906" s="47"/>
      <c r="C906" s="10" t="s">
        <v>682</v>
      </c>
      <c r="D906" s="149">
        <v>1281</v>
      </c>
      <c r="E906" s="180">
        <f t="shared" si="95"/>
        <v>730.17</v>
      </c>
    </row>
    <row r="907" spans="1:5">
      <c r="A907" s="87"/>
      <c r="B907" s="25"/>
      <c r="C907" s="16"/>
      <c r="D907" s="147"/>
    </row>
    <row r="908" spans="1:5" ht="18">
      <c r="A908" s="87"/>
      <c r="B908" s="27" t="s">
        <v>683</v>
      </c>
      <c r="C908" s="73"/>
      <c r="D908" s="147"/>
    </row>
    <row r="909" spans="1:5">
      <c r="A909" s="121"/>
      <c r="B909" s="24" t="s">
        <v>5</v>
      </c>
      <c r="C909" s="10" t="s">
        <v>684</v>
      </c>
      <c r="D909" s="149">
        <v>307</v>
      </c>
      <c r="E909" s="180">
        <f>D909*57%</f>
        <v>174.98999999999998</v>
      </c>
    </row>
    <row r="910" spans="1:5">
      <c r="A910" s="107"/>
      <c r="B910" s="24"/>
      <c r="C910" s="9"/>
      <c r="D910" s="150"/>
    </row>
    <row r="911" spans="1:5">
      <c r="A911" s="107"/>
      <c r="B911" s="24" t="s">
        <v>227</v>
      </c>
      <c r="C911" s="48" t="s">
        <v>685</v>
      </c>
      <c r="D911" s="149">
        <v>308</v>
      </c>
      <c r="E911" s="180">
        <f t="shared" ref="E911:E912" si="96">D911*57%</f>
        <v>175.55999999999997</v>
      </c>
    </row>
    <row r="912" spans="1:5">
      <c r="A912" s="107"/>
      <c r="B912" s="24"/>
      <c r="C912" s="9" t="s">
        <v>686</v>
      </c>
      <c r="D912" s="150">
        <v>454</v>
      </c>
      <c r="E912" s="145">
        <f t="shared" si="96"/>
        <v>258.77999999999997</v>
      </c>
    </row>
    <row r="913" spans="1:5">
      <c r="A913" s="107"/>
      <c r="B913" s="24"/>
      <c r="C913" s="9"/>
      <c r="D913" s="150"/>
    </row>
    <row r="914" spans="1:5">
      <c r="A914" s="107"/>
      <c r="B914" s="24" t="s">
        <v>13</v>
      </c>
      <c r="C914" s="48" t="s">
        <v>687</v>
      </c>
      <c r="D914" s="149"/>
      <c r="E914" s="180"/>
    </row>
    <row r="915" spans="1:5">
      <c r="A915" s="107"/>
      <c r="B915" s="47"/>
      <c r="C915" s="35" t="s">
        <v>688</v>
      </c>
      <c r="D915" s="150">
        <v>399</v>
      </c>
      <c r="E915" s="145">
        <f>D915*57%</f>
        <v>227.42999999999998</v>
      </c>
    </row>
    <row r="916" spans="1:5">
      <c r="A916" s="107"/>
      <c r="B916" s="25"/>
      <c r="C916" s="1"/>
      <c r="D916" s="147"/>
    </row>
    <row r="917" spans="1:5" ht="18">
      <c r="A917" s="107"/>
      <c r="B917" s="27" t="s">
        <v>689</v>
      </c>
      <c r="C917" s="16"/>
      <c r="D917" s="147"/>
    </row>
    <row r="918" spans="1:5">
      <c r="A918" s="107"/>
      <c r="B918" s="24" t="s">
        <v>5</v>
      </c>
      <c r="C918" s="10" t="s">
        <v>690</v>
      </c>
      <c r="D918" s="149">
        <v>129</v>
      </c>
      <c r="E918" s="180">
        <f t="shared" ref="E918:E919" si="97">D918*57%</f>
        <v>73.529999999999987</v>
      </c>
    </row>
    <row r="919" spans="1:5">
      <c r="A919" s="107"/>
      <c r="B919" s="24"/>
      <c r="C919" s="9" t="s">
        <v>691</v>
      </c>
      <c r="D919" s="150">
        <v>146</v>
      </c>
      <c r="E919" s="145">
        <f t="shared" si="97"/>
        <v>83.22</v>
      </c>
    </row>
    <row r="920" spans="1:5">
      <c r="A920" s="107"/>
      <c r="B920" s="24"/>
      <c r="C920" s="9"/>
      <c r="D920" s="150"/>
    </row>
    <row r="921" spans="1:5">
      <c r="A921" s="107"/>
      <c r="B921" s="24" t="s">
        <v>135</v>
      </c>
      <c r="C921" s="10" t="s">
        <v>692</v>
      </c>
      <c r="D921" s="149">
        <v>147</v>
      </c>
      <c r="E921" s="180">
        <f>D921*57%</f>
        <v>83.789999999999992</v>
      </c>
    </row>
    <row r="922" spans="1:5">
      <c r="A922" s="107"/>
      <c r="B922" s="24"/>
      <c r="C922" s="9"/>
      <c r="D922" s="150"/>
    </row>
    <row r="923" spans="1:5">
      <c r="A923" s="107"/>
      <c r="B923" s="24" t="s">
        <v>227</v>
      </c>
      <c r="C923" s="10" t="s">
        <v>693</v>
      </c>
      <c r="D923" s="149">
        <v>145</v>
      </c>
      <c r="E923" s="180">
        <f>D923*57%</f>
        <v>82.649999999999991</v>
      </c>
    </row>
    <row r="924" spans="1:5">
      <c r="A924" s="107"/>
      <c r="B924" s="25"/>
      <c r="C924" s="16"/>
      <c r="D924" s="147"/>
    </row>
    <row r="925" spans="1:5" ht="21">
      <c r="A925" s="98" t="e" vm="7">
        <v>#VALUE!</v>
      </c>
      <c r="B925" s="102" t="s">
        <v>694</v>
      </c>
      <c r="C925" s="5"/>
      <c r="D925" s="147"/>
    </row>
    <row r="926" spans="1:5" ht="20.399999999999999">
      <c r="A926" s="98"/>
      <c r="B926" s="99" t="s">
        <v>695</v>
      </c>
      <c r="C926" s="5"/>
      <c r="D926" s="177"/>
    </row>
    <row r="927" spans="1:5">
      <c r="A927" s="98"/>
      <c r="B927" s="100"/>
      <c r="C927" s="5"/>
      <c r="D927" s="177"/>
    </row>
    <row r="928" spans="1:5" ht="18">
      <c r="A928" s="107"/>
      <c r="B928" s="133" t="s">
        <v>696</v>
      </c>
      <c r="C928" s="85"/>
      <c r="D928" s="147"/>
    </row>
    <row r="929" spans="1:5">
      <c r="A929" s="107"/>
      <c r="B929" s="24" t="s">
        <v>5</v>
      </c>
      <c r="C929" s="8" t="s">
        <v>697</v>
      </c>
      <c r="D929" s="149">
        <v>71</v>
      </c>
      <c r="E929" s="180">
        <f t="shared" ref="E929:E932" si="98">D929*57%</f>
        <v>40.47</v>
      </c>
    </row>
    <row r="930" spans="1:5">
      <c r="A930" s="107"/>
      <c r="B930" s="24"/>
      <c r="C930" s="15" t="s">
        <v>698</v>
      </c>
      <c r="D930" s="150">
        <v>47</v>
      </c>
      <c r="E930" s="145">
        <f t="shared" si="98"/>
        <v>26.79</v>
      </c>
    </row>
    <row r="931" spans="1:5" ht="16.2">
      <c r="A931" s="107"/>
      <c r="B931" s="134"/>
      <c r="C931" s="8" t="s">
        <v>699</v>
      </c>
      <c r="D931" s="149">
        <v>71</v>
      </c>
      <c r="E931" s="180">
        <f t="shared" si="98"/>
        <v>40.47</v>
      </c>
    </row>
    <row r="932" spans="1:5" ht="16.2">
      <c r="A932" s="107"/>
      <c r="B932" s="134"/>
      <c r="C932" s="15" t="s">
        <v>700</v>
      </c>
      <c r="D932" s="150">
        <v>47</v>
      </c>
      <c r="E932" s="145">
        <f t="shared" si="98"/>
        <v>26.79</v>
      </c>
    </row>
    <row r="933" spans="1:5" ht="16.2">
      <c r="A933" s="107"/>
      <c r="B933" s="134"/>
      <c r="C933" s="15"/>
      <c r="D933" s="150"/>
    </row>
    <row r="934" spans="1:5">
      <c r="A934" s="94"/>
      <c r="B934" s="24" t="s">
        <v>135</v>
      </c>
      <c r="C934" s="8" t="s">
        <v>701</v>
      </c>
      <c r="D934" s="149">
        <v>71</v>
      </c>
      <c r="E934" s="180">
        <f>D934*57%</f>
        <v>40.47</v>
      </c>
    </row>
    <row r="935" spans="1:5" ht="16.2">
      <c r="A935" s="94"/>
      <c r="B935" s="134"/>
      <c r="C935" s="15"/>
      <c r="D935" s="150"/>
    </row>
    <row r="936" spans="1:5">
      <c r="A936" s="94"/>
      <c r="B936" s="24" t="s">
        <v>22</v>
      </c>
      <c r="C936" s="8" t="s">
        <v>702</v>
      </c>
      <c r="D936" s="149">
        <v>71</v>
      </c>
      <c r="E936" s="180">
        <f t="shared" ref="E936:E940" si="99">D936*57%</f>
        <v>40.47</v>
      </c>
    </row>
    <row r="937" spans="1:5" ht="16.2">
      <c r="A937" s="94"/>
      <c r="B937" s="135"/>
      <c r="C937" s="15" t="s">
        <v>703</v>
      </c>
      <c r="D937" s="150">
        <v>47</v>
      </c>
      <c r="E937" s="145">
        <f t="shared" si="99"/>
        <v>26.79</v>
      </c>
    </row>
    <row r="938" spans="1:5">
      <c r="A938" s="107"/>
      <c r="B938" s="136"/>
      <c r="C938" s="8" t="s">
        <v>704</v>
      </c>
      <c r="D938" s="149">
        <v>71</v>
      </c>
      <c r="E938" s="180">
        <f t="shared" si="99"/>
        <v>40.47</v>
      </c>
    </row>
    <row r="939" spans="1:5">
      <c r="A939" s="107"/>
      <c r="B939" s="136"/>
      <c r="C939" s="15" t="s">
        <v>705</v>
      </c>
      <c r="D939" s="150">
        <v>47</v>
      </c>
      <c r="E939" s="145">
        <f t="shared" si="99"/>
        <v>26.79</v>
      </c>
    </row>
    <row r="940" spans="1:5">
      <c r="A940" s="107"/>
      <c r="B940" s="136"/>
      <c r="C940" s="8" t="s">
        <v>706</v>
      </c>
      <c r="D940" s="149">
        <v>71</v>
      </c>
      <c r="E940" s="180">
        <f t="shared" si="99"/>
        <v>40.47</v>
      </c>
    </row>
    <row r="941" spans="1:5">
      <c r="A941" s="107"/>
      <c r="B941" s="136"/>
      <c r="C941" s="85"/>
      <c r="D941" s="147"/>
    </row>
    <row r="942" spans="1:5" ht="20.399999999999999">
      <c r="A942" s="98" t="e" vm="7">
        <v>#VALUE!</v>
      </c>
      <c r="B942" s="99" t="s">
        <v>707</v>
      </c>
      <c r="C942" s="5"/>
      <c r="D942" s="147"/>
    </row>
    <row r="943" spans="1:5">
      <c r="A943" s="107"/>
      <c r="B943" s="25"/>
      <c r="C943" s="16"/>
      <c r="D943" s="147"/>
    </row>
    <row r="944" spans="1:5" ht="18">
      <c r="A944" s="107"/>
      <c r="B944" s="27" t="s">
        <v>696</v>
      </c>
      <c r="C944" s="16"/>
      <c r="D944" s="147"/>
    </row>
    <row r="945" spans="1:5">
      <c r="A945" s="107"/>
      <c r="B945" s="47" t="s">
        <v>22</v>
      </c>
      <c r="C945" s="10" t="s">
        <v>708</v>
      </c>
      <c r="D945" s="149">
        <v>115</v>
      </c>
      <c r="E945" s="180">
        <f>D945*57%</f>
        <v>65.55</v>
      </c>
    </row>
    <row r="946" spans="1:5">
      <c r="A946" s="107"/>
      <c r="B946" s="136"/>
      <c r="C946" s="85"/>
      <c r="D946" s="147"/>
    </row>
    <row r="947" spans="1:5" ht="20.399999999999999">
      <c r="A947" s="98" t="e" vm="7">
        <v>#VALUE!</v>
      </c>
      <c r="B947" s="99" t="s">
        <v>709</v>
      </c>
      <c r="C947" s="5"/>
      <c r="D947" s="147"/>
    </row>
    <row r="948" spans="1:5">
      <c r="A948" s="87"/>
      <c r="B948" s="25"/>
      <c r="C948" s="16"/>
      <c r="D948" s="147"/>
    </row>
    <row r="949" spans="1:5" ht="18">
      <c r="A949" s="87"/>
      <c r="B949" s="27" t="s">
        <v>710</v>
      </c>
      <c r="C949" s="16"/>
      <c r="D949" s="147"/>
    </row>
    <row r="950" spans="1:5">
      <c r="A950" s="87"/>
      <c r="B950" s="24" t="s">
        <v>5</v>
      </c>
      <c r="C950" s="10" t="s">
        <v>711</v>
      </c>
      <c r="D950" s="149">
        <v>98</v>
      </c>
      <c r="E950" s="180">
        <f t="shared" ref="E950:E953" si="100">D950*57%</f>
        <v>55.859999999999992</v>
      </c>
    </row>
    <row r="951" spans="1:5">
      <c r="A951" s="87"/>
      <c r="B951" s="24"/>
      <c r="C951" s="35" t="s">
        <v>712</v>
      </c>
      <c r="D951" s="150">
        <v>98</v>
      </c>
      <c r="E951" s="145">
        <f t="shared" si="100"/>
        <v>55.859999999999992</v>
      </c>
    </row>
    <row r="952" spans="1:5">
      <c r="A952" s="87"/>
      <c r="B952" s="24"/>
      <c r="C952" s="10" t="s">
        <v>713</v>
      </c>
      <c r="D952" s="149">
        <v>61</v>
      </c>
      <c r="E952" s="180">
        <f t="shared" si="100"/>
        <v>34.769999999999996</v>
      </c>
    </row>
    <row r="953" spans="1:5">
      <c r="A953" s="87"/>
      <c r="B953" s="24"/>
      <c r="C953" s="37" t="s">
        <v>714</v>
      </c>
      <c r="D953" s="151">
        <v>224</v>
      </c>
      <c r="E953" s="145">
        <f t="shared" si="100"/>
        <v>127.67999999999999</v>
      </c>
    </row>
    <row r="954" spans="1:5">
      <c r="A954" s="87"/>
      <c r="B954" s="24"/>
      <c r="C954" s="9"/>
      <c r="D954" s="150"/>
    </row>
    <row r="955" spans="1:5">
      <c r="A955" s="87"/>
      <c r="B955" s="24" t="s">
        <v>135</v>
      </c>
      <c r="C955" s="10" t="s">
        <v>715</v>
      </c>
      <c r="D955" s="149">
        <v>98</v>
      </c>
      <c r="E955" s="180">
        <f>D955*57%</f>
        <v>55.859999999999992</v>
      </c>
    </row>
    <row r="956" spans="1:5">
      <c r="A956" s="87"/>
      <c r="B956" s="24"/>
      <c r="C956" s="9"/>
      <c r="D956" s="150"/>
    </row>
    <row r="957" spans="1:5">
      <c r="A957" s="87"/>
      <c r="B957" s="24" t="s">
        <v>22</v>
      </c>
      <c r="C957" s="10" t="s">
        <v>716</v>
      </c>
      <c r="D957" s="149">
        <v>98</v>
      </c>
      <c r="E957" s="180">
        <f t="shared" ref="E957:E970" si="101">D957*57%</f>
        <v>55.859999999999992</v>
      </c>
    </row>
    <row r="958" spans="1:5">
      <c r="A958" s="87"/>
      <c r="B958" s="24"/>
      <c r="C958" s="9" t="s">
        <v>717</v>
      </c>
      <c r="D958" s="150">
        <v>98</v>
      </c>
      <c r="E958" s="145">
        <f t="shared" si="101"/>
        <v>55.859999999999992</v>
      </c>
    </row>
    <row r="959" spans="1:5">
      <c r="A959" s="87"/>
      <c r="B959" s="24"/>
      <c r="C959" s="10" t="s">
        <v>718</v>
      </c>
      <c r="D959" s="149">
        <v>98</v>
      </c>
      <c r="E959" s="180">
        <f t="shared" si="101"/>
        <v>55.859999999999992</v>
      </c>
    </row>
    <row r="960" spans="1:5">
      <c r="A960" s="87"/>
      <c r="B960" s="24"/>
      <c r="C960" s="37" t="s">
        <v>719</v>
      </c>
      <c r="D960" s="151">
        <v>98</v>
      </c>
      <c r="E960" s="145">
        <f t="shared" si="101"/>
        <v>55.859999999999992</v>
      </c>
    </row>
    <row r="961" spans="1:5">
      <c r="A961" s="87"/>
      <c r="B961" s="24"/>
      <c r="C961" s="48" t="s">
        <v>720</v>
      </c>
      <c r="D961" s="149">
        <v>61</v>
      </c>
      <c r="E961" s="180">
        <f t="shared" si="101"/>
        <v>34.769999999999996</v>
      </c>
    </row>
    <row r="962" spans="1:5">
      <c r="A962" s="87"/>
      <c r="B962" s="24"/>
      <c r="C962" s="22" t="s">
        <v>721</v>
      </c>
      <c r="D962" s="151">
        <v>98</v>
      </c>
      <c r="E962" s="145">
        <f t="shared" si="101"/>
        <v>55.859999999999992</v>
      </c>
    </row>
    <row r="963" spans="1:5">
      <c r="A963" s="87"/>
      <c r="B963" s="24"/>
      <c r="C963" s="48" t="s">
        <v>722</v>
      </c>
      <c r="D963" s="149">
        <v>61</v>
      </c>
      <c r="E963" s="180">
        <f t="shared" si="101"/>
        <v>34.769999999999996</v>
      </c>
    </row>
    <row r="964" spans="1:5">
      <c r="A964" s="87"/>
      <c r="B964" s="24"/>
      <c r="C964" s="22" t="s">
        <v>723</v>
      </c>
      <c r="D964" s="151">
        <v>130</v>
      </c>
      <c r="E964" s="145">
        <f t="shared" si="101"/>
        <v>74.099999999999994</v>
      </c>
    </row>
    <row r="965" spans="1:5">
      <c r="A965" s="87"/>
      <c r="B965" s="24"/>
      <c r="C965" s="48" t="s">
        <v>724</v>
      </c>
      <c r="D965" s="149">
        <v>68</v>
      </c>
      <c r="E965" s="180">
        <f t="shared" si="101"/>
        <v>38.76</v>
      </c>
    </row>
    <row r="966" spans="1:5">
      <c r="A966" s="87"/>
      <c r="B966" s="24"/>
      <c r="C966" s="22" t="s">
        <v>725</v>
      </c>
      <c r="D966" s="151">
        <v>98</v>
      </c>
      <c r="E966" s="145">
        <f t="shared" si="101"/>
        <v>55.859999999999992</v>
      </c>
    </row>
    <row r="967" spans="1:5">
      <c r="A967" s="87"/>
      <c r="B967" s="24"/>
      <c r="C967" s="48" t="s">
        <v>726</v>
      </c>
      <c r="D967" s="149">
        <v>61</v>
      </c>
      <c r="E967" s="180">
        <f t="shared" si="101"/>
        <v>34.769999999999996</v>
      </c>
    </row>
    <row r="968" spans="1:5">
      <c r="A968" s="87"/>
      <c r="B968" s="24"/>
      <c r="C968" s="22" t="s">
        <v>727</v>
      </c>
      <c r="D968" s="151">
        <v>158</v>
      </c>
      <c r="E968" s="145">
        <f t="shared" si="101"/>
        <v>90.059999999999988</v>
      </c>
    </row>
    <row r="969" spans="1:5">
      <c r="A969" s="87"/>
      <c r="B969" s="24"/>
      <c r="C969" s="48" t="s">
        <v>728</v>
      </c>
      <c r="D969" s="149">
        <v>158</v>
      </c>
      <c r="E969" s="180">
        <f t="shared" si="101"/>
        <v>90.059999999999988</v>
      </c>
    </row>
    <row r="970" spans="1:5">
      <c r="A970" s="87"/>
      <c r="B970" s="24"/>
      <c r="C970" s="22" t="s">
        <v>729</v>
      </c>
      <c r="D970" s="151">
        <v>170</v>
      </c>
      <c r="E970" s="145">
        <f t="shared" si="101"/>
        <v>96.899999999999991</v>
      </c>
    </row>
    <row r="971" spans="1:5">
      <c r="A971" s="87"/>
      <c r="B971" s="24"/>
      <c r="C971" s="48" t="s">
        <v>730</v>
      </c>
      <c r="D971" s="152" t="s">
        <v>11</v>
      </c>
      <c r="E971" s="181" t="s">
        <v>11</v>
      </c>
    </row>
    <row r="972" spans="1:5">
      <c r="A972" s="87"/>
      <c r="B972" s="24"/>
      <c r="C972" s="22" t="s">
        <v>731</v>
      </c>
      <c r="D972" s="151">
        <v>177</v>
      </c>
      <c r="E972" s="145">
        <f t="shared" ref="E972:E974" si="102">D972*57%</f>
        <v>100.88999999999999</v>
      </c>
    </row>
    <row r="973" spans="1:5">
      <c r="A973" s="87"/>
      <c r="B973" s="24"/>
      <c r="C973" s="48" t="s">
        <v>732</v>
      </c>
      <c r="D973" s="149">
        <v>224</v>
      </c>
      <c r="E973" s="180">
        <f t="shared" si="102"/>
        <v>127.67999999999999</v>
      </c>
    </row>
    <row r="974" spans="1:5">
      <c r="A974" s="87"/>
      <c r="B974" s="24"/>
      <c r="C974" s="22" t="s">
        <v>733</v>
      </c>
      <c r="D974" s="151">
        <v>273</v>
      </c>
      <c r="E974" s="145">
        <f t="shared" si="102"/>
        <v>155.60999999999999</v>
      </c>
    </row>
    <row r="975" spans="1:5">
      <c r="A975" s="87"/>
      <c r="B975" s="24"/>
      <c r="C975" s="22"/>
      <c r="D975" s="151"/>
    </row>
    <row r="976" spans="1:5" ht="20.399999999999999">
      <c r="A976" s="98" t="e" vm="7">
        <v>#VALUE!</v>
      </c>
      <c r="B976" s="99" t="s">
        <v>734</v>
      </c>
      <c r="C976" s="5"/>
      <c r="D976" s="147"/>
    </row>
    <row r="977" spans="1:5" ht="18">
      <c r="A977" s="107"/>
      <c r="B977" s="25"/>
      <c r="C977" s="17"/>
      <c r="D977" s="177"/>
    </row>
    <row r="978" spans="1:5" ht="18">
      <c r="A978" s="107"/>
      <c r="B978" s="27" t="s">
        <v>696</v>
      </c>
      <c r="C978" s="16"/>
      <c r="D978" s="177"/>
    </row>
    <row r="979" spans="1:5">
      <c r="A979" s="107"/>
      <c r="B979" s="94"/>
      <c r="C979" s="50"/>
      <c r="D979" s="177"/>
    </row>
    <row r="980" spans="1:5">
      <c r="A980" s="107"/>
      <c r="B980" s="24" t="s">
        <v>22</v>
      </c>
      <c r="C980" s="10" t="s">
        <v>735</v>
      </c>
      <c r="D980" s="149">
        <v>115</v>
      </c>
      <c r="E980" s="180">
        <f t="shared" ref="E980:E983" si="103">D980*57%</f>
        <v>65.55</v>
      </c>
    </row>
    <row r="981" spans="1:5">
      <c r="A981" s="107"/>
      <c r="B981" s="47"/>
      <c r="C981" s="22" t="s">
        <v>736</v>
      </c>
      <c r="D981" s="151">
        <v>115</v>
      </c>
      <c r="E981" s="145">
        <f t="shared" si="103"/>
        <v>65.55</v>
      </c>
    </row>
    <row r="982" spans="1:5">
      <c r="A982" s="107"/>
      <c r="B982" s="47"/>
      <c r="C982" s="10" t="s">
        <v>737</v>
      </c>
      <c r="D982" s="149">
        <v>161</v>
      </c>
      <c r="E982" s="180">
        <f t="shared" si="103"/>
        <v>91.77</v>
      </c>
    </row>
    <row r="983" spans="1:5">
      <c r="A983" s="107"/>
      <c r="B983" s="47"/>
      <c r="C983" s="22" t="s">
        <v>738</v>
      </c>
      <c r="D983" s="151">
        <v>161</v>
      </c>
      <c r="E983" s="145">
        <f t="shared" si="103"/>
        <v>91.77</v>
      </c>
    </row>
    <row r="984" spans="1:5">
      <c r="A984" s="107"/>
      <c r="B984" s="25"/>
      <c r="C984" s="16"/>
      <c r="D984" s="147"/>
    </row>
    <row r="985" spans="1:5" ht="20.399999999999999">
      <c r="A985" s="98" t="e" vm="7">
        <v>#VALUE!</v>
      </c>
      <c r="B985" s="99" t="s">
        <v>739</v>
      </c>
      <c r="C985" s="5"/>
      <c r="D985" s="147"/>
    </row>
    <row r="986" spans="1:5" ht="18">
      <c r="A986" s="107"/>
      <c r="B986" s="25"/>
      <c r="C986" s="17"/>
      <c r="D986" s="147"/>
    </row>
    <row r="987" spans="1:5" ht="18">
      <c r="A987" s="107"/>
      <c r="B987" s="27" t="s">
        <v>740</v>
      </c>
      <c r="C987" s="73"/>
      <c r="D987" s="147"/>
    </row>
    <row r="988" spans="1:5">
      <c r="A988" s="107"/>
      <c r="B988" s="24" t="s">
        <v>22</v>
      </c>
      <c r="C988" s="8" t="s">
        <v>741</v>
      </c>
      <c r="D988" s="149">
        <v>108</v>
      </c>
      <c r="E988" s="180">
        <f t="shared" ref="E988:E996" si="104">D988*57%</f>
        <v>61.559999999999995</v>
      </c>
    </row>
    <row r="989" spans="1:5">
      <c r="A989" s="107"/>
      <c r="B989" s="137"/>
      <c r="C989" s="68" t="s">
        <v>742</v>
      </c>
      <c r="D989" s="150">
        <v>182</v>
      </c>
      <c r="E989" s="145">
        <f t="shared" si="104"/>
        <v>103.74</v>
      </c>
    </row>
    <row r="990" spans="1:5">
      <c r="A990" s="107"/>
      <c r="B990" s="47"/>
      <c r="C990" s="19" t="s">
        <v>743</v>
      </c>
      <c r="D990" s="149">
        <v>196</v>
      </c>
      <c r="E990" s="180">
        <f t="shared" si="104"/>
        <v>111.71999999999998</v>
      </c>
    </row>
    <row r="991" spans="1:5">
      <c r="A991" s="107"/>
      <c r="B991" s="47"/>
      <c r="C991" s="20" t="s">
        <v>744</v>
      </c>
      <c r="D991" s="151">
        <v>235</v>
      </c>
      <c r="E991" s="145">
        <f t="shared" si="104"/>
        <v>133.94999999999999</v>
      </c>
    </row>
    <row r="992" spans="1:5">
      <c r="A992" s="107"/>
      <c r="B992" s="47"/>
      <c r="C992" s="19" t="s">
        <v>745</v>
      </c>
      <c r="D992" s="149">
        <v>235</v>
      </c>
      <c r="E992" s="180">
        <f t="shared" si="104"/>
        <v>133.94999999999999</v>
      </c>
    </row>
    <row r="993" spans="1:5">
      <c r="A993" s="107"/>
      <c r="B993" s="22"/>
      <c r="C993" s="11" t="s">
        <v>746</v>
      </c>
      <c r="D993" s="151">
        <v>304</v>
      </c>
      <c r="E993" s="145">
        <f t="shared" si="104"/>
        <v>173.27999999999997</v>
      </c>
    </row>
    <row r="994" spans="1:5">
      <c r="A994" s="107"/>
      <c r="B994" s="47"/>
      <c r="C994" s="8" t="s">
        <v>747</v>
      </c>
      <c r="D994" s="149">
        <v>603</v>
      </c>
      <c r="E994" s="180">
        <f t="shared" si="104"/>
        <v>343.71</v>
      </c>
    </row>
    <row r="995" spans="1:5">
      <c r="A995" s="107"/>
      <c r="B995" s="47"/>
      <c r="C995" s="11" t="s">
        <v>748</v>
      </c>
      <c r="D995" s="151">
        <v>603</v>
      </c>
      <c r="E995" s="145">
        <f t="shared" si="104"/>
        <v>343.71</v>
      </c>
    </row>
    <row r="996" spans="1:5">
      <c r="A996" s="107"/>
      <c r="B996" s="47"/>
      <c r="C996" s="19" t="s">
        <v>749</v>
      </c>
      <c r="D996" s="149">
        <v>603</v>
      </c>
      <c r="E996" s="180">
        <f t="shared" si="104"/>
        <v>343.71</v>
      </c>
    </row>
    <row r="997" spans="1:5">
      <c r="A997" s="107"/>
      <c r="B997" s="47"/>
      <c r="C997" s="68"/>
      <c r="D997" s="150"/>
    </row>
    <row r="998" spans="1:5">
      <c r="A998" s="107"/>
      <c r="B998" s="47"/>
      <c r="C998" s="68"/>
      <c r="D998" s="150"/>
    </row>
    <row r="999" spans="1:5">
      <c r="A999" s="107"/>
      <c r="B999" s="47"/>
      <c r="C999" s="68"/>
      <c r="D999" s="150"/>
    </row>
    <row r="1000" spans="1:5">
      <c r="A1000" s="107"/>
      <c r="B1000" s="25"/>
      <c r="C1000" s="16"/>
      <c r="D1000" s="147"/>
    </row>
    <row r="1001" spans="1:5" ht="20.399999999999999">
      <c r="A1001" s="98" t="e" vm="7">
        <v>#VALUE!</v>
      </c>
      <c r="B1001" s="99" t="s">
        <v>750</v>
      </c>
      <c r="C1001" s="5"/>
      <c r="D1001" s="147"/>
    </row>
    <row r="1002" spans="1:5">
      <c r="A1002" s="107"/>
      <c r="B1002" s="25"/>
      <c r="C1002" s="16"/>
      <c r="D1002" s="147"/>
    </row>
    <row r="1003" spans="1:5" ht="18">
      <c r="A1003" s="107"/>
      <c r="B1003" s="27" t="s">
        <v>696</v>
      </c>
      <c r="C1003" s="16"/>
      <c r="D1003" s="147"/>
    </row>
    <row r="1004" spans="1:5">
      <c r="A1004" s="107"/>
      <c r="B1004" s="24" t="s">
        <v>91</v>
      </c>
      <c r="C1004" s="10" t="s">
        <v>751</v>
      </c>
      <c r="D1004" s="149">
        <v>119</v>
      </c>
      <c r="E1004" s="180">
        <f>D1004*57%</f>
        <v>67.83</v>
      </c>
    </row>
    <row r="1005" spans="1:5">
      <c r="A1005" s="107"/>
      <c r="B1005" s="24"/>
      <c r="C1005" s="9"/>
      <c r="D1005" s="150"/>
    </row>
    <row r="1006" spans="1:5">
      <c r="A1006" s="107"/>
      <c r="B1006" s="24" t="s">
        <v>503</v>
      </c>
      <c r="C1006" s="10" t="s">
        <v>752</v>
      </c>
      <c r="D1006" s="149">
        <v>119</v>
      </c>
      <c r="E1006" s="180">
        <f>D1006*57%</f>
        <v>67.83</v>
      </c>
    </row>
    <row r="1007" spans="1:5">
      <c r="A1007" s="107"/>
      <c r="B1007" s="24"/>
      <c r="C1007" s="37"/>
      <c r="D1007" s="151"/>
    </row>
    <row r="1008" spans="1:5">
      <c r="A1008" s="107"/>
      <c r="B1008" s="24" t="s">
        <v>13</v>
      </c>
      <c r="C1008" s="10" t="s">
        <v>753</v>
      </c>
      <c r="D1008" s="149">
        <v>128</v>
      </c>
      <c r="E1008" s="180">
        <f>D1008*57%</f>
        <v>72.959999999999994</v>
      </c>
    </row>
    <row r="1009" spans="1:5">
      <c r="A1009" s="107"/>
      <c r="B1009" s="25"/>
      <c r="C1009" s="16"/>
      <c r="D1009" s="147"/>
    </row>
    <row r="1010" spans="1:5" ht="20.399999999999999">
      <c r="A1010" s="98" t="e" vm="7">
        <v>#VALUE!</v>
      </c>
      <c r="B1010" s="99" t="s">
        <v>754</v>
      </c>
      <c r="C1010" s="5"/>
      <c r="D1010" s="147"/>
    </row>
    <row r="1011" spans="1:5" ht="18">
      <c r="A1011" s="107"/>
      <c r="B1011" s="25"/>
      <c r="C1011" s="17"/>
      <c r="D1011" s="147"/>
    </row>
    <row r="1012" spans="1:5" ht="18">
      <c r="A1012" s="107"/>
      <c r="B1012" s="27" t="s">
        <v>755</v>
      </c>
      <c r="C1012" s="73"/>
      <c r="D1012" s="147"/>
    </row>
    <row r="1013" spans="1:5">
      <c r="A1013" s="107"/>
      <c r="B1013" s="24" t="s">
        <v>5</v>
      </c>
      <c r="C1013" s="48" t="s">
        <v>756</v>
      </c>
      <c r="D1013" s="149">
        <v>93</v>
      </c>
      <c r="E1013" s="180">
        <f t="shared" ref="E1013:E1014" si="105">D1013*57%</f>
        <v>53.01</v>
      </c>
    </row>
    <row r="1014" spans="1:5">
      <c r="A1014" s="107"/>
      <c r="B1014" s="24"/>
      <c r="C1014" s="35" t="s">
        <v>757</v>
      </c>
      <c r="D1014" s="150">
        <v>93</v>
      </c>
      <c r="E1014" s="145">
        <f t="shared" si="105"/>
        <v>53.01</v>
      </c>
    </row>
    <row r="1015" spans="1:5">
      <c r="A1015" s="107"/>
      <c r="B1015" s="138"/>
      <c r="C1015" s="86"/>
      <c r="D1015" s="150"/>
    </row>
    <row r="1016" spans="1:5">
      <c r="A1016" s="107"/>
      <c r="B1016" s="24" t="s">
        <v>22</v>
      </c>
      <c r="C1016" s="48" t="s">
        <v>758</v>
      </c>
      <c r="D1016" s="149">
        <v>93</v>
      </c>
      <c r="E1016" s="180">
        <f t="shared" ref="E1016:E1018" si="106">D1016*57%</f>
        <v>53.01</v>
      </c>
    </row>
    <row r="1017" spans="1:5">
      <c r="A1017" s="87"/>
      <c r="B1017" s="47"/>
      <c r="C1017" s="35" t="s">
        <v>759</v>
      </c>
      <c r="D1017" s="150">
        <v>93</v>
      </c>
      <c r="E1017" s="145">
        <f t="shared" si="106"/>
        <v>53.01</v>
      </c>
    </row>
    <row r="1018" spans="1:5">
      <c r="A1018" s="87"/>
      <c r="B1018" s="47"/>
      <c r="C1018" s="48" t="s">
        <v>760</v>
      </c>
      <c r="D1018" s="149">
        <v>143</v>
      </c>
      <c r="E1018" s="180">
        <f t="shared" si="106"/>
        <v>81.509999999999991</v>
      </c>
    </row>
    <row r="1019" spans="1:5">
      <c r="A1019" s="87"/>
      <c r="B1019" s="25"/>
      <c r="C1019" s="76"/>
      <c r="D1019" s="147"/>
    </row>
    <row r="1020" spans="1:5" ht="20.399999999999999">
      <c r="A1020" s="98" t="e" vm="7">
        <v>#VALUE!</v>
      </c>
      <c r="B1020" s="99" t="s">
        <v>761</v>
      </c>
      <c r="C1020" s="5"/>
      <c r="D1020" s="147"/>
    </row>
    <row r="1021" spans="1:5" ht="18">
      <c r="A1021" s="87"/>
      <c r="B1021" s="25"/>
      <c r="C1021" s="17"/>
      <c r="D1021" s="147"/>
    </row>
    <row r="1022" spans="1:5" ht="18">
      <c r="A1022" s="87"/>
      <c r="B1022" s="27" t="s">
        <v>740</v>
      </c>
      <c r="C1022" s="73"/>
      <c r="D1022" s="147"/>
    </row>
    <row r="1023" spans="1:5">
      <c r="A1023" s="94"/>
      <c r="B1023" s="47" t="s">
        <v>5</v>
      </c>
      <c r="C1023" s="8" t="s">
        <v>762</v>
      </c>
      <c r="D1023" s="149">
        <v>175</v>
      </c>
      <c r="E1023" s="180">
        <f>D1023*57%</f>
        <v>99.749999999999986</v>
      </c>
    </row>
    <row r="1024" spans="1:5">
      <c r="A1024" s="87"/>
      <c r="B1024" s="25"/>
      <c r="C1024" s="16"/>
      <c r="D1024" s="147"/>
    </row>
    <row r="1025" spans="1:5" ht="21">
      <c r="A1025" s="98" t="e" vm="8">
        <v>#VALUE!</v>
      </c>
      <c r="B1025" s="102" t="s">
        <v>763</v>
      </c>
      <c r="C1025" s="5"/>
      <c r="D1025" s="147"/>
    </row>
    <row r="1026" spans="1:5" ht="20.399999999999999">
      <c r="A1026" s="98"/>
      <c r="B1026" s="99" t="s">
        <v>764</v>
      </c>
      <c r="C1026" s="5"/>
      <c r="D1026" s="147"/>
    </row>
    <row r="1027" spans="1:5">
      <c r="A1027" s="98"/>
      <c r="B1027" s="100"/>
      <c r="C1027" s="5"/>
      <c r="D1027" s="147"/>
    </row>
    <row r="1028" spans="1:5" ht="18">
      <c r="A1028" s="107"/>
      <c r="B1028" s="27" t="s">
        <v>765</v>
      </c>
      <c r="C1028" s="73"/>
      <c r="D1028" s="147"/>
    </row>
    <row r="1029" spans="1:5">
      <c r="A1029" s="107"/>
      <c r="B1029" s="24" t="s">
        <v>5</v>
      </c>
      <c r="C1029" s="10" t="s">
        <v>766</v>
      </c>
      <c r="D1029" s="149">
        <v>99</v>
      </c>
      <c r="E1029" s="180">
        <f t="shared" ref="E1029:E1032" si="107">D1029*57%</f>
        <v>56.429999999999993</v>
      </c>
    </row>
    <row r="1030" spans="1:5">
      <c r="A1030" s="107"/>
      <c r="B1030" s="24"/>
      <c r="C1030" s="9" t="s">
        <v>767</v>
      </c>
      <c r="D1030" s="150">
        <v>120</v>
      </c>
      <c r="E1030" s="145">
        <f t="shared" si="107"/>
        <v>68.399999999999991</v>
      </c>
    </row>
    <row r="1031" spans="1:5">
      <c r="A1031" s="107"/>
      <c r="B1031" s="24"/>
      <c r="C1031" s="10" t="s">
        <v>768</v>
      </c>
      <c r="D1031" s="149">
        <v>164</v>
      </c>
      <c r="E1031" s="180">
        <f t="shared" si="107"/>
        <v>93.47999999999999</v>
      </c>
    </row>
    <row r="1032" spans="1:5">
      <c r="A1032" s="107"/>
      <c r="B1032" s="24"/>
      <c r="C1032" s="9" t="s">
        <v>769</v>
      </c>
      <c r="D1032" s="150">
        <v>91</v>
      </c>
      <c r="E1032" s="145">
        <f t="shared" si="107"/>
        <v>51.87</v>
      </c>
    </row>
    <row r="1033" spans="1:5">
      <c r="A1033" s="107"/>
      <c r="B1033" s="24"/>
      <c r="C1033" s="9"/>
      <c r="D1033" s="150"/>
    </row>
    <row r="1034" spans="1:5">
      <c r="A1034" s="107"/>
      <c r="B1034" s="24" t="s">
        <v>135</v>
      </c>
      <c r="C1034" s="10" t="s">
        <v>770</v>
      </c>
      <c r="D1034" s="149">
        <v>120</v>
      </c>
      <c r="E1034" s="180">
        <f>D1034*57%</f>
        <v>68.399999999999991</v>
      </c>
    </row>
    <row r="1035" spans="1:5">
      <c r="A1035" s="107"/>
      <c r="B1035" s="24"/>
      <c r="C1035" s="9"/>
      <c r="D1035" s="150"/>
    </row>
    <row r="1036" spans="1:5">
      <c r="A1036" s="107"/>
      <c r="B1036" s="24" t="s">
        <v>22</v>
      </c>
      <c r="C1036" s="10" t="s">
        <v>771</v>
      </c>
      <c r="D1036" s="149">
        <v>99</v>
      </c>
      <c r="E1036" s="180">
        <f t="shared" ref="E1036:E1049" si="108">D1036*57%</f>
        <v>56.429999999999993</v>
      </c>
    </row>
    <row r="1037" spans="1:5">
      <c r="A1037" s="107"/>
      <c r="B1037" s="24"/>
      <c r="C1037" s="9" t="s">
        <v>772</v>
      </c>
      <c r="D1037" s="150">
        <v>99</v>
      </c>
      <c r="E1037" s="145">
        <f t="shared" si="108"/>
        <v>56.429999999999993</v>
      </c>
    </row>
    <row r="1038" spans="1:5">
      <c r="A1038" s="107"/>
      <c r="B1038" s="24"/>
      <c r="C1038" s="10" t="s">
        <v>773</v>
      </c>
      <c r="D1038" s="149">
        <v>164</v>
      </c>
      <c r="E1038" s="180">
        <f t="shared" si="108"/>
        <v>93.47999999999999</v>
      </c>
    </row>
    <row r="1039" spans="1:5">
      <c r="A1039" s="107"/>
      <c r="B1039" s="24"/>
      <c r="C1039" s="9" t="s">
        <v>774</v>
      </c>
      <c r="D1039" s="150">
        <v>164</v>
      </c>
      <c r="E1039" s="145">
        <f t="shared" si="108"/>
        <v>93.47999999999999</v>
      </c>
    </row>
    <row r="1040" spans="1:5">
      <c r="A1040" s="107"/>
      <c r="B1040" s="24"/>
      <c r="C1040" s="10" t="s">
        <v>775</v>
      </c>
      <c r="D1040" s="149">
        <v>164</v>
      </c>
      <c r="E1040" s="180">
        <f t="shared" si="108"/>
        <v>93.47999999999999</v>
      </c>
    </row>
    <row r="1041" spans="1:5">
      <c r="A1041" s="107"/>
      <c r="B1041" s="24"/>
      <c r="C1041" s="37" t="s">
        <v>776</v>
      </c>
      <c r="D1041" s="151">
        <v>164</v>
      </c>
      <c r="E1041" s="145">
        <f t="shared" si="108"/>
        <v>93.47999999999999</v>
      </c>
    </row>
    <row r="1042" spans="1:5">
      <c r="A1042" s="107"/>
      <c r="B1042" s="47"/>
      <c r="C1042" s="10" t="s">
        <v>777</v>
      </c>
      <c r="D1042" s="149">
        <v>91</v>
      </c>
      <c r="E1042" s="180">
        <f t="shared" si="108"/>
        <v>51.87</v>
      </c>
    </row>
    <row r="1043" spans="1:5">
      <c r="A1043" s="107"/>
      <c r="B1043" s="47"/>
      <c r="C1043" s="37" t="s">
        <v>778</v>
      </c>
      <c r="D1043" s="158">
        <v>323</v>
      </c>
      <c r="E1043" s="145">
        <f t="shared" si="108"/>
        <v>184.10999999999999</v>
      </c>
    </row>
    <row r="1044" spans="1:5">
      <c r="A1044" s="107"/>
      <c r="B1044" s="47"/>
      <c r="C1044" s="10" t="s">
        <v>779</v>
      </c>
      <c r="D1044" s="149">
        <v>164</v>
      </c>
      <c r="E1044" s="180">
        <f t="shared" si="108"/>
        <v>93.47999999999999</v>
      </c>
    </row>
    <row r="1045" spans="1:5">
      <c r="A1045" s="107"/>
      <c r="B1045" s="47"/>
      <c r="C1045" s="37" t="s">
        <v>780</v>
      </c>
      <c r="D1045" s="151">
        <v>248</v>
      </c>
      <c r="E1045" s="145">
        <f t="shared" si="108"/>
        <v>141.35999999999999</v>
      </c>
    </row>
    <row r="1046" spans="1:5">
      <c r="A1046" s="107"/>
      <c r="B1046" s="47"/>
      <c r="C1046" s="10" t="s">
        <v>781</v>
      </c>
      <c r="D1046" s="149">
        <v>248</v>
      </c>
      <c r="E1046" s="180">
        <f t="shared" si="108"/>
        <v>141.35999999999999</v>
      </c>
    </row>
    <row r="1047" spans="1:5">
      <c r="A1047" s="107"/>
      <c r="B1047" s="47"/>
      <c r="C1047" s="37" t="s">
        <v>782</v>
      </c>
      <c r="D1047" s="151">
        <v>519</v>
      </c>
      <c r="E1047" s="145">
        <f t="shared" si="108"/>
        <v>295.83</v>
      </c>
    </row>
    <row r="1048" spans="1:5">
      <c r="A1048" s="107"/>
      <c r="B1048" s="47"/>
      <c r="C1048" s="10" t="s">
        <v>783</v>
      </c>
      <c r="D1048" s="149">
        <v>699</v>
      </c>
      <c r="E1048" s="180">
        <f t="shared" si="108"/>
        <v>398.42999999999995</v>
      </c>
    </row>
    <row r="1049" spans="1:5">
      <c r="A1049" s="107"/>
      <c r="B1049" s="47"/>
      <c r="C1049" s="37" t="s">
        <v>784</v>
      </c>
      <c r="D1049" s="151">
        <v>699</v>
      </c>
      <c r="E1049" s="145">
        <f t="shared" si="108"/>
        <v>398.42999999999995</v>
      </c>
    </row>
    <row r="1050" spans="1:5">
      <c r="A1050" s="107"/>
      <c r="B1050" s="25"/>
      <c r="C1050" s="16"/>
      <c r="D1050" s="147"/>
    </row>
    <row r="1051" spans="1:5" ht="18">
      <c r="A1051" s="107"/>
      <c r="B1051" s="27" t="s">
        <v>785</v>
      </c>
      <c r="C1051" s="16"/>
      <c r="D1051" s="147"/>
    </row>
    <row r="1052" spans="1:5">
      <c r="A1052" s="107"/>
      <c r="B1052" s="24" t="s">
        <v>5</v>
      </c>
      <c r="C1052" s="10" t="s">
        <v>786</v>
      </c>
      <c r="D1052" s="149">
        <v>175</v>
      </c>
      <c r="E1052" s="180">
        <f t="shared" ref="E1052:E1053" si="109">D1052*57%</f>
        <v>99.749999999999986</v>
      </c>
    </row>
    <row r="1053" spans="1:5">
      <c r="A1053" s="107"/>
      <c r="B1053" s="24"/>
      <c r="C1053" s="9" t="s">
        <v>787</v>
      </c>
      <c r="D1053" s="150">
        <v>389</v>
      </c>
      <c r="E1053" s="145">
        <f t="shared" si="109"/>
        <v>221.73</v>
      </c>
    </row>
    <row r="1054" spans="1:5">
      <c r="A1054" s="107"/>
      <c r="B1054" s="24"/>
      <c r="C1054" s="9"/>
      <c r="D1054" s="150"/>
    </row>
    <row r="1055" spans="1:5">
      <c r="A1055" s="87"/>
      <c r="B1055" s="24" t="s">
        <v>22</v>
      </c>
      <c r="C1055" s="10" t="s">
        <v>788</v>
      </c>
      <c r="D1055" s="149">
        <v>175</v>
      </c>
      <c r="E1055" s="180">
        <f t="shared" ref="E1055:E1062" si="110">D1055*57%</f>
        <v>99.749999999999986</v>
      </c>
    </row>
    <row r="1056" spans="1:5">
      <c r="A1056" s="87"/>
      <c r="B1056" s="24"/>
      <c r="C1056" s="9" t="s">
        <v>789</v>
      </c>
      <c r="D1056" s="150">
        <v>222</v>
      </c>
      <c r="E1056" s="145">
        <f t="shared" si="110"/>
        <v>126.53999999999999</v>
      </c>
    </row>
    <row r="1057" spans="1:5">
      <c r="A1057" s="87"/>
      <c r="B1057" s="24"/>
      <c r="C1057" s="10" t="s">
        <v>790</v>
      </c>
      <c r="D1057" s="149">
        <v>222</v>
      </c>
      <c r="E1057" s="180">
        <f t="shared" si="110"/>
        <v>126.53999999999999</v>
      </c>
    </row>
    <row r="1058" spans="1:5">
      <c r="A1058" s="87"/>
      <c r="B1058" s="47"/>
      <c r="C1058" s="37" t="s">
        <v>791</v>
      </c>
      <c r="D1058" s="151">
        <v>339</v>
      </c>
      <c r="E1058" s="145">
        <f t="shared" si="110"/>
        <v>193.23</v>
      </c>
    </row>
    <row r="1059" spans="1:5">
      <c r="A1059" s="87"/>
      <c r="B1059" s="47"/>
      <c r="C1059" s="10" t="s">
        <v>792</v>
      </c>
      <c r="D1059" s="149">
        <v>441</v>
      </c>
      <c r="E1059" s="180">
        <f t="shared" si="110"/>
        <v>251.36999999999998</v>
      </c>
    </row>
    <row r="1060" spans="1:5">
      <c r="A1060" s="87"/>
      <c r="B1060" s="47"/>
      <c r="C1060" s="37" t="s">
        <v>793</v>
      </c>
      <c r="D1060" s="151">
        <v>441</v>
      </c>
      <c r="E1060" s="145">
        <f t="shared" si="110"/>
        <v>251.36999999999998</v>
      </c>
    </row>
    <row r="1061" spans="1:5">
      <c r="A1061" s="87"/>
      <c r="B1061" s="47"/>
      <c r="C1061" s="10" t="s">
        <v>794</v>
      </c>
      <c r="D1061" s="149">
        <v>730</v>
      </c>
      <c r="E1061" s="180">
        <f t="shared" si="110"/>
        <v>416.09999999999997</v>
      </c>
    </row>
    <row r="1062" spans="1:5">
      <c r="A1062" s="87"/>
      <c r="B1062" s="47"/>
      <c r="C1062" s="37" t="s">
        <v>795</v>
      </c>
      <c r="D1062" s="151">
        <v>730</v>
      </c>
      <c r="E1062" s="145">
        <f t="shared" si="110"/>
        <v>416.09999999999997</v>
      </c>
    </row>
    <row r="1063" spans="1:5">
      <c r="A1063" s="87"/>
      <c r="B1063" s="25"/>
      <c r="C1063" s="16"/>
      <c r="D1063" s="147"/>
    </row>
    <row r="1064" spans="1:5" ht="18">
      <c r="A1064" s="107"/>
      <c r="B1064" s="27" t="s">
        <v>796</v>
      </c>
      <c r="C1064" s="73"/>
      <c r="D1064" s="147"/>
    </row>
    <row r="1065" spans="1:5">
      <c r="A1065" s="107"/>
      <c r="B1065" s="24" t="s">
        <v>5</v>
      </c>
      <c r="C1065" s="48" t="s">
        <v>797</v>
      </c>
      <c r="D1065" s="149">
        <v>76</v>
      </c>
      <c r="E1065" s="180">
        <f>D1065*57%</f>
        <v>43.319999999999993</v>
      </c>
    </row>
    <row r="1066" spans="1:5">
      <c r="A1066" s="107"/>
      <c r="B1066" s="24"/>
      <c r="C1066" s="35"/>
      <c r="D1066" s="150"/>
    </row>
    <row r="1067" spans="1:5">
      <c r="A1067" s="107"/>
      <c r="B1067" s="24" t="s">
        <v>22</v>
      </c>
      <c r="C1067" s="48" t="s">
        <v>798</v>
      </c>
      <c r="D1067" s="149">
        <v>76</v>
      </c>
      <c r="E1067" s="180">
        <f t="shared" ref="E1067:E1069" si="111">D1067*57%</f>
        <v>43.319999999999993</v>
      </c>
    </row>
    <row r="1068" spans="1:5">
      <c r="A1068" s="107"/>
      <c r="B1068" s="24"/>
      <c r="C1068" s="22" t="s">
        <v>799</v>
      </c>
      <c r="D1068" s="151">
        <v>76</v>
      </c>
      <c r="E1068" s="145">
        <f t="shared" si="111"/>
        <v>43.319999999999993</v>
      </c>
    </row>
    <row r="1069" spans="1:5">
      <c r="A1069" s="107"/>
      <c r="B1069" s="47"/>
      <c r="C1069" s="48" t="s">
        <v>800</v>
      </c>
      <c r="D1069" s="149">
        <v>107</v>
      </c>
      <c r="E1069" s="180">
        <f t="shared" si="111"/>
        <v>60.989999999999995</v>
      </c>
    </row>
    <row r="1070" spans="1:5">
      <c r="A1070" s="107"/>
      <c r="B1070" s="47"/>
      <c r="C1070" s="22"/>
      <c r="D1070" s="151"/>
    </row>
    <row r="1071" spans="1:5" ht="18">
      <c r="A1071" s="107"/>
      <c r="B1071" s="27" t="s">
        <v>801</v>
      </c>
      <c r="C1071" s="22"/>
      <c r="D1071" s="151"/>
    </row>
    <row r="1072" spans="1:5">
      <c r="A1072" s="107"/>
      <c r="B1072" s="24" t="s">
        <v>5</v>
      </c>
      <c r="C1072" s="88" t="s">
        <v>802</v>
      </c>
      <c r="D1072" s="149">
        <v>171</v>
      </c>
      <c r="E1072" s="180">
        <f t="shared" ref="E1072:E1076" si="112">D1072*57%</f>
        <v>97.469999999999985</v>
      </c>
    </row>
    <row r="1073" spans="1:5">
      <c r="A1073" s="107"/>
      <c r="B1073" s="47"/>
      <c r="C1073" s="22" t="s">
        <v>803</v>
      </c>
      <c r="D1073" s="151">
        <v>171</v>
      </c>
      <c r="E1073" s="145">
        <f t="shared" si="112"/>
        <v>97.469999999999985</v>
      </c>
    </row>
    <row r="1074" spans="1:5">
      <c r="A1074" s="107"/>
      <c r="B1074" s="47"/>
      <c r="C1074" s="48" t="s">
        <v>804</v>
      </c>
      <c r="D1074" s="149">
        <v>205</v>
      </c>
      <c r="E1074" s="180">
        <f t="shared" si="112"/>
        <v>116.85</v>
      </c>
    </row>
    <row r="1075" spans="1:5">
      <c r="A1075" s="107"/>
      <c r="B1075" s="47"/>
      <c r="C1075" s="22" t="s">
        <v>805</v>
      </c>
      <c r="D1075" s="151">
        <v>308</v>
      </c>
      <c r="E1075" s="145">
        <f t="shared" si="112"/>
        <v>175.55999999999997</v>
      </c>
    </row>
    <row r="1076" spans="1:5">
      <c r="A1076" s="107"/>
      <c r="B1076" s="47"/>
      <c r="C1076" s="48" t="s">
        <v>806</v>
      </c>
      <c r="D1076" s="149">
        <v>427</v>
      </c>
      <c r="E1076" s="180">
        <f t="shared" si="112"/>
        <v>243.39</v>
      </c>
    </row>
    <row r="1077" spans="1:5">
      <c r="A1077" s="107"/>
      <c r="B1077" s="47"/>
      <c r="C1077" s="22"/>
      <c r="D1077" s="151"/>
    </row>
    <row r="1078" spans="1:5">
      <c r="A1078" s="87"/>
      <c r="B1078" s="24" t="s">
        <v>135</v>
      </c>
      <c r="C1078" s="48" t="s">
        <v>807</v>
      </c>
      <c r="D1078" s="149">
        <v>171</v>
      </c>
      <c r="E1078" s="180">
        <f t="shared" ref="E1078:E1079" si="113">D1078*57%</f>
        <v>97.469999999999985</v>
      </c>
    </row>
    <row r="1079" spans="1:5">
      <c r="A1079" s="87"/>
      <c r="B1079" s="47"/>
      <c r="C1079" s="22" t="s">
        <v>808</v>
      </c>
      <c r="D1079" s="151">
        <v>171</v>
      </c>
      <c r="E1079" s="145">
        <f t="shared" si="113"/>
        <v>97.469999999999985</v>
      </c>
    </row>
    <row r="1080" spans="1:5">
      <c r="A1080" s="87"/>
      <c r="B1080" s="47"/>
      <c r="C1080" s="22"/>
      <c r="D1080" s="151"/>
    </row>
    <row r="1081" spans="1:5">
      <c r="A1081" s="87"/>
      <c r="B1081" s="24" t="s">
        <v>22</v>
      </c>
      <c r="C1081" s="48" t="s">
        <v>809</v>
      </c>
      <c r="D1081" s="149">
        <v>171</v>
      </c>
      <c r="E1081" s="180">
        <f t="shared" ref="E1081:E1091" si="114">D1081*57%</f>
        <v>97.469999999999985</v>
      </c>
    </row>
    <row r="1082" spans="1:5">
      <c r="A1082" s="87"/>
      <c r="B1082" s="47"/>
      <c r="C1082" s="22" t="s">
        <v>810</v>
      </c>
      <c r="D1082" s="151">
        <v>205</v>
      </c>
      <c r="E1082" s="145">
        <f t="shared" si="114"/>
        <v>116.85</v>
      </c>
    </row>
    <row r="1083" spans="1:5">
      <c r="A1083" s="87"/>
      <c r="B1083" s="47"/>
      <c r="C1083" s="48" t="s">
        <v>811</v>
      </c>
      <c r="D1083" s="149">
        <v>205</v>
      </c>
      <c r="E1083" s="180">
        <f t="shared" si="114"/>
        <v>116.85</v>
      </c>
    </row>
    <row r="1084" spans="1:5">
      <c r="A1084" s="87"/>
      <c r="B1084" s="47"/>
      <c r="C1084" s="22" t="s">
        <v>812</v>
      </c>
      <c r="D1084" s="151">
        <v>205</v>
      </c>
      <c r="E1084" s="145">
        <f t="shared" si="114"/>
        <v>116.85</v>
      </c>
    </row>
    <row r="1085" spans="1:5">
      <c r="A1085" s="87"/>
      <c r="B1085" s="47"/>
      <c r="C1085" s="48" t="s">
        <v>813</v>
      </c>
      <c r="D1085" s="149">
        <v>205</v>
      </c>
      <c r="E1085" s="180">
        <f t="shared" si="114"/>
        <v>116.85</v>
      </c>
    </row>
    <row r="1086" spans="1:5">
      <c r="A1086" s="87"/>
      <c r="B1086" s="47"/>
      <c r="C1086" s="22" t="s">
        <v>814</v>
      </c>
      <c r="D1086" s="151">
        <v>308</v>
      </c>
      <c r="E1086" s="145">
        <f t="shared" si="114"/>
        <v>175.55999999999997</v>
      </c>
    </row>
    <row r="1087" spans="1:5">
      <c r="A1087" s="87"/>
      <c r="B1087" s="47"/>
      <c r="C1087" s="48" t="s">
        <v>815</v>
      </c>
      <c r="D1087" s="149">
        <v>308</v>
      </c>
      <c r="E1087" s="180">
        <f t="shared" si="114"/>
        <v>175.55999999999997</v>
      </c>
    </row>
    <row r="1088" spans="1:5">
      <c r="A1088" s="87"/>
      <c r="B1088" s="47"/>
      <c r="C1088" s="22" t="s">
        <v>816</v>
      </c>
      <c r="D1088" s="151">
        <v>308</v>
      </c>
      <c r="E1088" s="145">
        <f t="shared" si="114"/>
        <v>175.55999999999997</v>
      </c>
    </row>
    <row r="1089" spans="1:5">
      <c r="A1089" s="87"/>
      <c r="B1089" s="47"/>
      <c r="C1089" s="48" t="s">
        <v>817</v>
      </c>
      <c r="D1089" s="149">
        <v>308</v>
      </c>
      <c r="E1089" s="180">
        <f t="shared" si="114"/>
        <v>175.55999999999997</v>
      </c>
    </row>
    <row r="1090" spans="1:5">
      <c r="A1090" s="87"/>
      <c r="B1090" s="47"/>
      <c r="C1090" s="22" t="s">
        <v>818</v>
      </c>
      <c r="D1090" s="151">
        <v>308</v>
      </c>
      <c r="E1090" s="145">
        <f t="shared" si="114"/>
        <v>175.55999999999997</v>
      </c>
    </row>
    <row r="1091" spans="1:5">
      <c r="A1091" s="87"/>
      <c r="B1091" s="47"/>
      <c r="C1091" s="48" t="s">
        <v>819</v>
      </c>
      <c r="D1091" s="149">
        <v>427</v>
      </c>
      <c r="E1091" s="180">
        <f t="shared" si="114"/>
        <v>243.39</v>
      </c>
    </row>
    <row r="1092" spans="1:5">
      <c r="A1092" s="107"/>
      <c r="B1092" s="25"/>
      <c r="C1092" s="1"/>
      <c r="D1092" s="147"/>
    </row>
    <row r="1093" spans="1:5" ht="20.399999999999999">
      <c r="A1093" s="139" t="e" vm="8">
        <v>#VALUE!</v>
      </c>
      <c r="B1093" s="99" t="s">
        <v>820</v>
      </c>
      <c r="C1093" s="89"/>
      <c r="D1093" s="147"/>
    </row>
    <row r="1094" spans="1:5" ht="18">
      <c r="A1094" s="140"/>
      <c r="B1094" s="141"/>
      <c r="C1094" s="89"/>
      <c r="D1094" s="147"/>
    </row>
    <row r="1095" spans="1:5" ht="18">
      <c r="A1095" s="87"/>
      <c r="B1095" s="27" t="s">
        <v>821</v>
      </c>
      <c r="C1095" s="16"/>
      <c r="D1095" s="147"/>
    </row>
    <row r="1096" spans="1:5">
      <c r="A1096" s="87"/>
      <c r="B1096" s="24" t="s">
        <v>22</v>
      </c>
      <c r="C1096" s="48" t="s">
        <v>822</v>
      </c>
      <c r="D1096" s="149">
        <v>166</v>
      </c>
      <c r="E1096" s="180">
        <f t="shared" ref="E1096:E1099" si="115">D1096*57%</f>
        <v>94.61999999999999</v>
      </c>
    </row>
    <row r="1097" spans="1:5">
      <c r="A1097" s="87"/>
      <c r="B1097" s="47"/>
      <c r="C1097" s="37" t="s">
        <v>823</v>
      </c>
      <c r="D1097" s="151">
        <v>166</v>
      </c>
      <c r="E1097" s="145">
        <f t="shared" si="115"/>
        <v>94.61999999999999</v>
      </c>
    </row>
    <row r="1098" spans="1:5">
      <c r="A1098" s="87"/>
      <c r="B1098" s="47"/>
      <c r="C1098" s="10" t="s">
        <v>824</v>
      </c>
      <c r="D1098" s="149">
        <v>320</v>
      </c>
      <c r="E1098" s="180">
        <f t="shared" si="115"/>
        <v>182.39999999999998</v>
      </c>
    </row>
    <row r="1099" spans="1:5">
      <c r="A1099" s="87"/>
      <c r="B1099" s="47"/>
      <c r="C1099" s="37" t="s">
        <v>825</v>
      </c>
      <c r="D1099" s="151">
        <v>320</v>
      </c>
      <c r="E1099" s="145">
        <f t="shared" si="115"/>
        <v>182.39999999999998</v>
      </c>
    </row>
    <row r="1100" spans="1:5">
      <c r="A1100" s="87"/>
      <c r="B1100" s="25"/>
      <c r="C1100" s="16"/>
      <c r="D1100" s="147"/>
    </row>
    <row r="1101" spans="1:5" ht="21">
      <c r="A1101" s="98" t="e" vm="9">
        <v>#VALUE!</v>
      </c>
      <c r="B1101" s="102" t="s">
        <v>826</v>
      </c>
      <c r="C1101" s="5"/>
      <c r="D1101" s="147"/>
    </row>
    <row r="1102" spans="1:5" ht="20.399999999999999">
      <c r="A1102" s="98"/>
      <c r="B1102" s="99" t="s">
        <v>827</v>
      </c>
      <c r="C1102" s="5"/>
      <c r="D1102" s="147"/>
    </row>
    <row r="1103" spans="1:5">
      <c r="A1103" s="98"/>
      <c r="B1103" s="100"/>
      <c r="C1103" s="5"/>
      <c r="D1103" s="147"/>
    </row>
    <row r="1104" spans="1:5" ht="18">
      <c r="A1104" s="107"/>
      <c r="B1104" s="27" t="s">
        <v>828</v>
      </c>
      <c r="C1104" s="73"/>
      <c r="D1104" s="147"/>
    </row>
    <row r="1105" spans="1:5">
      <c r="A1105" s="107"/>
      <c r="B1105" s="24" t="s">
        <v>5</v>
      </c>
      <c r="C1105" s="10" t="s">
        <v>829</v>
      </c>
      <c r="D1105" s="149">
        <v>134</v>
      </c>
      <c r="E1105" s="180">
        <f t="shared" ref="E1105:E1107" si="116">D1105*57%</f>
        <v>76.38</v>
      </c>
    </row>
    <row r="1106" spans="1:5">
      <c r="A1106" s="107"/>
      <c r="B1106" s="24"/>
      <c r="C1106" s="35" t="s">
        <v>830</v>
      </c>
      <c r="D1106" s="150">
        <v>182</v>
      </c>
      <c r="E1106" s="145">
        <f t="shared" si="116"/>
        <v>103.74</v>
      </c>
    </row>
    <row r="1107" spans="1:5">
      <c r="A1107" s="107"/>
      <c r="B1107" s="24"/>
      <c r="C1107" s="10" t="s">
        <v>831</v>
      </c>
      <c r="D1107" s="149">
        <v>182</v>
      </c>
      <c r="E1107" s="180">
        <f t="shared" si="116"/>
        <v>103.74</v>
      </c>
    </row>
    <row r="1108" spans="1:5">
      <c r="A1108" s="107"/>
      <c r="B1108" s="24"/>
      <c r="C1108" s="9"/>
      <c r="D1108" s="150"/>
    </row>
    <row r="1109" spans="1:5">
      <c r="A1109" s="107"/>
      <c r="B1109" s="24" t="s">
        <v>22</v>
      </c>
      <c r="C1109" s="10" t="s">
        <v>832</v>
      </c>
      <c r="D1109" s="178">
        <v>141</v>
      </c>
      <c r="E1109" s="180">
        <f t="shared" ref="E1109:E1120" si="117">D1109*57%</f>
        <v>80.36999999999999</v>
      </c>
    </row>
    <row r="1110" spans="1:5">
      <c r="A1110" s="107"/>
      <c r="B1110" s="24"/>
      <c r="C1110" s="37" t="s">
        <v>833</v>
      </c>
      <c r="D1110" s="179">
        <v>166</v>
      </c>
      <c r="E1110" s="145">
        <f t="shared" si="117"/>
        <v>94.61999999999999</v>
      </c>
    </row>
    <row r="1111" spans="1:5">
      <c r="A1111" s="107"/>
      <c r="B1111" s="94"/>
      <c r="C1111" s="48" t="s">
        <v>834</v>
      </c>
      <c r="D1111" s="149">
        <v>166</v>
      </c>
      <c r="E1111" s="180">
        <f t="shared" si="117"/>
        <v>94.61999999999999</v>
      </c>
    </row>
    <row r="1112" spans="1:5">
      <c r="A1112" s="107"/>
      <c r="B1112" s="24"/>
      <c r="C1112" s="37" t="s">
        <v>835</v>
      </c>
      <c r="D1112" s="158">
        <v>182</v>
      </c>
      <c r="E1112" s="145">
        <f t="shared" si="117"/>
        <v>103.74</v>
      </c>
    </row>
    <row r="1113" spans="1:5">
      <c r="A1113" s="107"/>
      <c r="B1113" s="24"/>
      <c r="C1113" s="10" t="s">
        <v>836</v>
      </c>
      <c r="D1113" s="149">
        <v>182</v>
      </c>
      <c r="E1113" s="180">
        <f t="shared" si="117"/>
        <v>103.74</v>
      </c>
    </row>
    <row r="1114" spans="1:5">
      <c r="A1114" s="107"/>
      <c r="B1114" s="24"/>
      <c r="C1114" s="37" t="s">
        <v>837</v>
      </c>
      <c r="D1114" s="151">
        <v>182</v>
      </c>
      <c r="E1114" s="145">
        <f t="shared" si="117"/>
        <v>103.74</v>
      </c>
    </row>
    <row r="1115" spans="1:5">
      <c r="A1115" s="107"/>
      <c r="B1115" s="47"/>
      <c r="C1115" s="48" t="s">
        <v>838</v>
      </c>
      <c r="D1115" s="149">
        <v>182</v>
      </c>
      <c r="E1115" s="180">
        <f t="shared" si="117"/>
        <v>103.74</v>
      </c>
    </row>
    <row r="1116" spans="1:5">
      <c r="A1116" s="107"/>
      <c r="B1116" s="47"/>
      <c r="C1116" s="37" t="s">
        <v>839</v>
      </c>
      <c r="D1116" s="151">
        <v>182</v>
      </c>
      <c r="E1116" s="145">
        <f t="shared" si="117"/>
        <v>103.74</v>
      </c>
    </row>
    <row r="1117" spans="1:5">
      <c r="A1117" s="107"/>
      <c r="B1117" s="47"/>
      <c r="C1117" s="10" t="s">
        <v>840</v>
      </c>
      <c r="D1117" s="149">
        <v>182</v>
      </c>
      <c r="E1117" s="180">
        <f t="shared" si="117"/>
        <v>103.74</v>
      </c>
    </row>
    <row r="1118" spans="1:5">
      <c r="A1118" s="107"/>
      <c r="B1118" s="47"/>
      <c r="C1118" s="37" t="s">
        <v>841</v>
      </c>
      <c r="D1118" s="158">
        <v>199</v>
      </c>
      <c r="E1118" s="145">
        <f t="shared" si="117"/>
        <v>113.42999999999999</v>
      </c>
    </row>
    <row r="1119" spans="1:5">
      <c r="A1119" s="87"/>
      <c r="B1119" s="47"/>
      <c r="C1119" s="10" t="s">
        <v>842</v>
      </c>
      <c r="D1119" s="149">
        <v>205</v>
      </c>
      <c r="E1119" s="180">
        <f t="shared" si="117"/>
        <v>116.85</v>
      </c>
    </row>
    <row r="1120" spans="1:5">
      <c r="A1120" s="87"/>
      <c r="B1120" s="47"/>
      <c r="C1120" s="37" t="s">
        <v>843</v>
      </c>
      <c r="D1120" s="151">
        <v>525</v>
      </c>
      <c r="E1120" s="145">
        <f t="shared" si="117"/>
        <v>299.25</v>
      </c>
    </row>
    <row r="1121" spans="1:5">
      <c r="A1121" s="87"/>
      <c r="B1121" s="25"/>
      <c r="C1121" s="16"/>
      <c r="D1121" s="147"/>
    </row>
    <row r="1122" spans="1:5" ht="21">
      <c r="A1122" s="98" t="e" vm="10">
        <v>#VALUE!</v>
      </c>
      <c r="B1122" s="102" t="s">
        <v>844</v>
      </c>
      <c r="C1122" s="5"/>
      <c r="D1122" s="147"/>
    </row>
    <row r="1123" spans="1:5" ht="20.399999999999999">
      <c r="A1123" s="98"/>
      <c r="B1123" s="99" t="s">
        <v>845</v>
      </c>
      <c r="C1123" s="5"/>
      <c r="D1123" s="147"/>
    </row>
    <row r="1124" spans="1:5">
      <c r="A1124" s="107"/>
      <c r="B1124" s="25"/>
      <c r="C1124" s="16"/>
      <c r="D1124" s="147"/>
    </row>
    <row r="1125" spans="1:5" ht="18">
      <c r="A1125" s="107"/>
      <c r="B1125" s="27" t="s">
        <v>846</v>
      </c>
      <c r="C1125" s="73"/>
      <c r="D1125" s="147"/>
    </row>
    <row r="1126" spans="1:5">
      <c r="A1126" s="107"/>
      <c r="B1126" s="24" t="s">
        <v>5</v>
      </c>
      <c r="C1126" s="48" t="s">
        <v>847</v>
      </c>
      <c r="D1126" s="149">
        <v>499</v>
      </c>
      <c r="E1126" s="180">
        <f t="shared" ref="E1126:E1129" si="118">D1126*57%</f>
        <v>284.42999999999995</v>
      </c>
    </row>
    <row r="1127" spans="1:5">
      <c r="A1127" s="107"/>
      <c r="B1127" s="24"/>
      <c r="C1127" s="35" t="s">
        <v>848</v>
      </c>
      <c r="D1127" s="150">
        <v>541</v>
      </c>
      <c r="E1127" s="145">
        <f t="shared" si="118"/>
        <v>308.36999999999995</v>
      </c>
    </row>
    <row r="1128" spans="1:5">
      <c r="A1128" s="107"/>
      <c r="B1128" s="24"/>
      <c r="C1128" s="48" t="s">
        <v>849</v>
      </c>
      <c r="D1128" s="149">
        <v>513</v>
      </c>
      <c r="E1128" s="180">
        <f t="shared" si="118"/>
        <v>292.40999999999997</v>
      </c>
    </row>
    <row r="1129" spans="1:5">
      <c r="A1129" s="107"/>
      <c r="B1129" s="24"/>
      <c r="C1129" s="22" t="s">
        <v>850</v>
      </c>
      <c r="D1129" s="151">
        <v>660</v>
      </c>
      <c r="E1129" s="145">
        <f t="shared" si="118"/>
        <v>376.2</v>
      </c>
    </row>
    <row r="1130" spans="1:5">
      <c r="A1130" s="107"/>
      <c r="B1130" s="24"/>
      <c r="C1130" s="35"/>
      <c r="D1130" s="150"/>
    </row>
    <row r="1131" spans="1:5">
      <c r="A1131" s="107"/>
      <c r="B1131" s="24" t="s">
        <v>22</v>
      </c>
      <c r="C1131" s="48" t="s">
        <v>851</v>
      </c>
      <c r="D1131" s="149">
        <v>858</v>
      </c>
      <c r="E1131" s="180">
        <f>D1131*57%</f>
        <v>489.05999999999995</v>
      </c>
    </row>
    <row r="1132" spans="1:5">
      <c r="A1132" s="107"/>
      <c r="B1132" s="24"/>
      <c r="C1132" s="35"/>
      <c r="D1132" s="150"/>
    </row>
    <row r="1133" spans="1:5">
      <c r="A1133" s="107"/>
      <c r="B1133" s="24" t="s">
        <v>13</v>
      </c>
      <c r="C1133" s="48" t="s">
        <v>852</v>
      </c>
      <c r="D1133" s="149">
        <v>709</v>
      </c>
      <c r="E1133" s="180">
        <f>D1133*57%</f>
        <v>404.12999999999994</v>
      </c>
    </row>
    <row r="1134" spans="1:5">
      <c r="A1134" s="107"/>
      <c r="B1134" s="25"/>
      <c r="C1134" s="16"/>
      <c r="D1134" s="147"/>
    </row>
    <row r="1135" spans="1:5" ht="20.399999999999999">
      <c r="A1135" s="98" t="e" vm="10">
        <v>#VALUE!</v>
      </c>
      <c r="B1135" s="99" t="s">
        <v>853</v>
      </c>
      <c r="C1135" s="5"/>
      <c r="D1135" s="147"/>
    </row>
    <row r="1136" spans="1:5">
      <c r="A1136" s="103"/>
      <c r="B1136" s="100"/>
      <c r="C1136" s="5"/>
      <c r="D1136" s="147"/>
    </row>
    <row r="1137" spans="1:5" ht="18">
      <c r="A1137" s="107"/>
      <c r="B1137" s="27" t="s">
        <v>854</v>
      </c>
      <c r="C1137" s="73"/>
      <c r="D1137" s="147"/>
    </row>
    <row r="1138" spans="1:5">
      <c r="A1138" s="107"/>
      <c r="B1138" s="24" t="s">
        <v>22</v>
      </c>
      <c r="C1138" s="10" t="s">
        <v>855</v>
      </c>
      <c r="D1138" s="149">
        <v>844</v>
      </c>
      <c r="E1138" s="180">
        <f t="shared" ref="E1138:E1141" si="119">D1138*57%</f>
        <v>481.08</v>
      </c>
    </row>
    <row r="1139" spans="1:5">
      <c r="A1139" s="107"/>
      <c r="B1139" s="47"/>
      <c r="C1139" s="9" t="s">
        <v>856</v>
      </c>
      <c r="D1139" s="150">
        <v>844</v>
      </c>
      <c r="E1139" s="145">
        <f t="shared" si="119"/>
        <v>481.08</v>
      </c>
    </row>
    <row r="1140" spans="1:5">
      <c r="A1140" s="107"/>
      <c r="B1140" s="47"/>
      <c r="C1140" s="10" t="s">
        <v>857</v>
      </c>
      <c r="D1140" s="149">
        <v>844</v>
      </c>
      <c r="E1140" s="180">
        <f t="shared" si="119"/>
        <v>481.08</v>
      </c>
    </row>
    <row r="1141" spans="1:5">
      <c r="A1141" s="107"/>
      <c r="B1141" s="47"/>
      <c r="C1141" s="35" t="s">
        <v>858</v>
      </c>
      <c r="D1141" s="150">
        <v>1156</v>
      </c>
      <c r="E1141" s="145">
        <f t="shared" si="119"/>
        <v>658.92</v>
      </c>
    </row>
    <row r="1142" spans="1:5" ht="18">
      <c r="A1142" s="107"/>
      <c r="B1142" s="87"/>
      <c r="C1142" s="17"/>
      <c r="D1142" s="147"/>
    </row>
    <row r="1143" spans="1:5" ht="18">
      <c r="A1143" s="107"/>
      <c r="B1143" s="27" t="s">
        <v>859</v>
      </c>
      <c r="C1143" s="73"/>
      <c r="D1143" s="147"/>
    </row>
    <row r="1144" spans="1:5">
      <c r="A1144" s="107"/>
      <c r="B1144" s="47" t="s">
        <v>5</v>
      </c>
      <c r="C1144" s="48" t="s">
        <v>860</v>
      </c>
      <c r="D1144" s="149">
        <v>599</v>
      </c>
      <c r="E1144" s="180">
        <f t="shared" ref="E1144:E1147" si="120">D1144*57%</f>
        <v>341.42999999999995</v>
      </c>
    </row>
    <row r="1145" spans="1:5">
      <c r="A1145" s="107"/>
      <c r="B1145" s="47"/>
      <c r="C1145" s="22" t="s">
        <v>861</v>
      </c>
      <c r="D1145" s="151">
        <v>681</v>
      </c>
      <c r="E1145" s="145">
        <f t="shared" si="120"/>
        <v>388.16999999999996</v>
      </c>
    </row>
    <row r="1146" spans="1:5">
      <c r="A1146" s="107"/>
      <c r="B1146" s="47"/>
      <c r="C1146" s="48" t="s">
        <v>862</v>
      </c>
      <c r="D1146" s="149">
        <v>478</v>
      </c>
      <c r="E1146" s="180">
        <f t="shared" si="120"/>
        <v>272.45999999999998</v>
      </c>
    </row>
    <row r="1147" spans="1:5">
      <c r="A1147" s="107"/>
      <c r="B1147" s="47"/>
      <c r="C1147" s="35" t="s">
        <v>863</v>
      </c>
      <c r="D1147" s="150">
        <v>681</v>
      </c>
      <c r="E1147" s="145">
        <f t="shared" si="120"/>
        <v>388.16999999999996</v>
      </c>
    </row>
    <row r="1148" spans="1:5">
      <c r="A1148" s="107"/>
      <c r="B1148" s="47"/>
      <c r="C1148" s="9"/>
      <c r="D1148" s="150"/>
    </row>
    <row r="1149" spans="1:5">
      <c r="A1149" s="107"/>
      <c r="B1149" s="47" t="s">
        <v>22</v>
      </c>
      <c r="C1149" s="10" t="s">
        <v>864</v>
      </c>
      <c r="D1149" s="149">
        <v>968</v>
      </c>
      <c r="E1149" s="180">
        <f t="shared" ref="E1149:E1156" si="121">D1149*57%</f>
        <v>551.76</v>
      </c>
    </row>
    <row r="1150" spans="1:5">
      <c r="A1150" s="107"/>
      <c r="B1150" s="47"/>
      <c r="C1150" s="22" t="s">
        <v>865</v>
      </c>
      <c r="D1150" s="151">
        <v>968</v>
      </c>
      <c r="E1150" s="145">
        <f t="shared" si="121"/>
        <v>551.76</v>
      </c>
    </row>
    <row r="1151" spans="1:5">
      <c r="A1151" s="107"/>
      <c r="B1151" s="47"/>
      <c r="C1151" s="10" t="s">
        <v>866</v>
      </c>
      <c r="D1151" s="149">
        <v>968</v>
      </c>
      <c r="E1151" s="180">
        <f t="shared" si="121"/>
        <v>551.76</v>
      </c>
    </row>
    <row r="1152" spans="1:5">
      <c r="A1152" s="107"/>
      <c r="B1152" s="47"/>
      <c r="C1152" s="37" t="s">
        <v>867</v>
      </c>
      <c r="D1152" s="151">
        <v>1126</v>
      </c>
      <c r="E1152" s="145">
        <f t="shared" si="121"/>
        <v>641.81999999999994</v>
      </c>
    </row>
    <row r="1153" spans="1:5">
      <c r="A1153" s="107"/>
      <c r="B1153" s="47"/>
      <c r="C1153" s="48" t="s">
        <v>868</v>
      </c>
      <c r="D1153" s="149">
        <v>1552</v>
      </c>
      <c r="E1153" s="180">
        <f t="shared" si="121"/>
        <v>884.63999999999987</v>
      </c>
    </row>
    <row r="1154" spans="1:5">
      <c r="A1154" s="107"/>
      <c r="B1154" s="47"/>
      <c r="C1154" s="22" t="s">
        <v>869</v>
      </c>
      <c r="D1154" s="151">
        <v>1699</v>
      </c>
      <c r="E1154" s="145">
        <f t="shared" si="121"/>
        <v>968.43</v>
      </c>
    </row>
    <row r="1155" spans="1:5">
      <c r="A1155" s="107"/>
      <c r="B1155" s="47"/>
      <c r="C1155" s="48" t="s">
        <v>870</v>
      </c>
      <c r="D1155" s="149">
        <v>1699</v>
      </c>
      <c r="E1155" s="180">
        <f t="shared" si="121"/>
        <v>968.43</v>
      </c>
    </row>
    <row r="1156" spans="1:5">
      <c r="A1156" s="107"/>
      <c r="B1156" s="47"/>
      <c r="C1156" s="22" t="s">
        <v>871</v>
      </c>
      <c r="D1156" s="151">
        <v>2255</v>
      </c>
      <c r="E1156" s="145">
        <f t="shared" si="121"/>
        <v>1285.3499999999999</v>
      </c>
    </row>
    <row r="1157" spans="1:5">
      <c r="A1157" s="107"/>
      <c r="B1157" s="25"/>
      <c r="C1157" s="16"/>
      <c r="D1157" s="147"/>
    </row>
    <row r="1158" spans="1:5" ht="20.399999999999999">
      <c r="A1158" s="98" t="e" vm="10">
        <v>#VALUE!</v>
      </c>
      <c r="B1158" s="99" t="s">
        <v>872</v>
      </c>
      <c r="C1158" s="5"/>
      <c r="D1158" s="147"/>
    </row>
    <row r="1159" spans="1:5">
      <c r="A1159" s="103"/>
      <c r="B1159" s="100"/>
      <c r="C1159" s="5"/>
      <c r="D1159" s="147"/>
    </row>
    <row r="1160" spans="1:5" ht="18">
      <c r="A1160" s="107"/>
      <c r="B1160" s="27" t="s">
        <v>873</v>
      </c>
      <c r="C1160" s="73"/>
      <c r="D1160" s="147"/>
    </row>
    <row r="1161" spans="1:5">
      <c r="A1161" s="107"/>
      <c r="B1161" s="24" t="s">
        <v>91</v>
      </c>
      <c r="C1161" s="10" t="s">
        <v>874</v>
      </c>
      <c r="D1161" s="149">
        <v>383</v>
      </c>
      <c r="E1161" s="180">
        <f>D1161*57%</f>
        <v>218.30999999999997</v>
      </c>
    </row>
    <row r="1162" spans="1:5">
      <c r="A1162" s="107"/>
      <c r="B1162" s="24"/>
      <c r="C1162" s="35"/>
      <c r="D1162" s="150"/>
    </row>
    <row r="1163" spans="1:5">
      <c r="A1163" s="107"/>
      <c r="B1163" s="24" t="s">
        <v>5</v>
      </c>
      <c r="C1163" s="48" t="s">
        <v>875</v>
      </c>
      <c r="D1163" s="149">
        <v>203</v>
      </c>
      <c r="E1163" s="180">
        <f t="shared" ref="E1163:E1169" si="122">D1163*57%</f>
        <v>115.71</v>
      </c>
    </row>
    <row r="1164" spans="1:5">
      <c r="A1164" s="107"/>
      <c r="B1164" s="24"/>
      <c r="C1164" s="35" t="s">
        <v>876</v>
      </c>
      <c r="D1164" s="159">
        <v>203</v>
      </c>
      <c r="E1164" s="145">
        <f t="shared" si="122"/>
        <v>115.71</v>
      </c>
    </row>
    <row r="1165" spans="1:5">
      <c r="A1165" s="107"/>
      <c r="B1165" s="24"/>
      <c r="C1165" s="48" t="s">
        <v>877</v>
      </c>
      <c r="D1165" s="149">
        <v>142</v>
      </c>
      <c r="E1165" s="180">
        <f t="shared" si="122"/>
        <v>80.94</v>
      </c>
    </row>
    <row r="1166" spans="1:5">
      <c r="A1166" s="107"/>
      <c r="B1166" s="24"/>
      <c r="C1166" s="22" t="s">
        <v>878</v>
      </c>
      <c r="D1166" s="151">
        <v>211</v>
      </c>
      <c r="E1166" s="145">
        <f t="shared" si="122"/>
        <v>120.27</v>
      </c>
    </row>
    <row r="1167" spans="1:5">
      <c r="A1167" s="107"/>
      <c r="B1167" s="125"/>
      <c r="C1167" s="48" t="s">
        <v>879</v>
      </c>
      <c r="D1167" s="149">
        <v>274</v>
      </c>
      <c r="E1167" s="180">
        <f t="shared" si="122"/>
        <v>156.17999999999998</v>
      </c>
    </row>
    <row r="1168" spans="1:5">
      <c r="A1168" s="107"/>
      <c r="B1168" s="24"/>
      <c r="C1168" s="37" t="s">
        <v>880</v>
      </c>
      <c r="D1168" s="151">
        <v>274</v>
      </c>
      <c r="E1168" s="145">
        <f t="shared" si="122"/>
        <v>156.17999999999998</v>
      </c>
    </row>
    <row r="1169" spans="1:5">
      <c r="A1169" s="107"/>
      <c r="B1169" s="24"/>
      <c r="C1169" s="10" t="s">
        <v>881</v>
      </c>
      <c r="D1169" s="149">
        <v>378</v>
      </c>
      <c r="E1169" s="180">
        <f t="shared" si="122"/>
        <v>215.45999999999998</v>
      </c>
    </row>
    <row r="1170" spans="1:5">
      <c r="A1170" s="107"/>
      <c r="B1170" s="24"/>
      <c r="C1170" s="9"/>
      <c r="D1170" s="150"/>
    </row>
    <row r="1171" spans="1:5">
      <c r="A1171" s="107"/>
      <c r="B1171" s="24" t="s">
        <v>22</v>
      </c>
      <c r="C1171" s="10" t="s">
        <v>882</v>
      </c>
      <c r="D1171" s="149">
        <v>306</v>
      </c>
      <c r="E1171" s="180">
        <f t="shared" ref="E1171:E1173" si="123">D1171*57%</f>
        <v>174.42</v>
      </c>
    </row>
    <row r="1172" spans="1:5">
      <c r="A1172" s="107"/>
      <c r="B1172" s="24"/>
      <c r="C1172" s="37" t="s">
        <v>883</v>
      </c>
      <c r="D1172" s="151">
        <v>399</v>
      </c>
      <c r="E1172" s="145">
        <f t="shared" si="123"/>
        <v>227.42999999999998</v>
      </c>
    </row>
    <row r="1173" spans="1:5">
      <c r="A1173" s="107"/>
      <c r="B1173" s="47"/>
      <c r="C1173" s="10" t="s">
        <v>884</v>
      </c>
      <c r="D1173" s="149">
        <v>399</v>
      </c>
      <c r="E1173" s="180">
        <f t="shared" si="123"/>
        <v>227.42999999999998</v>
      </c>
    </row>
    <row r="1174" spans="1:5">
      <c r="A1174" s="107"/>
      <c r="B1174" s="25"/>
      <c r="C1174" s="16"/>
      <c r="D1174" s="147"/>
    </row>
    <row r="1175" spans="1:5" ht="20.399999999999999">
      <c r="A1175" s="98" t="e" vm="10">
        <v>#VALUE!</v>
      </c>
      <c r="B1175" s="99" t="s">
        <v>885</v>
      </c>
      <c r="C1175" s="5"/>
      <c r="D1175" s="147"/>
    </row>
    <row r="1176" spans="1:5">
      <c r="A1176" s="103"/>
      <c r="B1176" s="100"/>
      <c r="C1176" s="5"/>
      <c r="D1176" s="147"/>
    </row>
    <row r="1177" spans="1:5" ht="18">
      <c r="A1177" s="107"/>
      <c r="B1177" s="27" t="s">
        <v>886</v>
      </c>
      <c r="C1177" s="73"/>
      <c r="D1177" s="147"/>
    </row>
    <row r="1178" spans="1:5">
      <c r="A1178" s="107"/>
      <c r="B1178" s="24" t="s">
        <v>22</v>
      </c>
      <c r="C1178" s="10" t="s">
        <v>887</v>
      </c>
      <c r="D1178" s="149">
        <v>475</v>
      </c>
      <c r="E1178" s="180">
        <f t="shared" ref="E1178:E1179" si="124">D1178*57%</f>
        <v>270.75</v>
      </c>
    </row>
    <row r="1179" spans="1:5">
      <c r="A1179" s="107"/>
      <c r="B1179" s="47"/>
      <c r="C1179" s="9" t="s">
        <v>888</v>
      </c>
      <c r="D1179" s="150">
        <v>891</v>
      </c>
      <c r="E1179" s="145">
        <f t="shared" si="124"/>
        <v>507.86999999999995</v>
      </c>
    </row>
    <row r="1180" spans="1:5">
      <c r="A1180" s="107"/>
      <c r="B1180" s="25"/>
      <c r="C1180" s="16"/>
      <c r="D1180" s="147"/>
    </row>
    <row r="1181" spans="1:5" ht="20.399999999999999">
      <c r="A1181" s="98" t="e" vm="10">
        <v>#VALUE!</v>
      </c>
      <c r="B1181" s="99" t="s">
        <v>889</v>
      </c>
      <c r="C1181" s="5"/>
      <c r="D1181" s="147"/>
    </row>
    <row r="1182" spans="1:5" ht="18">
      <c r="A1182" s="107"/>
      <c r="B1182" s="25"/>
      <c r="C1182" s="17"/>
      <c r="D1182" s="147"/>
    </row>
    <row r="1183" spans="1:5" ht="18">
      <c r="A1183" s="107"/>
      <c r="B1183" s="27" t="s">
        <v>890</v>
      </c>
      <c r="C1183" s="73"/>
      <c r="D1183" s="147"/>
    </row>
    <row r="1184" spans="1:5">
      <c r="A1184" s="107"/>
      <c r="B1184" s="24" t="s">
        <v>5</v>
      </c>
      <c r="C1184" s="12" t="s">
        <v>891</v>
      </c>
      <c r="D1184" s="149">
        <v>293</v>
      </c>
      <c r="E1184" s="180">
        <f>D1184*57%</f>
        <v>167.01</v>
      </c>
    </row>
    <row r="1185" spans="1:5" ht="18">
      <c r="A1185" s="107"/>
      <c r="B1185" s="27"/>
      <c r="C1185" s="73"/>
      <c r="D1185" s="147"/>
    </row>
    <row r="1186" spans="1:5">
      <c r="A1186" s="107"/>
      <c r="B1186" s="24" t="s">
        <v>22</v>
      </c>
      <c r="C1186" s="10" t="s">
        <v>892</v>
      </c>
      <c r="D1186" s="149">
        <v>293</v>
      </c>
      <c r="E1186" s="180">
        <f t="shared" ref="E1186:E1187" si="125">D1186*57%</f>
        <v>167.01</v>
      </c>
    </row>
    <row r="1187" spans="1:5">
      <c r="A1187" s="107"/>
      <c r="B1187" s="47"/>
      <c r="C1187" s="37" t="s">
        <v>893</v>
      </c>
      <c r="D1187" s="151">
        <v>855</v>
      </c>
      <c r="E1187" s="145">
        <f t="shared" si="125"/>
        <v>487.34999999999997</v>
      </c>
    </row>
    <row r="1188" spans="1:5">
      <c r="A1188" s="107"/>
      <c r="B1188" s="47"/>
      <c r="C1188" s="9"/>
      <c r="D1188" s="150"/>
    </row>
    <row r="1189" spans="1:5" ht="18">
      <c r="A1189" s="107"/>
      <c r="B1189" s="27" t="s">
        <v>894</v>
      </c>
      <c r="C1189" s="73"/>
      <c r="D1189" s="147"/>
    </row>
    <row r="1190" spans="1:5">
      <c r="A1190" s="107"/>
      <c r="B1190" s="24" t="s">
        <v>5</v>
      </c>
      <c r="C1190" s="48" t="s">
        <v>895</v>
      </c>
      <c r="D1190" s="149">
        <v>386</v>
      </c>
      <c r="E1190" s="180">
        <f t="shared" ref="E1190:E1192" si="126">D1190*57%</f>
        <v>220.01999999999998</v>
      </c>
    </row>
    <row r="1191" spans="1:5">
      <c r="A1191" s="107"/>
      <c r="B1191" s="24"/>
      <c r="C1191" s="35" t="s">
        <v>896</v>
      </c>
      <c r="D1191" s="150">
        <v>442</v>
      </c>
      <c r="E1191" s="145">
        <f t="shared" si="126"/>
        <v>251.93999999999997</v>
      </c>
    </row>
    <row r="1192" spans="1:5">
      <c r="A1192" s="107"/>
      <c r="B1192" s="24"/>
      <c r="C1192" s="48" t="s">
        <v>897</v>
      </c>
      <c r="D1192" s="149">
        <v>791</v>
      </c>
      <c r="E1192" s="180">
        <f t="shared" si="126"/>
        <v>450.86999999999995</v>
      </c>
    </row>
    <row r="1193" spans="1:5">
      <c r="A1193" s="107"/>
      <c r="B1193" s="24"/>
      <c r="C1193" s="35"/>
      <c r="D1193" s="150"/>
    </row>
    <row r="1194" spans="1:5">
      <c r="A1194" s="107"/>
      <c r="B1194" s="24" t="s">
        <v>22</v>
      </c>
      <c r="C1194" s="10" t="s">
        <v>898</v>
      </c>
      <c r="D1194" s="149">
        <v>743</v>
      </c>
      <c r="E1194" s="180">
        <f>D1194*57%</f>
        <v>423.51</v>
      </c>
    </row>
    <row r="1195" spans="1:5">
      <c r="A1195" s="107"/>
      <c r="B1195" s="25"/>
      <c r="C1195" s="16"/>
      <c r="D1195" s="147"/>
    </row>
    <row r="1196" spans="1:5" ht="18">
      <c r="A1196" s="107"/>
      <c r="B1196" s="27" t="s">
        <v>899</v>
      </c>
      <c r="C1196" s="73"/>
      <c r="D1196" s="147"/>
    </row>
    <row r="1197" spans="1:5">
      <c r="A1197" s="107"/>
      <c r="B1197" s="24" t="s">
        <v>5</v>
      </c>
      <c r="C1197" s="10" t="s">
        <v>900</v>
      </c>
      <c r="D1197" s="155">
        <v>342</v>
      </c>
      <c r="E1197" s="180">
        <f t="shared" ref="E1197:E1200" si="127">D1197*57%</f>
        <v>194.93999999999997</v>
      </c>
    </row>
    <row r="1198" spans="1:5">
      <c r="A1198" s="107"/>
      <c r="B1198" s="24"/>
      <c r="C1198" s="35" t="s">
        <v>901</v>
      </c>
      <c r="D1198" s="150">
        <v>333</v>
      </c>
      <c r="E1198" s="145">
        <f t="shared" si="127"/>
        <v>189.80999999999997</v>
      </c>
    </row>
    <row r="1199" spans="1:5">
      <c r="A1199" s="107"/>
      <c r="B1199" s="24"/>
      <c r="C1199" s="48" t="s">
        <v>902</v>
      </c>
      <c r="D1199" s="149">
        <v>396</v>
      </c>
      <c r="E1199" s="180">
        <f t="shared" si="127"/>
        <v>225.71999999999997</v>
      </c>
    </row>
    <row r="1200" spans="1:5">
      <c r="A1200" s="107"/>
      <c r="B1200" s="24"/>
      <c r="C1200" s="35" t="s">
        <v>903</v>
      </c>
      <c r="D1200" s="150">
        <v>512</v>
      </c>
      <c r="E1200" s="145">
        <f t="shared" si="127"/>
        <v>291.83999999999997</v>
      </c>
    </row>
    <row r="1201" spans="1:5">
      <c r="A1201" s="107"/>
      <c r="B1201" s="24"/>
      <c r="C1201" s="35"/>
      <c r="D1201" s="150"/>
    </row>
    <row r="1202" spans="1:5">
      <c r="A1202" s="107"/>
      <c r="B1202" s="24" t="s">
        <v>22</v>
      </c>
      <c r="C1202" s="48" t="s">
        <v>904</v>
      </c>
      <c r="D1202" s="149">
        <v>362</v>
      </c>
      <c r="E1202" s="180">
        <f t="shared" ref="E1202:E1208" si="128">D1202*57%</f>
        <v>206.33999999999997</v>
      </c>
    </row>
    <row r="1203" spans="1:5">
      <c r="A1203" s="107"/>
      <c r="B1203" s="24"/>
      <c r="C1203" s="22" t="s">
        <v>905</v>
      </c>
      <c r="D1203" s="151">
        <v>379</v>
      </c>
      <c r="E1203" s="145">
        <f t="shared" si="128"/>
        <v>216.02999999999997</v>
      </c>
    </row>
    <row r="1204" spans="1:5">
      <c r="A1204" s="107"/>
      <c r="B1204" s="24"/>
      <c r="C1204" s="48" t="s">
        <v>906</v>
      </c>
      <c r="D1204" s="149">
        <v>368</v>
      </c>
      <c r="E1204" s="180">
        <f t="shared" si="128"/>
        <v>209.76</v>
      </c>
    </row>
    <row r="1205" spans="1:5">
      <c r="A1205" s="107"/>
      <c r="B1205" s="47"/>
      <c r="C1205" s="22" t="s">
        <v>907</v>
      </c>
      <c r="D1205" s="151">
        <v>570</v>
      </c>
      <c r="E1205" s="145">
        <f t="shared" si="128"/>
        <v>324.89999999999998</v>
      </c>
    </row>
    <row r="1206" spans="1:5">
      <c r="A1206" s="107"/>
      <c r="B1206" s="47"/>
      <c r="C1206" s="48" t="s">
        <v>908</v>
      </c>
      <c r="D1206" s="149">
        <v>570</v>
      </c>
      <c r="E1206" s="180">
        <f t="shared" si="128"/>
        <v>324.89999999999998</v>
      </c>
    </row>
    <row r="1207" spans="1:5">
      <c r="A1207" s="107"/>
      <c r="B1207" s="47"/>
      <c r="C1207" s="22" t="s">
        <v>909</v>
      </c>
      <c r="D1207" s="151">
        <v>570</v>
      </c>
      <c r="E1207" s="145">
        <f t="shared" si="128"/>
        <v>324.89999999999998</v>
      </c>
    </row>
    <row r="1208" spans="1:5">
      <c r="A1208" s="107"/>
      <c r="B1208" s="47"/>
      <c r="C1208" s="48" t="s">
        <v>910</v>
      </c>
      <c r="D1208" s="149">
        <v>1430</v>
      </c>
      <c r="E1208" s="180">
        <f t="shared" si="128"/>
        <v>815.09999999999991</v>
      </c>
    </row>
    <row r="1209" spans="1:5">
      <c r="A1209" s="107"/>
      <c r="B1209" s="25"/>
      <c r="C1209" s="1"/>
      <c r="D1209" s="147"/>
    </row>
    <row r="1210" spans="1:5" ht="20.399999999999999">
      <c r="A1210" s="98" t="e" vm="10">
        <v>#VALUE!</v>
      </c>
      <c r="B1210" s="99" t="s">
        <v>911</v>
      </c>
      <c r="C1210" s="5"/>
      <c r="D1210" s="147"/>
    </row>
    <row r="1211" spans="1:5" ht="18">
      <c r="A1211" s="107"/>
      <c r="B1211" s="25"/>
      <c r="C1211" s="17"/>
      <c r="D1211" s="147"/>
    </row>
    <row r="1212" spans="1:5" ht="18">
      <c r="A1212" s="107"/>
      <c r="B1212" s="27" t="s">
        <v>912</v>
      </c>
      <c r="C1212" s="73"/>
      <c r="D1212" s="147"/>
    </row>
    <row r="1213" spans="1:5">
      <c r="A1213" s="107"/>
      <c r="B1213" s="24" t="s">
        <v>5</v>
      </c>
      <c r="C1213" s="10" t="s">
        <v>913</v>
      </c>
      <c r="D1213" s="149">
        <v>413</v>
      </c>
      <c r="E1213" s="180">
        <f t="shared" ref="E1213:E1214" si="129">D1213*57%</f>
        <v>235.40999999999997</v>
      </c>
    </row>
    <row r="1214" spans="1:5">
      <c r="A1214" s="107"/>
      <c r="B1214" s="24"/>
      <c r="C1214" s="9" t="s">
        <v>914</v>
      </c>
      <c r="D1214" s="150">
        <v>546</v>
      </c>
      <c r="E1214" s="145">
        <f t="shared" si="129"/>
        <v>311.21999999999997</v>
      </c>
    </row>
    <row r="1215" spans="1:5">
      <c r="A1215" s="107"/>
      <c r="B1215" s="24"/>
      <c r="C1215" s="9"/>
      <c r="D1215" s="150"/>
    </row>
    <row r="1216" spans="1:5">
      <c r="A1216" s="107"/>
      <c r="B1216" s="24" t="s">
        <v>22</v>
      </c>
      <c r="C1216" s="10" t="s">
        <v>915</v>
      </c>
      <c r="D1216" s="149">
        <v>502</v>
      </c>
      <c r="E1216" s="180">
        <f>D1216*57%</f>
        <v>286.14</v>
      </c>
    </row>
    <row r="1217" spans="1:5">
      <c r="A1217" s="107"/>
      <c r="B1217" s="24"/>
      <c r="C1217" s="35" t="s">
        <v>916</v>
      </c>
      <c r="D1217" s="171" t="s">
        <v>11</v>
      </c>
      <c r="E1217" s="153" t="s">
        <v>11</v>
      </c>
    </row>
    <row r="1218" spans="1:5">
      <c r="A1218" s="107"/>
      <c r="B1218" s="47"/>
      <c r="C1218" s="10" t="s">
        <v>917</v>
      </c>
      <c r="D1218" s="149">
        <v>1109</v>
      </c>
      <c r="E1218" s="180">
        <f t="shared" ref="E1218:E1220" si="130">D1218*57%</f>
        <v>632.13</v>
      </c>
    </row>
    <row r="1219" spans="1:5">
      <c r="A1219" s="107"/>
      <c r="B1219" s="47"/>
      <c r="C1219" s="9" t="s">
        <v>918</v>
      </c>
      <c r="D1219" s="150">
        <v>1109</v>
      </c>
      <c r="E1219" s="145">
        <f t="shared" si="130"/>
        <v>632.13</v>
      </c>
    </row>
    <row r="1220" spans="1:5">
      <c r="A1220" s="107"/>
      <c r="B1220" s="47"/>
      <c r="C1220" s="10" t="s">
        <v>919</v>
      </c>
      <c r="D1220" s="149">
        <v>1109</v>
      </c>
      <c r="E1220" s="180">
        <f t="shared" si="130"/>
        <v>632.13</v>
      </c>
    </row>
    <row r="1221" spans="1:5">
      <c r="A1221" s="107"/>
      <c r="B1221" s="47"/>
      <c r="C1221" s="9"/>
      <c r="D1221" s="150"/>
    </row>
    <row r="1222" spans="1:5" ht="18">
      <c r="A1222" s="107"/>
      <c r="B1222" s="27" t="s">
        <v>920</v>
      </c>
      <c r="C1222" s="73"/>
      <c r="D1222" s="147"/>
    </row>
    <row r="1223" spans="1:5">
      <c r="A1223" s="107"/>
      <c r="B1223" s="24" t="s">
        <v>5</v>
      </c>
      <c r="C1223" s="8" t="s">
        <v>921</v>
      </c>
      <c r="D1223" s="149">
        <v>228</v>
      </c>
      <c r="E1223" s="180">
        <f t="shared" ref="E1223:E1224" si="131">D1223*57%</f>
        <v>129.95999999999998</v>
      </c>
    </row>
    <row r="1224" spans="1:5">
      <c r="A1224" s="107"/>
      <c r="B1224" s="24"/>
      <c r="C1224" s="9" t="s">
        <v>922</v>
      </c>
      <c r="D1224" s="150">
        <v>332</v>
      </c>
      <c r="E1224" s="145">
        <f t="shared" si="131"/>
        <v>189.23999999999998</v>
      </c>
    </row>
    <row r="1225" spans="1:5">
      <c r="A1225" s="107"/>
      <c r="B1225" s="24"/>
      <c r="C1225" s="9"/>
      <c r="D1225" s="150"/>
    </row>
    <row r="1226" spans="1:5">
      <c r="A1226" s="107"/>
      <c r="B1226" s="24" t="s">
        <v>22</v>
      </c>
      <c r="C1226" s="48" t="s">
        <v>923</v>
      </c>
      <c r="D1226" s="149">
        <v>388</v>
      </c>
      <c r="E1226" s="180">
        <f t="shared" ref="E1226:E1227" si="132">D1226*57%</f>
        <v>221.15999999999997</v>
      </c>
    </row>
    <row r="1227" spans="1:5">
      <c r="A1227" s="107"/>
      <c r="B1227" s="47"/>
      <c r="C1227" s="37" t="s">
        <v>924</v>
      </c>
      <c r="D1227" s="151">
        <v>627</v>
      </c>
      <c r="E1227" s="145">
        <f t="shared" si="132"/>
        <v>357.39</v>
      </c>
    </row>
    <row r="1228" spans="1:5" ht="16.2" thickBot="1">
      <c r="A1228" s="107"/>
      <c r="B1228" s="142"/>
      <c r="C1228" s="90"/>
      <c r="D1228" s="147"/>
    </row>
    <row r="1229" spans="1:5">
      <c r="A1229" s="87"/>
      <c r="B1229" s="92"/>
      <c r="C1229" s="93" t="s">
        <v>925</v>
      </c>
      <c r="D1229" s="148"/>
    </row>
    <row r="1230" spans="1:5">
      <c r="A1230" s="94"/>
      <c r="B1230" s="95"/>
      <c r="C1230" s="93" t="s">
        <v>926</v>
      </c>
      <c r="D1230" s="148"/>
    </row>
    <row r="1231" spans="1:5">
      <c r="A1231" s="87"/>
      <c r="B1231" s="87"/>
      <c r="C1231" s="96" t="s">
        <v>927</v>
      </c>
      <c r="D1231" s="148"/>
    </row>
    <row r="1232" spans="1:5">
      <c r="A1232" s="87"/>
      <c r="B1232" s="97"/>
      <c r="C1232" s="96"/>
      <c r="D1232" s="148"/>
    </row>
    <row r="1233" spans="1:4">
      <c r="A1233" s="184" t="s">
        <v>928</v>
      </c>
      <c r="B1233" s="184"/>
      <c r="C1233" s="184"/>
      <c r="D1233" s="184"/>
    </row>
    <row r="1234" spans="1:4">
      <c r="A1234" s="182" t="s">
        <v>929</v>
      </c>
      <c r="B1234" s="182"/>
      <c r="C1234" s="182"/>
      <c r="D1234" s="182"/>
    </row>
    <row r="1235" spans="1:4">
      <c r="A1235" s="182" t="s">
        <v>930</v>
      </c>
      <c r="B1235" s="182"/>
      <c r="C1235" s="182"/>
      <c r="D1235" s="182"/>
    </row>
    <row r="1236" spans="1:4">
      <c r="A1236" s="182" t="s">
        <v>931</v>
      </c>
      <c r="B1236" s="182"/>
      <c r="C1236" s="182"/>
      <c r="D1236" s="182"/>
    </row>
    <row r="1237" spans="1:4">
      <c r="A1237" s="91"/>
      <c r="B1237" s="91"/>
      <c r="C1237" s="91"/>
      <c r="D1237" s="144"/>
    </row>
    <row r="1238" spans="1:4">
      <c r="A1238" s="91"/>
      <c r="B1238" s="91"/>
      <c r="C1238" s="91"/>
      <c r="D1238" s="144"/>
    </row>
    <row r="1239" spans="1:4">
      <c r="A1239" s="91"/>
      <c r="B1239" s="91"/>
      <c r="C1239" s="91"/>
      <c r="D1239" s="144"/>
    </row>
    <row r="1240" spans="1:4">
      <c r="A1240" s="91"/>
      <c r="B1240" s="91"/>
      <c r="C1240" s="91"/>
      <c r="D1240" s="144"/>
    </row>
    <row r="1241" spans="1:4">
      <c r="A1241" s="91"/>
      <c r="B1241" s="91"/>
      <c r="C1241" s="91"/>
      <c r="D1241" s="144"/>
    </row>
    <row r="1242" spans="1:4">
      <c r="A1242" s="91"/>
      <c r="B1242" s="91"/>
      <c r="C1242" s="91"/>
      <c r="D1242" s="144"/>
    </row>
    <row r="1243" spans="1:4">
      <c r="A1243" s="91"/>
      <c r="B1243" s="91"/>
      <c r="C1243" s="91"/>
      <c r="D1243" s="144"/>
    </row>
    <row r="1244" spans="1:4">
      <c r="A1244" s="91"/>
      <c r="B1244" s="91"/>
      <c r="C1244" s="91"/>
      <c r="D1244" s="144"/>
    </row>
  </sheetData>
  <autoFilter ref="A11:F1236"/>
  <mergeCells count="14">
    <mergeCell ref="A688:A697"/>
    <mergeCell ref="B9:D10"/>
    <mergeCell ref="A383:A394"/>
    <mergeCell ref="A511:A518"/>
    <mergeCell ref="A570:A578"/>
    <mergeCell ref="A632:A641"/>
    <mergeCell ref="A1235:D1235"/>
    <mergeCell ref="A1236:D1236"/>
    <mergeCell ref="A719:A728"/>
    <mergeCell ref="A747:A756"/>
    <mergeCell ref="A810:A823"/>
    <mergeCell ref="A875:A883"/>
    <mergeCell ref="A1233:D1233"/>
    <mergeCell ref="A1234:D123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Bohn</dc:creator>
  <cp:lastModifiedBy>marcelo heldt</cp:lastModifiedBy>
  <dcterms:created xsi:type="dcterms:W3CDTF">2026-10-21T22:03:07Z</dcterms:created>
  <dcterms:modified xsi:type="dcterms:W3CDTF">2026-10-30T19:51:01Z</dcterms:modified>
</cp:coreProperties>
</file>