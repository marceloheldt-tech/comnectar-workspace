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Lista de vinh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;-R$ #,##0.00;&quot;-&quot;"/>
    <numFmt numFmtId="165" formatCode="0.0%;-0.0%;&quot;-&quot;"/>
    <numFmt numFmtId="166" formatCode="0.00&quot;x&quot;;-0.00&quot;x&quot;;&quot;-&quot;"/>
  </numFmts>
  <fonts count="16">
    <font>
      <name val="Calibri"/>
      <family val="2"/>
      <color theme="1"/>
      <sz val="11"/>
      <scheme val="minor"/>
    </font>
    <font>
      <name val="Rubik"/>
      <color rgb="00000000"/>
      <sz val="11"/>
    </font>
    <font>
      <name val="Georgia"/>
      <color rgb="00991356"/>
      <sz val="22"/>
    </font>
    <font>
      <name val="Rubik"/>
      <i val="1"/>
      <color rgb="00000000"/>
      <sz val="10"/>
    </font>
    <font>
      <name val="Rubik"/>
      <b val="1"/>
      <color rgb="00FFFFFF"/>
      <sz val="10"/>
    </font>
    <font>
      <name val="Rubik"/>
      <b val="1"/>
      <color rgb="00991356"/>
      <sz val="12"/>
    </font>
    <font>
      <name val="Rubik"/>
      <i val="1"/>
      <color rgb="006B6B6B"/>
      <sz val="9"/>
    </font>
    <font>
      <name val="Rubik"/>
      <b val="1"/>
      <color rgb="00991356"/>
      <sz val="14"/>
    </font>
    <font>
      <name val="Rubik"/>
      <b val="1"/>
      <color rgb="00000000"/>
      <sz val="12"/>
    </font>
    <font>
      <name val="Rubik"/>
      <b val="1"/>
      <color rgb="00991356"/>
      <sz val="15"/>
    </font>
    <font>
      <name val="Rubik"/>
      <color rgb="00000000"/>
      <sz val="10"/>
    </font>
    <font>
      <name val="Rubik"/>
      <b val="1"/>
      <color rgb="00000000"/>
      <sz val="11"/>
    </font>
    <font>
      <name val="Georgia"/>
      <color rgb="00991356"/>
      <sz val="18"/>
    </font>
    <font>
      <name val="Rubik"/>
      <b val="1"/>
      <color rgb="00991356"/>
      <sz val="10"/>
    </font>
    <font>
      <name val="Rubik"/>
      <b val="1"/>
      <color rgb="00000000"/>
      <sz val="10"/>
    </font>
    <font>
      <name val="Rubik"/>
      <i val="1"/>
      <color rgb="006B6B6B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8EDF2"/>
      </patternFill>
    </fill>
    <fill>
      <patternFill patternType="solid">
        <fgColor rgb="00991356"/>
      </patternFill>
    </fill>
  </fills>
  <borders count="3">
    <border>
      <left/>
      <right/>
      <top/>
      <bottom/>
      <diagonal/>
    </border>
    <border>
      <left style="medium">
        <color rgb="00991356"/>
      </left>
      <right style="medium">
        <color rgb="00991356"/>
      </right>
      <top style="medium">
        <color rgb="00991356"/>
      </top>
      <bottom style="medium">
        <color rgb="00991356"/>
      </bottom>
    </border>
    <border>
      <bottom style="thin">
        <color rgb="00E6D3D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1" fillId="2" borderId="0" pivotButton="0" quotePrefix="0" xfId="0"/>
    <xf numFmtId="0" fontId="1" fillId="0" borderId="2" applyAlignment="1" pivotButton="0" quotePrefix="0" xfId="0">
      <alignment vertical="center" indent="1"/>
    </xf>
    <xf numFmtId="164" fontId="5" fillId="3" borderId="1" applyAlignment="1" pivotButton="0" quotePrefix="0" xfId="0">
      <alignment horizontal="right" vertical="center" indent="1"/>
    </xf>
    <xf numFmtId="0" fontId="1" fillId="0" borderId="2" pivotButton="0" quotePrefix="0" xfId="0"/>
    <xf numFmtId="0" fontId="6" fillId="0" borderId="2" applyAlignment="1" pivotButton="0" quotePrefix="0" xfId="0">
      <alignment vertical="center" wrapText="1"/>
    </xf>
    <xf numFmtId="165" fontId="5" fillId="3" borderId="1" applyAlignment="1" pivotButton="0" quotePrefix="0" xfId="0">
      <alignment horizontal="right" vertical="center" indent="1"/>
    </xf>
    <xf numFmtId="166" fontId="5" fillId="3" borderId="1" applyAlignment="1" pivotButton="0" quotePrefix="0" xfId="0">
      <alignment horizontal="right" vertical="center" indent="1"/>
    </xf>
    <xf numFmtId="164" fontId="1" fillId="0" borderId="2" applyAlignment="1" pivotButton="0" quotePrefix="0" xfId="0">
      <alignment horizontal="right" vertical="center" indent="1"/>
    </xf>
    <xf numFmtId="0" fontId="5" fillId="0" borderId="2" applyAlignment="1" pivotButton="0" quotePrefix="0" xfId="0">
      <alignment vertical="center" indent="1"/>
    </xf>
    <xf numFmtId="164" fontId="7" fillId="0" borderId="2" applyAlignment="1" pivotButton="0" quotePrefix="0" xfId="0">
      <alignment horizontal="right" vertical="center" indent="1"/>
    </xf>
    <xf numFmtId="0" fontId="4" fillId="4" borderId="0" applyAlignment="1" pivotButton="0" quotePrefix="0" xfId="0">
      <alignment vertical="center" indent="1"/>
    </xf>
    <xf numFmtId="0" fontId="1" fillId="4" borderId="0" pivotButton="0" quotePrefix="0" xfId="0"/>
    <xf numFmtId="0" fontId="8" fillId="0" borderId="2" applyAlignment="1" pivotButton="0" quotePrefix="0" xfId="0">
      <alignment vertical="center" indent="1"/>
    </xf>
    <xf numFmtId="164" fontId="9" fillId="0" borderId="2" applyAlignment="1" pivotButton="0" quotePrefix="0" xfId="0">
      <alignment horizontal="right" vertical="center" indent="1"/>
    </xf>
    <xf numFmtId="166" fontId="9" fillId="0" borderId="2" applyAlignment="1" pivotButton="0" quotePrefix="0" xfId="0">
      <alignment horizontal="right" vertical="center" indent="1"/>
    </xf>
    <xf numFmtId="165" fontId="9" fillId="0" borderId="2" applyAlignment="1" pivotButton="0" quotePrefix="0" xfId="0">
      <alignment horizontal="right" vertical="center" indent="1"/>
    </xf>
    <xf numFmtId="0" fontId="10" fillId="0" borderId="2" applyAlignment="1" pivotButton="0" quotePrefix="0" xfId="0">
      <alignment vertical="center" indent="1"/>
    </xf>
    <xf numFmtId="166" fontId="11" fillId="0" borderId="2" applyAlignment="1" pivotButton="0" quotePrefix="0" xfId="0">
      <alignment horizontal="right" vertical="center" indent="1"/>
    </xf>
    <xf numFmtId="0" fontId="6" fillId="0" borderId="0" pivotButton="0" quotePrefix="0" xfId="0"/>
    <xf numFmtId="0" fontId="12" fillId="0" borderId="0" pivotButton="0" quotePrefix="0" xfId="0"/>
    <xf numFmtId="0" fontId="4" fillId="2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15" fillId="3" borderId="2" applyAlignment="1" pivotButton="0" quotePrefix="0" xfId="0">
      <alignment vertical="center" indent="1"/>
    </xf>
    <xf numFmtId="164" fontId="13" fillId="3" borderId="2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164" fontId="14" fillId="0" borderId="2" applyAlignment="1" pivotButton="0" quotePrefix="0" xfId="0">
      <alignment horizontal="right" vertical="center"/>
    </xf>
    <xf numFmtId="166" fontId="10" fillId="0" borderId="2" applyAlignment="1" pivotButton="0" quotePrefix="0" xfId="0">
      <alignment horizontal="right" vertical="center"/>
    </xf>
    <xf numFmtId="165" fontId="10" fillId="0" borderId="2" applyAlignment="1" pivotButton="0" quotePrefix="0" xfId="0">
      <alignment horizontal="right" vertical="center"/>
    </xf>
    <xf numFmtId="0" fontId="10" fillId="3" borderId="2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comnéctar</author>
  </authors>
  <commentList>
    <comment ref="C9" authorId="0" shapeId="0">
      <text>
        <t>Digite aqui o preço de custo do fornecedor (R$ por garrafa).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192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3335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991356"/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4" customWidth="1" min="4" max="4"/>
    <col width="46" customWidth="1" min="5" max="5"/>
    <col width="3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22" customHeight="1">
      <c r="A2" s="1" t="n"/>
      <c r="B2" s="1" t="n"/>
      <c r="C2" s="1" t="n"/>
      <c r="D2" s="1" t="n"/>
      <c r="E2" s="1" t="n"/>
      <c r="F2" s="1" t="n"/>
    </row>
    <row r="3" ht="22" customHeight="1">
      <c r="A3" s="1" t="n"/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34" customHeight="1">
      <c r="A5" s="1" t="n"/>
      <c r="B5" s="2" t="inlineStr">
        <is>
          <t>Calculadora de preço de venda</t>
        </is>
      </c>
      <c r="C5" s="1" t="n"/>
      <c r="D5" s="1" t="n"/>
      <c r="E5" s="1" t="n"/>
      <c r="F5" s="1" t="n"/>
    </row>
    <row r="6">
      <c r="A6" s="1" t="n"/>
      <c r="B6" s="3" t="inlineStr">
        <is>
          <t>Preencha só as células em vinho claro. O resto calcula sozinho.</t>
        </is>
      </c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24" customHeight="1">
      <c r="A8" s="1" t="n"/>
      <c r="B8" s="4" t="inlineStr">
        <is>
          <t>1 · CUSTO DO FORNECEDOR</t>
        </is>
      </c>
      <c r="C8" s="5" t="n"/>
      <c r="D8" s="5" t="n"/>
      <c r="E8" s="5" t="n"/>
      <c r="F8" s="1" t="n"/>
    </row>
    <row r="9" ht="22" customHeight="1">
      <c r="A9" s="1" t="n"/>
      <c r="B9" s="6" t="inlineStr">
        <is>
          <t>Preço de custo (fornecedor)</t>
        </is>
      </c>
      <c r="C9" s="7" t="n">
        <v>100</v>
      </c>
      <c r="D9" s="8" t="n"/>
      <c r="E9" s="9" t="inlineStr">
        <is>
          <t>Valor que o fornecedor cobra por garrafa</t>
        </is>
      </c>
      <c r="F9" s="1" t="n"/>
    </row>
    <row r="10">
      <c r="A10" s="1" t="n"/>
      <c r="B10" s="1" t="n"/>
      <c r="C10" s="1" t="n"/>
      <c r="D10" s="1" t="n"/>
      <c r="E10" s="1" t="n"/>
      <c r="F10" s="1" t="n"/>
    </row>
    <row r="11" ht="24" customHeight="1">
      <c r="A11" s="1" t="n"/>
      <c r="B11" s="4" t="inlineStr">
        <is>
          <t>2 · PREMISSAS  (mudam pouco, mas dá pra ajustar)</t>
        </is>
      </c>
      <c r="C11" s="5" t="n"/>
      <c r="D11" s="5" t="n"/>
      <c r="E11" s="5" t="n"/>
      <c r="F11" s="1" t="n"/>
    </row>
    <row r="12" ht="22" customHeight="1">
      <c r="A12" s="1" t="n"/>
      <c r="B12" s="6" t="inlineStr">
        <is>
          <t>DIFAL</t>
        </is>
      </c>
      <c r="C12" s="10" t="n">
        <v>0.13</v>
      </c>
      <c r="D12" s="8" t="n"/>
      <c r="E12" s="9" t="inlineStr">
        <is>
          <t>Somado em cima do custo do fornecedor</t>
        </is>
      </c>
      <c r="F12" s="1" t="n"/>
    </row>
    <row r="13" ht="22" customHeight="1">
      <c r="A13" s="1" t="n"/>
      <c r="B13" s="6" t="inlineStr">
        <is>
          <t>Markup</t>
        </is>
      </c>
      <c r="C13" s="11" t="n">
        <v>1.6</v>
      </c>
      <c r="D13" s="8" t="n"/>
      <c r="E13" s="9" t="inlineStr">
        <is>
          <t>Multiplica o custo com DIFAL</t>
        </is>
      </c>
      <c r="F13" s="1" t="n"/>
    </row>
    <row r="14" ht="22" customHeight="1">
      <c r="A14" s="1" t="n"/>
      <c r="B14" s="6" t="inlineStr">
        <is>
          <t>Simples Nacional</t>
        </is>
      </c>
      <c r="C14" s="10" t="n">
        <v>0.08</v>
      </c>
      <c r="D14" s="8" t="n"/>
      <c r="E14" s="9" t="inlineStr">
        <is>
          <t>Sobre o preço de venda</t>
        </is>
      </c>
      <c r="F14" s="1" t="n"/>
    </row>
    <row r="15" ht="22" customHeight="1">
      <c r="A15" s="1" t="n"/>
      <c r="B15" s="6" t="inlineStr">
        <is>
          <t>Frete por garrafa</t>
        </is>
      </c>
      <c r="C15" s="7" t="n">
        <v>10</v>
      </c>
      <c r="D15" s="8" t="n"/>
      <c r="E15" s="9" t="inlineStr">
        <is>
          <t>Valor fixo por garrafa vendida</t>
        </is>
      </c>
      <c r="F15" s="1" t="n"/>
    </row>
    <row r="16">
      <c r="A16" s="1" t="n"/>
      <c r="B16" s="1" t="n"/>
      <c r="C16" s="1" t="n"/>
      <c r="D16" s="1" t="n"/>
      <c r="E16" s="1" t="n"/>
      <c r="F16" s="1" t="n"/>
    </row>
    <row r="17" ht="24" customHeight="1">
      <c r="A17" s="1" t="n"/>
      <c r="B17" s="4" t="inlineStr">
        <is>
          <t>3 · CÁLCULO</t>
        </is>
      </c>
      <c r="C17" s="5" t="n"/>
      <c r="D17" s="5" t="n"/>
      <c r="E17" s="5" t="n"/>
      <c r="F17" s="1" t="n"/>
    </row>
    <row r="18" ht="22" customHeight="1">
      <c r="A18" s="1" t="n"/>
      <c r="B18" s="6" t="inlineStr">
        <is>
          <t>Custo com DIFAL</t>
        </is>
      </c>
      <c r="C18" s="12">
        <f>C9*(1+C12)</f>
        <v/>
      </c>
      <c r="D18" s="8" t="n"/>
      <c r="E18" s="9" t="inlineStr">
        <is>
          <t>Custo × (1 + DIFAL)</t>
        </is>
      </c>
      <c r="F18" s="1" t="n"/>
    </row>
    <row r="19" ht="28" customHeight="1">
      <c r="A19" s="1" t="n"/>
      <c r="B19" s="13" t="inlineStr">
        <is>
          <t>Preço de venda</t>
        </is>
      </c>
      <c r="C19" s="14">
        <f>C18*C13</f>
        <v/>
      </c>
      <c r="D19" s="8" t="n"/>
      <c r="E19" s="9" t="inlineStr">
        <is>
          <t>Custo com DIFAL × markup</t>
        </is>
      </c>
      <c r="F19" s="1" t="n"/>
    </row>
    <row r="20" ht="22" customHeight="1">
      <c r="A20" s="1" t="n"/>
      <c r="B20" s="6" t="inlineStr">
        <is>
          <t>(−) Simples Nacional</t>
        </is>
      </c>
      <c r="C20" s="12">
        <f>-C19*C14</f>
        <v/>
      </c>
      <c r="D20" s="8" t="n"/>
      <c r="E20" s="9" t="inlineStr">
        <is>
          <t>Preço de venda × Simples</t>
        </is>
      </c>
      <c r="F20" s="1" t="n"/>
    </row>
    <row r="21" ht="22" customHeight="1">
      <c r="A21" s="1" t="n"/>
      <c r="B21" s="6" t="inlineStr">
        <is>
          <t>(−) Frete</t>
        </is>
      </c>
      <c r="C21" s="12">
        <f>-C15</f>
        <v/>
      </c>
      <c r="D21" s="8" t="n"/>
      <c r="E21" s="9" t="inlineStr">
        <is>
          <t>Fixo por garrafa</t>
        </is>
      </c>
      <c r="F21" s="1" t="n"/>
    </row>
    <row r="22" ht="22" customHeight="1">
      <c r="A22" s="1" t="n"/>
      <c r="B22" s="6" t="inlineStr">
        <is>
          <t>(−) Custo com DIFAL</t>
        </is>
      </c>
      <c r="C22" s="12">
        <f>-C18</f>
        <v/>
      </c>
      <c r="D22" s="8" t="n"/>
      <c r="E22" s="9" t="inlineStr">
        <is>
          <t>O que pagamos pelo vinho</t>
        </is>
      </c>
      <c r="F22" s="1" t="n"/>
    </row>
    <row r="23">
      <c r="A23" s="1" t="n"/>
      <c r="B23" s="1" t="n"/>
      <c r="C23" s="1" t="n"/>
      <c r="D23" s="1" t="n"/>
      <c r="E23" s="1" t="n"/>
      <c r="F23" s="1" t="n"/>
    </row>
    <row r="24" ht="24" customHeight="1">
      <c r="A24" s="1" t="n"/>
      <c r="B24" s="15" t="inlineStr">
        <is>
          <t>4 · O QUE SOBRA PRA NÓS</t>
        </is>
      </c>
      <c r="C24" s="16" t="n"/>
      <c r="D24" s="16" t="n"/>
      <c r="E24" s="16" t="n"/>
      <c r="F24" s="1" t="n"/>
    </row>
    <row r="25" ht="30" customHeight="1">
      <c r="A25" s="1" t="n"/>
      <c r="B25" s="17" t="inlineStr">
        <is>
          <t>Lucro por garrafa</t>
        </is>
      </c>
      <c r="C25" s="18">
        <f>C19+C20+C21+C22</f>
        <v/>
      </c>
      <c r="D25" s="8" t="n"/>
      <c r="E25" s="9" t="inlineStr">
        <is>
          <t>Venda − Simples − Frete − Custo com DIFAL</t>
        </is>
      </c>
      <c r="F25" s="1" t="n"/>
    </row>
    <row r="26" ht="30" customHeight="1">
      <c r="A26" s="1" t="n"/>
      <c r="B26" s="17" t="inlineStr">
        <is>
          <t>Markup final</t>
        </is>
      </c>
      <c r="C26" s="19">
        <f>IF(C18=0,0,(C19+C20+C21)/C18)</f>
        <v/>
      </c>
      <c r="D26" s="8" t="n"/>
      <c r="E26" s="9" t="inlineStr">
        <is>
          <t>Quanto entra líquido (venda − Simples − frete) ÷ custo com DIFAL</t>
        </is>
      </c>
      <c r="F26" s="1" t="n"/>
    </row>
    <row r="27" ht="30" customHeight="1">
      <c r="A27" s="1" t="n"/>
      <c r="B27" s="17" t="inlineStr">
        <is>
          <t>Margem líquida</t>
        </is>
      </c>
      <c r="C27" s="20">
        <f>IF(C19=0,0,C25/C19)</f>
        <v/>
      </c>
      <c r="D27" s="8" t="n"/>
      <c r="E27" s="9" t="inlineStr">
        <is>
          <t>Lucro ÷ preço de venda</t>
        </is>
      </c>
      <c r="F27" s="1" t="n"/>
    </row>
    <row r="28" ht="30" customHeight="1">
      <c r="A28" s="1" t="n"/>
      <c r="B28" s="21" t="inlineStr">
        <is>
          <t>Markup final s/ custo do fornecedor</t>
        </is>
      </c>
      <c r="C28" s="22">
        <f>IF(C9=0,0,(C19+C20+C21)/C9)</f>
        <v/>
      </c>
      <c r="D28" s="8" t="n"/>
      <c r="E28" s="9" t="inlineStr">
        <is>
          <t>Mesmo cálculo, mas dividindo pelo custo puro (sem DIFAL)</t>
        </is>
      </c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23" t="inlineStr">
        <is>
          <t>Legenda: células em vinho claro com borda = preencher · demais = fórmula, não editar.</t>
        </is>
      </c>
      <c r="C30" s="1" t="n"/>
      <c r="D30" s="1" t="n"/>
      <c r="E30" s="1" t="n"/>
      <c r="F30" s="1" t="n"/>
    </row>
    <row r="31">
      <c r="A31" s="1" t="n"/>
      <c r="B31" s="23" t="inlineStr">
        <is>
          <t>Premissas (DIFAL 13%, markup 1,6, Simples 8%, frete R$ 10) informadas pelo Marcelo em 21/out/2026.</t>
        </is>
      </c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</sheetData>
  <pageMargins left="0.75" right="0.75" top="1" bottom="1" header="0.5" footer="0.5"/>
  <pageSetup orientation="portrait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B4:J6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5" customWidth="1" min="3" max="3"/>
    <col width="15" customWidth="1" min="4" max="4"/>
    <col width="15" customWidth="1" min="5" max="5"/>
    <col width="14" customWidth="1" min="6" max="6"/>
    <col width="12" customWidth="1" min="7" max="7"/>
    <col width="15" customWidth="1" min="8" max="8"/>
    <col width="13" customWidth="1" min="9" max="9"/>
    <col width="13" customWidth="1" min="10" max="10"/>
  </cols>
  <sheetData>
    <row r="2" ht="20" customHeight="1"/>
    <row r="4" ht="28" customHeight="1">
      <c r="B4" s="24" t="inlineStr">
        <is>
          <t>Precificação em lote</t>
        </is>
      </c>
    </row>
    <row r="5">
      <c r="B5" s="23" t="inlineStr">
        <is>
          <t>Preencha nome e custo do fornecedor. As premissas vêm da aba Calculadora (DIFAL, markup, Simples e frete) — mudou lá, muda aqui.</t>
        </is>
      </c>
    </row>
    <row r="7" ht="30" customHeight="1">
      <c r="B7" s="25" t="inlineStr">
        <is>
          <t>Vinho</t>
        </is>
      </c>
      <c r="C7" s="26" t="inlineStr">
        <is>
          <t>Custo fornecedor</t>
        </is>
      </c>
      <c r="D7" s="26" t="inlineStr">
        <is>
          <t>Custo c/ DIFAL</t>
        </is>
      </c>
      <c r="E7" s="26" t="inlineStr">
        <is>
          <t>Preço de venda</t>
        </is>
      </c>
      <c r="F7" s="26" t="inlineStr">
        <is>
          <t>Simples</t>
        </is>
      </c>
      <c r="G7" s="26" t="inlineStr">
        <is>
          <t>Frete</t>
        </is>
      </c>
      <c r="H7" s="26" t="inlineStr">
        <is>
          <t>Lucro / garrafa</t>
        </is>
      </c>
      <c r="I7" s="26" t="inlineStr">
        <is>
          <t>Markup final</t>
        </is>
      </c>
      <c r="J7" s="26" t="inlineStr">
        <is>
          <t>Margem líquida</t>
        </is>
      </c>
    </row>
    <row r="8" ht="20" customHeight="1">
      <c r="B8" s="27" t="inlineStr">
        <is>
          <t>Exemplo — Malbec Reserva (apague e use)</t>
        </is>
      </c>
      <c r="C8" s="28" t="n">
        <v>89.90000000000001</v>
      </c>
      <c r="D8" s="29">
        <f>IF($C8="","",C8*(1+Calculadora!$C$12))</f>
        <v/>
      </c>
      <c r="E8" s="30">
        <f>IF($C8="","",D8*Calculadora!$C$13)</f>
        <v/>
      </c>
      <c r="F8" s="29">
        <f>IF($C8="","",E8*Calculadora!$C$14)</f>
        <v/>
      </c>
      <c r="G8" s="29">
        <f>IF($C8="","",Calculadora!$C$15)</f>
        <v/>
      </c>
      <c r="H8" s="31">
        <f>IF($C8="","",E8-F8-G8-D8)</f>
        <v/>
      </c>
      <c r="I8" s="32">
        <f>IF($C8="","",IF(D8=0,0,(E8-F8-G8)/D8))</f>
        <v/>
      </c>
      <c r="J8" s="33">
        <f>IF($C8="","",IF(E8=0,0,H8/E8))</f>
        <v/>
      </c>
    </row>
    <row r="9" ht="20" customHeight="1">
      <c r="B9" s="34" t="n"/>
      <c r="C9" s="28" t="n"/>
      <c r="D9" s="29">
        <f>IF($C9="","",C9*(1+Calculadora!$C$12))</f>
        <v/>
      </c>
      <c r="E9" s="30">
        <f>IF($C9="","",D9*Calculadora!$C$13)</f>
        <v/>
      </c>
      <c r="F9" s="29">
        <f>IF($C9="","",E9*Calculadora!$C$14)</f>
        <v/>
      </c>
      <c r="G9" s="29">
        <f>IF($C9="","",Calculadora!$C$15)</f>
        <v/>
      </c>
      <c r="H9" s="31">
        <f>IF($C9="","",E9-F9-G9-D9)</f>
        <v/>
      </c>
      <c r="I9" s="32">
        <f>IF($C9="","",IF(D9=0,0,(E9-F9-G9)/D9))</f>
        <v/>
      </c>
      <c r="J9" s="33">
        <f>IF($C9="","",IF(E9=0,0,H9/E9))</f>
        <v/>
      </c>
    </row>
    <row r="10" ht="20" customHeight="1">
      <c r="B10" s="34" t="n"/>
      <c r="C10" s="28" t="n"/>
      <c r="D10" s="29">
        <f>IF($C10="","",C10*(1+Calculadora!$C$12))</f>
        <v/>
      </c>
      <c r="E10" s="30">
        <f>IF($C10="","",D10*Calculadora!$C$13)</f>
        <v/>
      </c>
      <c r="F10" s="29">
        <f>IF($C10="","",E10*Calculadora!$C$14)</f>
        <v/>
      </c>
      <c r="G10" s="29">
        <f>IF($C10="","",Calculadora!$C$15)</f>
        <v/>
      </c>
      <c r="H10" s="31">
        <f>IF($C10="","",E10-F10-G10-D10)</f>
        <v/>
      </c>
      <c r="I10" s="32">
        <f>IF($C10="","",IF(D10=0,0,(E10-F10-G10)/D10))</f>
        <v/>
      </c>
      <c r="J10" s="33">
        <f>IF($C10="","",IF(E10=0,0,H10/E10))</f>
        <v/>
      </c>
    </row>
    <row r="11" ht="20" customHeight="1">
      <c r="B11" s="34" t="n"/>
      <c r="C11" s="28" t="n"/>
      <c r="D11" s="29">
        <f>IF($C11="","",C11*(1+Calculadora!$C$12))</f>
        <v/>
      </c>
      <c r="E11" s="30">
        <f>IF($C11="","",D11*Calculadora!$C$13)</f>
        <v/>
      </c>
      <c r="F11" s="29">
        <f>IF($C11="","",E11*Calculadora!$C$14)</f>
        <v/>
      </c>
      <c r="G11" s="29">
        <f>IF($C11="","",Calculadora!$C$15)</f>
        <v/>
      </c>
      <c r="H11" s="31">
        <f>IF($C11="","",E11-F11-G11-D11)</f>
        <v/>
      </c>
      <c r="I11" s="32">
        <f>IF($C11="","",IF(D11=0,0,(E11-F11-G11)/D11))</f>
        <v/>
      </c>
      <c r="J11" s="33">
        <f>IF($C11="","",IF(E11=0,0,H11/E11))</f>
        <v/>
      </c>
    </row>
    <row r="12" ht="20" customHeight="1">
      <c r="B12" s="34" t="n"/>
      <c r="C12" s="28" t="n"/>
      <c r="D12" s="29">
        <f>IF($C12="","",C12*(1+Calculadora!$C$12))</f>
        <v/>
      </c>
      <c r="E12" s="30">
        <f>IF($C12="","",D12*Calculadora!$C$13)</f>
        <v/>
      </c>
      <c r="F12" s="29">
        <f>IF($C12="","",E12*Calculadora!$C$14)</f>
        <v/>
      </c>
      <c r="G12" s="29">
        <f>IF($C12="","",Calculadora!$C$15)</f>
        <v/>
      </c>
      <c r="H12" s="31">
        <f>IF($C12="","",E12-F12-G12-D12)</f>
        <v/>
      </c>
      <c r="I12" s="32">
        <f>IF($C12="","",IF(D12=0,0,(E12-F12-G12)/D12))</f>
        <v/>
      </c>
      <c r="J12" s="33">
        <f>IF($C12="","",IF(E12=0,0,H12/E12))</f>
        <v/>
      </c>
    </row>
    <row r="13" ht="20" customHeight="1">
      <c r="B13" s="34" t="n"/>
      <c r="C13" s="28" t="n"/>
      <c r="D13" s="29">
        <f>IF($C13="","",C13*(1+Calculadora!$C$12))</f>
        <v/>
      </c>
      <c r="E13" s="30">
        <f>IF($C13="","",D13*Calculadora!$C$13)</f>
        <v/>
      </c>
      <c r="F13" s="29">
        <f>IF($C13="","",E13*Calculadora!$C$14)</f>
        <v/>
      </c>
      <c r="G13" s="29">
        <f>IF($C13="","",Calculadora!$C$15)</f>
        <v/>
      </c>
      <c r="H13" s="31">
        <f>IF($C13="","",E13-F13-G13-D13)</f>
        <v/>
      </c>
      <c r="I13" s="32">
        <f>IF($C13="","",IF(D13=0,0,(E13-F13-G13)/D13))</f>
        <v/>
      </c>
      <c r="J13" s="33">
        <f>IF($C13="","",IF(E13=0,0,H13/E13))</f>
        <v/>
      </c>
    </row>
    <row r="14" ht="20" customHeight="1">
      <c r="B14" s="34" t="n"/>
      <c r="C14" s="28" t="n"/>
      <c r="D14" s="29">
        <f>IF($C14="","",C14*(1+Calculadora!$C$12))</f>
        <v/>
      </c>
      <c r="E14" s="30">
        <f>IF($C14="","",D14*Calculadora!$C$13)</f>
        <v/>
      </c>
      <c r="F14" s="29">
        <f>IF($C14="","",E14*Calculadora!$C$14)</f>
        <v/>
      </c>
      <c r="G14" s="29">
        <f>IF($C14="","",Calculadora!$C$15)</f>
        <v/>
      </c>
      <c r="H14" s="31">
        <f>IF($C14="","",E14-F14-G14-D14)</f>
        <v/>
      </c>
      <c r="I14" s="32">
        <f>IF($C14="","",IF(D14=0,0,(E14-F14-G14)/D14))</f>
        <v/>
      </c>
      <c r="J14" s="33">
        <f>IF($C14="","",IF(E14=0,0,H14/E14))</f>
        <v/>
      </c>
    </row>
    <row r="15" ht="20" customHeight="1">
      <c r="B15" s="34" t="n"/>
      <c r="C15" s="28" t="n"/>
      <c r="D15" s="29">
        <f>IF($C15="","",C15*(1+Calculadora!$C$12))</f>
        <v/>
      </c>
      <c r="E15" s="30">
        <f>IF($C15="","",D15*Calculadora!$C$13)</f>
        <v/>
      </c>
      <c r="F15" s="29">
        <f>IF($C15="","",E15*Calculadora!$C$14)</f>
        <v/>
      </c>
      <c r="G15" s="29">
        <f>IF($C15="","",Calculadora!$C$15)</f>
        <v/>
      </c>
      <c r="H15" s="31">
        <f>IF($C15="","",E15-F15-G15-D15)</f>
        <v/>
      </c>
      <c r="I15" s="32">
        <f>IF($C15="","",IF(D15=0,0,(E15-F15-G15)/D15))</f>
        <v/>
      </c>
      <c r="J15" s="33">
        <f>IF($C15="","",IF(E15=0,0,H15/E15))</f>
        <v/>
      </c>
    </row>
    <row r="16" ht="20" customHeight="1">
      <c r="B16" s="34" t="n"/>
      <c r="C16" s="28" t="n"/>
      <c r="D16" s="29">
        <f>IF($C16="","",C16*(1+Calculadora!$C$12))</f>
        <v/>
      </c>
      <c r="E16" s="30">
        <f>IF($C16="","",D16*Calculadora!$C$13)</f>
        <v/>
      </c>
      <c r="F16" s="29">
        <f>IF($C16="","",E16*Calculadora!$C$14)</f>
        <v/>
      </c>
      <c r="G16" s="29">
        <f>IF($C16="","",Calculadora!$C$15)</f>
        <v/>
      </c>
      <c r="H16" s="31">
        <f>IF($C16="","",E16-F16-G16-D16)</f>
        <v/>
      </c>
      <c r="I16" s="32">
        <f>IF($C16="","",IF(D16=0,0,(E16-F16-G16)/D16))</f>
        <v/>
      </c>
      <c r="J16" s="33">
        <f>IF($C16="","",IF(E16=0,0,H16/E16))</f>
        <v/>
      </c>
    </row>
    <row r="17" ht="20" customHeight="1">
      <c r="B17" s="34" t="n"/>
      <c r="C17" s="28" t="n"/>
      <c r="D17" s="29">
        <f>IF($C17="","",C17*(1+Calculadora!$C$12))</f>
        <v/>
      </c>
      <c r="E17" s="30">
        <f>IF($C17="","",D17*Calculadora!$C$13)</f>
        <v/>
      </c>
      <c r="F17" s="29">
        <f>IF($C17="","",E17*Calculadora!$C$14)</f>
        <v/>
      </c>
      <c r="G17" s="29">
        <f>IF($C17="","",Calculadora!$C$15)</f>
        <v/>
      </c>
      <c r="H17" s="31">
        <f>IF($C17="","",E17-F17-G17-D17)</f>
        <v/>
      </c>
      <c r="I17" s="32">
        <f>IF($C17="","",IF(D17=0,0,(E17-F17-G17)/D17))</f>
        <v/>
      </c>
      <c r="J17" s="33">
        <f>IF($C17="","",IF(E17=0,0,H17/E17))</f>
        <v/>
      </c>
    </row>
    <row r="18" ht="20" customHeight="1">
      <c r="B18" s="34" t="n"/>
      <c r="C18" s="28" t="n"/>
      <c r="D18" s="29">
        <f>IF($C18="","",C18*(1+Calculadora!$C$12))</f>
        <v/>
      </c>
      <c r="E18" s="30">
        <f>IF($C18="","",D18*Calculadora!$C$13)</f>
        <v/>
      </c>
      <c r="F18" s="29">
        <f>IF($C18="","",E18*Calculadora!$C$14)</f>
        <v/>
      </c>
      <c r="G18" s="29">
        <f>IF($C18="","",Calculadora!$C$15)</f>
        <v/>
      </c>
      <c r="H18" s="31">
        <f>IF($C18="","",E18-F18-G18-D18)</f>
        <v/>
      </c>
      <c r="I18" s="32">
        <f>IF($C18="","",IF(D18=0,0,(E18-F18-G18)/D18))</f>
        <v/>
      </c>
      <c r="J18" s="33">
        <f>IF($C18="","",IF(E18=0,0,H18/E18))</f>
        <v/>
      </c>
    </row>
    <row r="19" ht="20" customHeight="1">
      <c r="B19" s="34" t="n"/>
      <c r="C19" s="28" t="n"/>
      <c r="D19" s="29">
        <f>IF($C19="","",C19*(1+Calculadora!$C$12))</f>
        <v/>
      </c>
      <c r="E19" s="30">
        <f>IF($C19="","",D19*Calculadora!$C$13)</f>
        <v/>
      </c>
      <c r="F19" s="29">
        <f>IF($C19="","",E19*Calculadora!$C$14)</f>
        <v/>
      </c>
      <c r="G19" s="29">
        <f>IF($C19="","",Calculadora!$C$15)</f>
        <v/>
      </c>
      <c r="H19" s="31">
        <f>IF($C19="","",E19-F19-G19-D19)</f>
        <v/>
      </c>
      <c r="I19" s="32">
        <f>IF($C19="","",IF(D19=0,0,(E19-F19-G19)/D19))</f>
        <v/>
      </c>
      <c r="J19" s="33">
        <f>IF($C19="","",IF(E19=0,0,H19/E19))</f>
        <v/>
      </c>
    </row>
    <row r="20" ht="20" customHeight="1">
      <c r="B20" s="34" t="n"/>
      <c r="C20" s="28" t="n"/>
      <c r="D20" s="29">
        <f>IF($C20="","",C20*(1+Calculadora!$C$12))</f>
        <v/>
      </c>
      <c r="E20" s="30">
        <f>IF($C20="","",D20*Calculadora!$C$13)</f>
        <v/>
      </c>
      <c r="F20" s="29">
        <f>IF($C20="","",E20*Calculadora!$C$14)</f>
        <v/>
      </c>
      <c r="G20" s="29">
        <f>IF($C20="","",Calculadora!$C$15)</f>
        <v/>
      </c>
      <c r="H20" s="31">
        <f>IF($C20="","",E20-F20-G20-D20)</f>
        <v/>
      </c>
      <c r="I20" s="32">
        <f>IF($C20="","",IF(D20=0,0,(E20-F20-G20)/D20))</f>
        <v/>
      </c>
      <c r="J20" s="33">
        <f>IF($C20="","",IF(E20=0,0,H20/E20))</f>
        <v/>
      </c>
    </row>
    <row r="21" ht="20" customHeight="1">
      <c r="B21" s="34" t="n"/>
      <c r="C21" s="28" t="n"/>
      <c r="D21" s="29">
        <f>IF($C21="","",C21*(1+Calculadora!$C$12))</f>
        <v/>
      </c>
      <c r="E21" s="30">
        <f>IF($C21="","",D21*Calculadora!$C$13)</f>
        <v/>
      </c>
      <c r="F21" s="29">
        <f>IF($C21="","",E21*Calculadora!$C$14)</f>
        <v/>
      </c>
      <c r="G21" s="29">
        <f>IF($C21="","",Calculadora!$C$15)</f>
        <v/>
      </c>
      <c r="H21" s="31">
        <f>IF($C21="","",E21-F21-G21-D21)</f>
        <v/>
      </c>
      <c r="I21" s="32">
        <f>IF($C21="","",IF(D21=0,0,(E21-F21-G21)/D21))</f>
        <v/>
      </c>
      <c r="J21" s="33">
        <f>IF($C21="","",IF(E21=0,0,H21/E21))</f>
        <v/>
      </c>
    </row>
    <row r="22" ht="20" customHeight="1">
      <c r="B22" s="34" t="n"/>
      <c r="C22" s="28" t="n"/>
      <c r="D22" s="29">
        <f>IF($C22="","",C22*(1+Calculadora!$C$12))</f>
        <v/>
      </c>
      <c r="E22" s="30">
        <f>IF($C22="","",D22*Calculadora!$C$13)</f>
        <v/>
      </c>
      <c r="F22" s="29">
        <f>IF($C22="","",E22*Calculadora!$C$14)</f>
        <v/>
      </c>
      <c r="G22" s="29">
        <f>IF($C22="","",Calculadora!$C$15)</f>
        <v/>
      </c>
      <c r="H22" s="31">
        <f>IF($C22="","",E22-F22-G22-D22)</f>
        <v/>
      </c>
      <c r="I22" s="32">
        <f>IF($C22="","",IF(D22=0,0,(E22-F22-G22)/D22))</f>
        <v/>
      </c>
      <c r="J22" s="33">
        <f>IF($C22="","",IF(E22=0,0,H22/E22))</f>
        <v/>
      </c>
    </row>
    <row r="23" ht="20" customHeight="1">
      <c r="B23" s="34" t="n"/>
      <c r="C23" s="28" t="n"/>
      <c r="D23" s="29">
        <f>IF($C23="","",C23*(1+Calculadora!$C$12))</f>
        <v/>
      </c>
      <c r="E23" s="30">
        <f>IF($C23="","",D23*Calculadora!$C$13)</f>
        <v/>
      </c>
      <c r="F23" s="29">
        <f>IF($C23="","",E23*Calculadora!$C$14)</f>
        <v/>
      </c>
      <c r="G23" s="29">
        <f>IF($C23="","",Calculadora!$C$15)</f>
        <v/>
      </c>
      <c r="H23" s="31">
        <f>IF($C23="","",E23-F23-G23-D23)</f>
        <v/>
      </c>
      <c r="I23" s="32">
        <f>IF($C23="","",IF(D23=0,0,(E23-F23-G23)/D23))</f>
        <v/>
      </c>
      <c r="J23" s="33">
        <f>IF($C23="","",IF(E23=0,0,H23/E23))</f>
        <v/>
      </c>
    </row>
    <row r="24" ht="20" customHeight="1">
      <c r="B24" s="34" t="n"/>
      <c r="C24" s="28" t="n"/>
      <c r="D24" s="29">
        <f>IF($C24="","",C24*(1+Calculadora!$C$12))</f>
        <v/>
      </c>
      <c r="E24" s="30">
        <f>IF($C24="","",D24*Calculadora!$C$13)</f>
        <v/>
      </c>
      <c r="F24" s="29">
        <f>IF($C24="","",E24*Calculadora!$C$14)</f>
        <v/>
      </c>
      <c r="G24" s="29">
        <f>IF($C24="","",Calculadora!$C$15)</f>
        <v/>
      </c>
      <c r="H24" s="31">
        <f>IF($C24="","",E24-F24-G24-D24)</f>
        <v/>
      </c>
      <c r="I24" s="32">
        <f>IF($C24="","",IF(D24=0,0,(E24-F24-G24)/D24))</f>
        <v/>
      </c>
      <c r="J24" s="33">
        <f>IF($C24="","",IF(E24=0,0,H24/E24))</f>
        <v/>
      </c>
    </row>
    <row r="25" ht="20" customHeight="1">
      <c r="B25" s="34" t="n"/>
      <c r="C25" s="28" t="n"/>
      <c r="D25" s="29">
        <f>IF($C25="","",C25*(1+Calculadora!$C$12))</f>
        <v/>
      </c>
      <c r="E25" s="30">
        <f>IF($C25="","",D25*Calculadora!$C$13)</f>
        <v/>
      </c>
      <c r="F25" s="29">
        <f>IF($C25="","",E25*Calculadora!$C$14)</f>
        <v/>
      </c>
      <c r="G25" s="29">
        <f>IF($C25="","",Calculadora!$C$15)</f>
        <v/>
      </c>
      <c r="H25" s="31">
        <f>IF($C25="","",E25-F25-G25-D25)</f>
        <v/>
      </c>
      <c r="I25" s="32">
        <f>IF($C25="","",IF(D25=0,0,(E25-F25-G25)/D25))</f>
        <v/>
      </c>
      <c r="J25" s="33">
        <f>IF($C25="","",IF(E25=0,0,H25/E25))</f>
        <v/>
      </c>
    </row>
    <row r="26" ht="20" customHeight="1">
      <c r="B26" s="34" t="n"/>
      <c r="C26" s="28" t="n"/>
      <c r="D26" s="29">
        <f>IF($C26="","",C26*(1+Calculadora!$C$12))</f>
        <v/>
      </c>
      <c r="E26" s="30">
        <f>IF($C26="","",D26*Calculadora!$C$13)</f>
        <v/>
      </c>
      <c r="F26" s="29">
        <f>IF($C26="","",E26*Calculadora!$C$14)</f>
        <v/>
      </c>
      <c r="G26" s="29">
        <f>IF($C26="","",Calculadora!$C$15)</f>
        <v/>
      </c>
      <c r="H26" s="31">
        <f>IF($C26="","",E26-F26-G26-D26)</f>
        <v/>
      </c>
      <c r="I26" s="32">
        <f>IF($C26="","",IF(D26=0,0,(E26-F26-G26)/D26))</f>
        <v/>
      </c>
      <c r="J26" s="33">
        <f>IF($C26="","",IF(E26=0,0,H26/E26))</f>
        <v/>
      </c>
    </row>
    <row r="27" ht="20" customHeight="1">
      <c r="B27" s="34" t="n"/>
      <c r="C27" s="28" t="n"/>
      <c r="D27" s="29">
        <f>IF($C27="","",C27*(1+Calculadora!$C$12))</f>
        <v/>
      </c>
      <c r="E27" s="30">
        <f>IF($C27="","",D27*Calculadora!$C$13)</f>
        <v/>
      </c>
      <c r="F27" s="29">
        <f>IF($C27="","",E27*Calculadora!$C$14)</f>
        <v/>
      </c>
      <c r="G27" s="29">
        <f>IF($C27="","",Calculadora!$C$15)</f>
        <v/>
      </c>
      <c r="H27" s="31">
        <f>IF($C27="","",E27-F27-G27-D27)</f>
        <v/>
      </c>
      <c r="I27" s="32">
        <f>IF($C27="","",IF(D27=0,0,(E27-F27-G27)/D27))</f>
        <v/>
      </c>
      <c r="J27" s="33">
        <f>IF($C27="","",IF(E27=0,0,H27/E27))</f>
        <v/>
      </c>
    </row>
    <row r="28" ht="20" customHeight="1">
      <c r="B28" s="34" t="n"/>
      <c r="C28" s="28" t="n"/>
      <c r="D28" s="29">
        <f>IF($C28="","",C28*(1+Calculadora!$C$12))</f>
        <v/>
      </c>
      <c r="E28" s="30">
        <f>IF($C28="","",D28*Calculadora!$C$13)</f>
        <v/>
      </c>
      <c r="F28" s="29">
        <f>IF($C28="","",E28*Calculadora!$C$14)</f>
        <v/>
      </c>
      <c r="G28" s="29">
        <f>IF($C28="","",Calculadora!$C$15)</f>
        <v/>
      </c>
      <c r="H28" s="31">
        <f>IF($C28="","",E28-F28-G28-D28)</f>
        <v/>
      </c>
      <c r="I28" s="32">
        <f>IF($C28="","",IF(D28=0,0,(E28-F28-G28)/D28))</f>
        <v/>
      </c>
      <c r="J28" s="33">
        <f>IF($C28="","",IF(E28=0,0,H28/E28))</f>
        <v/>
      </c>
    </row>
    <row r="29" ht="20" customHeight="1">
      <c r="B29" s="34" t="n"/>
      <c r="C29" s="28" t="n"/>
      <c r="D29" s="29">
        <f>IF($C29="","",C29*(1+Calculadora!$C$12))</f>
        <v/>
      </c>
      <c r="E29" s="30">
        <f>IF($C29="","",D29*Calculadora!$C$13)</f>
        <v/>
      </c>
      <c r="F29" s="29">
        <f>IF($C29="","",E29*Calculadora!$C$14)</f>
        <v/>
      </c>
      <c r="G29" s="29">
        <f>IF($C29="","",Calculadora!$C$15)</f>
        <v/>
      </c>
      <c r="H29" s="31">
        <f>IF($C29="","",E29-F29-G29-D29)</f>
        <v/>
      </c>
      <c r="I29" s="32">
        <f>IF($C29="","",IF(D29=0,0,(E29-F29-G29)/D29))</f>
        <v/>
      </c>
      <c r="J29" s="33">
        <f>IF($C29="","",IF(E29=0,0,H29/E29))</f>
        <v/>
      </c>
    </row>
    <row r="30" ht="20" customHeight="1">
      <c r="B30" s="34" t="n"/>
      <c r="C30" s="28" t="n"/>
      <c r="D30" s="29">
        <f>IF($C30="","",C30*(1+Calculadora!$C$12))</f>
        <v/>
      </c>
      <c r="E30" s="30">
        <f>IF($C30="","",D30*Calculadora!$C$13)</f>
        <v/>
      </c>
      <c r="F30" s="29">
        <f>IF($C30="","",E30*Calculadora!$C$14)</f>
        <v/>
      </c>
      <c r="G30" s="29">
        <f>IF($C30="","",Calculadora!$C$15)</f>
        <v/>
      </c>
      <c r="H30" s="31">
        <f>IF($C30="","",E30-F30-G30-D30)</f>
        <v/>
      </c>
      <c r="I30" s="32">
        <f>IF($C30="","",IF(D30=0,0,(E30-F30-G30)/D30))</f>
        <v/>
      </c>
      <c r="J30" s="33">
        <f>IF($C30="","",IF(E30=0,0,H30/E30))</f>
        <v/>
      </c>
    </row>
    <row r="31" ht="20" customHeight="1">
      <c r="B31" s="34" t="n"/>
      <c r="C31" s="28" t="n"/>
      <c r="D31" s="29">
        <f>IF($C31="","",C31*(1+Calculadora!$C$12))</f>
        <v/>
      </c>
      <c r="E31" s="30">
        <f>IF($C31="","",D31*Calculadora!$C$13)</f>
        <v/>
      </c>
      <c r="F31" s="29">
        <f>IF($C31="","",E31*Calculadora!$C$14)</f>
        <v/>
      </c>
      <c r="G31" s="29">
        <f>IF($C31="","",Calculadora!$C$15)</f>
        <v/>
      </c>
      <c r="H31" s="31">
        <f>IF($C31="","",E31-F31-G31-D31)</f>
        <v/>
      </c>
      <c r="I31" s="32">
        <f>IF($C31="","",IF(D31=0,0,(E31-F31-G31)/D31))</f>
        <v/>
      </c>
      <c r="J31" s="33">
        <f>IF($C31="","",IF(E31=0,0,H31/E31))</f>
        <v/>
      </c>
    </row>
    <row r="32" ht="20" customHeight="1">
      <c r="B32" s="34" t="n"/>
      <c r="C32" s="28" t="n"/>
      <c r="D32" s="29">
        <f>IF($C32="","",C32*(1+Calculadora!$C$12))</f>
        <v/>
      </c>
      <c r="E32" s="30">
        <f>IF($C32="","",D32*Calculadora!$C$13)</f>
        <v/>
      </c>
      <c r="F32" s="29">
        <f>IF($C32="","",E32*Calculadora!$C$14)</f>
        <v/>
      </c>
      <c r="G32" s="29">
        <f>IF($C32="","",Calculadora!$C$15)</f>
        <v/>
      </c>
      <c r="H32" s="31">
        <f>IF($C32="","",E32-F32-G32-D32)</f>
        <v/>
      </c>
      <c r="I32" s="32">
        <f>IF($C32="","",IF(D32=0,0,(E32-F32-G32)/D32))</f>
        <v/>
      </c>
      <c r="J32" s="33">
        <f>IF($C32="","",IF(E32=0,0,H32/E32))</f>
        <v/>
      </c>
    </row>
    <row r="33" ht="20" customHeight="1">
      <c r="B33" s="34" t="n"/>
      <c r="C33" s="28" t="n"/>
      <c r="D33" s="29">
        <f>IF($C33="","",C33*(1+Calculadora!$C$12))</f>
        <v/>
      </c>
      <c r="E33" s="30">
        <f>IF($C33="","",D33*Calculadora!$C$13)</f>
        <v/>
      </c>
      <c r="F33" s="29">
        <f>IF($C33="","",E33*Calculadora!$C$14)</f>
        <v/>
      </c>
      <c r="G33" s="29">
        <f>IF($C33="","",Calculadora!$C$15)</f>
        <v/>
      </c>
      <c r="H33" s="31">
        <f>IF($C33="","",E33-F33-G33-D33)</f>
        <v/>
      </c>
      <c r="I33" s="32">
        <f>IF($C33="","",IF(D33=0,0,(E33-F33-G33)/D33))</f>
        <v/>
      </c>
      <c r="J33" s="33">
        <f>IF($C33="","",IF(E33=0,0,H33/E33))</f>
        <v/>
      </c>
    </row>
    <row r="34" ht="20" customHeight="1">
      <c r="B34" s="34" t="n"/>
      <c r="C34" s="28" t="n"/>
      <c r="D34" s="29">
        <f>IF($C34="","",C34*(1+Calculadora!$C$12))</f>
        <v/>
      </c>
      <c r="E34" s="30">
        <f>IF($C34="","",D34*Calculadora!$C$13)</f>
        <v/>
      </c>
      <c r="F34" s="29">
        <f>IF($C34="","",E34*Calculadora!$C$14)</f>
        <v/>
      </c>
      <c r="G34" s="29">
        <f>IF($C34="","",Calculadora!$C$15)</f>
        <v/>
      </c>
      <c r="H34" s="31">
        <f>IF($C34="","",E34-F34-G34-D34)</f>
        <v/>
      </c>
      <c r="I34" s="32">
        <f>IF($C34="","",IF(D34=0,0,(E34-F34-G34)/D34))</f>
        <v/>
      </c>
      <c r="J34" s="33">
        <f>IF($C34="","",IF(E34=0,0,H34/E34))</f>
        <v/>
      </c>
    </row>
    <row r="35" ht="20" customHeight="1">
      <c r="B35" s="34" t="n"/>
      <c r="C35" s="28" t="n"/>
      <c r="D35" s="29">
        <f>IF($C35="","",C35*(1+Calculadora!$C$12))</f>
        <v/>
      </c>
      <c r="E35" s="30">
        <f>IF($C35="","",D35*Calculadora!$C$13)</f>
        <v/>
      </c>
      <c r="F35" s="29">
        <f>IF($C35="","",E35*Calculadora!$C$14)</f>
        <v/>
      </c>
      <c r="G35" s="29">
        <f>IF($C35="","",Calculadora!$C$15)</f>
        <v/>
      </c>
      <c r="H35" s="31">
        <f>IF($C35="","",E35-F35-G35-D35)</f>
        <v/>
      </c>
      <c r="I35" s="32">
        <f>IF($C35="","",IF(D35=0,0,(E35-F35-G35)/D35))</f>
        <v/>
      </c>
      <c r="J35" s="33">
        <f>IF($C35="","",IF(E35=0,0,H35/E35))</f>
        <v/>
      </c>
    </row>
    <row r="36" ht="20" customHeight="1">
      <c r="B36" s="34" t="n"/>
      <c r="C36" s="28" t="n"/>
      <c r="D36" s="29">
        <f>IF($C36="","",C36*(1+Calculadora!$C$12))</f>
        <v/>
      </c>
      <c r="E36" s="30">
        <f>IF($C36="","",D36*Calculadora!$C$13)</f>
        <v/>
      </c>
      <c r="F36" s="29">
        <f>IF($C36="","",E36*Calculadora!$C$14)</f>
        <v/>
      </c>
      <c r="G36" s="29">
        <f>IF($C36="","",Calculadora!$C$15)</f>
        <v/>
      </c>
      <c r="H36" s="31">
        <f>IF($C36="","",E36-F36-G36-D36)</f>
        <v/>
      </c>
      <c r="I36" s="32">
        <f>IF($C36="","",IF(D36=0,0,(E36-F36-G36)/D36))</f>
        <v/>
      </c>
      <c r="J36" s="33">
        <f>IF($C36="","",IF(E36=0,0,H36/E36))</f>
        <v/>
      </c>
    </row>
    <row r="37" ht="20" customHeight="1">
      <c r="B37" s="34" t="n"/>
      <c r="C37" s="28" t="n"/>
      <c r="D37" s="29">
        <f>IF($C37="","",C37*(1+Calculadora!$C$12))</f>
        <v/>
      </c>
      <c r="E37" s="30">
        <f>IF($C37="","",D37*Calculadora!$C$13)</f>
        <v/>
      </c>
      <c r="F37" s="29">
        <f>IF($C37="","",E37*Calculadora!$C$14)</f>
        <v/>
      </c>
      <c r="G37" s="29">
        <f>IF($C37="","",Calculadora!$C$15)</f>
        <v/>
      </c>
      <c r="H37" s="31">
        <f>IF($C37="","",E37-F37-G37-D37)</f>
        <v/>
      </c>
      <c r="I37" s="32">
        <f>IF($C37="","",IF(D37=0,0,(E37-F37-G37)/D37))</f>
        <v/>
      </c>
      <c r="J37" s="33">
        <f>IF($C37="","",IF(E37=0,0,H37/E37))</f>
        <v/>
      </c>
    </row>
    <row r="38" ht="20" customHeight="1">
      <c r="B38" s="34" t="n"/>
      <c r="C38" s="28" t="n"/>
      <c r="D38" s="29">
        <f>IF($C38="","",C38*(1+Calculadora!$C$12))</f>
        <v/>
      </c>
      <c r="E38" s="30">
        <f>IF($C38="","",D38*Calculadora!$C$13)</f>
        <v/>
      </c>
      <c r="F38" s="29">
        <f>IF($C38="","",E38*Calculadora!$C$14)</f>
        <v/>
      </c>
      <c r="G38" s="29">
        <f>IF($C38="","",Calculadora!$C$15)</f>
        <v/>
      </c>
      <c r="H38" s="31">
        <f>IF($C38="","",E38-F38-G38-D38)</f>
        <v/>
      </c>
      <c r="I38" s="32">
        <f>IF($C38="","",IF(D38=0,0,(E38-F38-G38)/D38))</f>
        <v/>
      </c>
      <c r="J38" s="33">
        <f>IF($C38="","",IF(E38=0,0,H38/E38))</f>
        <v/>
      </c>
    </row>
    <row r="39" ht="20" customHeight="1">
      <c r="B39" s="34" t="n"/>
      <c r="C39" s="28" t="n"/>
      <c r="D39" s="29">
        <f>IF($C39="","",C39*(1+Calculadora!$C$12))</f>
        <v/>
      </c>
      <c r="E39" s="30">
        <f>IF($C39="","",D39*Calculadora!$C$13)</f>
        <v/>
      </c>
      <c r="F39" s="29">
        <f>IF($C39="","",E39*Calculadora!$C$14)</f>
        <v/>
      </c>
      <c r="G39" s="29">
        <f>IF($C39="","",Calculadora!$C$15)</f>
        <v/>
      </c>
      <c r="H39" s="31">
        <f>IF($C39="","",E39-F39-G39-D39)</f>
        <v/>
      </c>
      <c r="I39" s="32">
        <f>IF($C39="","",IF(D39=0,0,(E39-F39-G39)/D39))</f>
        <v/>
      </c>
      <c r="J39" s="33">
        <f>IF($C39="","",IF(E39=0,0,H39/E39))</f>
        <v/>
      </c>
    </row>
    <row r="40" ht="20" customHeight="1">
      <c r="B40" s="34" t="n"/>
      <c r="C40" s="28" t="n"/>
      <c r="D40" s="29">
        <f>IF($C40="","",C40*(1+Calculadora!$C$12))</f>
        <v/>
      </c>
      <c r="E40" s="30">
        <f>IF($C40="","",D40*Calculadora!$C$13)</f>
        <v/>
      </c>
      <c r="F40" s="29">
        <f>IF($C40="","",E40*Calculadora!$C$14)</f>
        <v/>
      </c>
      <c r="G40" s="29">
        <f>IF($C40="","",Calculadora!$C$15)</f>
        <v/>
      </c>
      <c r="H40" s="31">
        <f>IF($C40="","",E40-F40-G40-D40)</f>
        <v/>
      </c>
      <c r="I40" s="32">
        <f>IF($C40="","",IF(D40=0,0,(E40-F40-G40)/D40))</f>
        <v/>
      </c>
      <c r="J40" s="33">
        <f>IF($C40="","",IF(E40=0,0,H40/E40))</f>
        <v/>
      </c>
    </row>
    <row r="41" ht="20" customHeight="1">
      <c r="B41" s="34" t="n"/>
      <c r="C41" s="28" t="n"/>
      <c r="D41" s="29">
        <f>IF($C41="","",C41*(1+Calculadora!$C$12))</f>
        <v/>
      </c>
      <c r="E41" s="30">
        <f>IF($C41="","",D41*Calculadora!$C$13)</f>
        <v/>
      </c>
      <c r="F41" s="29">
        <f>IF($C41="","",E41*Calculadora!$C$14)</f>
        <v/>
      </c>
      <c r="G41" s="29">
        <f>IF($C41="","",Calculadora!$C$15)</f>
        <v/>
      </c>
      <c r="H41" s="31">
        <f>IF($C41="","",E41-F41-G41-D41)</f>
        <v/>
      </c>
      <c r="I41" s="32">
        <f>IF($C41="","",IF(D41=0,0,(E41-F41-G41)/D41))</f>
        <v/>
      </c>
      <c r="J41" s="33">
        <f>IF($C41="","",IF(E41=0,0,H41/E41))</f>
        <v/>
      </c>
    </row>
    <row r="42" ht="20" customHeight="1">
      <c r="B42" s="34" t="n"/>
      <c r="C42" s="28" t="n"/>
      <c r="D42" s="29">
        <f>IF($C42="","",C42*(1+Calculadora!$C$12))</f>
        <v/>
      </c>
      <c r="E42" s="30">
        <f>IF($C42="","",D42*Calculadora!$C$13)</f>
        <v/>
      </c>
      <c r="F42" s="29">
        <f>IF($C42="","",E42*Calculadora!$C$14)</f>
        <v/>
      </c>
      <c r="G42" s="29">
        <f>IF($C42="","",Calculadora!$C$15)</f>
        <v/>
      </c>
      <c r="H42" s="31">
        <f>IF($C42="","",E42-F42-G42-D42)</f>
        <v/>
      </c>
      <c r="I42" s="32">
        <f>IF($C42="","",IF(D42=0,0,(E42-F42-G42)/D42))</f>
        <v/>
      </c>
      <c r="J42" s="33">
        <f>IF($C42="","",IF(E42=0,0,H42/E42))</f>
        <v/>
      </c>
    </row>
    <row r="43" ht="20" customHeight="1">
      <c r="B43" s="34" t="n"/>
      <c r="C43" s="28" t="n"/>
      <c r="D43" s="29">
        <f>IF($C43="","",C43*(1+Calculadora!$C$12))</f>
        <v/>
      </c>
      <c r="E43" s="30">
        <f>IF($C43="","",D43*Calculadora!$C$13)</f>
        <v/>
      </c>
      <c r="F43" s="29">
        <f>IF($C43="","",E43*Calculadora!$C$14)</f>
        <v/>
      </c>
      <c r="G43" s="29">
        <f>IF($C43="","",Calculadora!$C$15)</f>
        <v/>
      </c>
      <c r="H43" s="31">
        <f>IF($C43="","",E43-F43-G43-D43)</f>
        <v/>
      </c>
      <c r="I43" s="32">
        <f>IF($C43="","",IF(D43=0,0,(E43-F43-G43)/D43))</f>
        <v/>
      </c>
      <c r="J43" s="33">
        <f>IF($C43="","",IF(E43=0,0,H43/E43))</f>
        <v/>
      </c>
    </row>
    <row r="44" ht="20" customHeight="1">
      <c r="B44" s="34" t="n"/>
      <c r="C44" s="28" t="n"/>
      <c r="D44" s="29">
        <f>IF($C44="","",C44*(1+Calculadora!$C$12))</f>
        <v/>
      </c>
      <c r="E44" s="30">
        <f>IF($C44="","",D44*Calculadora!$C$13)</f>
        <v/>
      </c>
      <c r="F44" s="29">
        <f>IF($C44="","",E44*Calculadora!$C$14)</f>
        <v/>
      </c>
      <c r="G44" s="29">
        <f>IF($C44="","",Calculadora!$C$15)</f>
        <v/>
      </c>
      <c r="H44" s="31">
        <f>IF($C44="","",E44-F44-G44-D44)</f>
        <v/>
      </c>
      <c r="I44" s="32">
        <f>IF($C44="","",IF(D44=0,0,(E44-F44-G44)/D44))</f>
        <v/>
      </c>
      <c r="J44" s="33">
        <f>IF($C44="","",IF(E44=0,0,H44/E44))</f>
        <v/>
      </c>
    </row>
    <row r="45" ht="20" customHeight="1">
      <c r="B45" s="34" t="n"/>
      <c r="C45" s="28" t="n"/>
      <c r="D45" s="29">
        <f>IF($C45="","",C45*(1+Calculadora!$C$12))</f>
        <v/>
      </c>
      <c r="E45" s="30">
        <f>IF($C45="","",D45*Calculadora!$C$13)</f>
        <v/>
      </c>
      <c r="F45" s="29">
        <f>IF($C45="","",E45*Calculadora!$C$14)</f>
        <v/>
      </c>
      <c r="G45" s="29">
        <f>IF($C45="","",Calculadora!$C$15)</f>
        <v/>
      </c>
      <c r="H45" s="31">
        <f>IF($C45="","",E45-F45-G45-D45)</f>
        <v/>
      </c>
      <c r="I45" s="32">
        <f>IF($C45="","",IF(D45=0,0,(E45-F45-G45)/D45))</f>
        <v/>
      </c>
      <c r="J45" s="33">
        <f>IF($C45="","",IF(E45=0,0,H45/E45))</f>
        <v/>
      </c>
    </row>
    <row r="46" ht="20" customHeight="1">
      <c r="B46" s="34" t="n"/>
      <c r="C46" s="28" t="n"/>
      <c r="D46" s="29">
        <f>IF($C46="","",C46*(1+Calculadora!$C$12))</f>
        <v/>
      </c>
      <c r="E46" s="30">
        <f>IF($C46="","",D46*Calculadora!$C$13)</f>
        <v/>
      </c>
      <c r="F46" s="29">
        <f>IF($C46="","",E46*Calculadora!$C$14)</f>
        <v/>
      </c>
      <c r="G46" s="29">
        <f>IF($C46="","",Calculadora!$C$15)</f>
        <v/>
      </c>
      <c r="H46" s="31">
        <f>IF($C46="","",E46-F46-G46-D46)</f>
        <v/>
      </c>
      <c r="I46" s="32">
        <f>IF($C46="","",IF(D46=0,0,(E46-F46-G46)/D46))</f>
        <v/>
      </c>
      <c r="J46" s="33">
        <f>IF($C46="","",IF(E46=0,0,H46/E46))</f>
        <v/>
      </c>
    </row>
    <row r="47" ht="20" customHeight="1">
      <c r="B47" s="34" t="n"/>
      <c r="C47" s="28" t="n"/>
      <c r="D47" s="29">
        <f>IF($C47="","",C47*(1+Calculadora!$C$12))</f>
        <v/>
      </c>
      <c r="E47" s="30">
        <f>IF($C47="","",D47*Calculadora!$C$13)</f>
        <v/>
      </c>
      <c r="F47" s="29">
        <f>IF($C47="","",E47*Calculadora!$C$14)</f>
        <v/>
      </c>
      <c r="G47" s="29">
        <f>IF($C47="","",Calculadora!$C$15)</f>
        <v/>
      </c>
      <c r="H47" s="31">
        <f>IF($C47="","",E47-F47-G47-D47)</f>
        <v/>
      </c>
      <c r="I47" s="32">
        <f>IF($C47="","",IF(D47=0,0,(E47-F47-G47)/D47))</f>
        <v/>
      </c>
      <c r="J47" s="33">
        <f>IF($C47="","",IF(E47=0,0,H47/E47))</f>
        <v/>
      </c>
    </row>
    <row r="48" ht="20" customHeight="1">
      <c r="B48" s="34" t="n"/>
      <c r="C48" s="28" t="n"/>
      <c r="D48" s="29">
        <f>IF($C48="","",C48*(1+Calculadora!$C$12))</f>
        <v/>
      </c>
      <c r="E48" s="30">
        <f>IF($C48="","",D48*Calculadora!$C$13)</f>
        <v/>
      </c>
      <c r="F48" s="29">
        <f>IF($C48="","",E48*Calculadora!$C$14)</f>
        <v/>
      </c>
      <c r="G48" s="29">
        <f>IF($C48="","",Calculadora!$C$15)</f>
        <v/>
      </c>
      <c r="H48" s="31">
        <f>IF($C48="","",E48-F48-G48-D48)</f>
        <v/>
      </c>
      <c r="I48" s="32">
        <f>IF($C48="","",IF(D48=0,0,(E48-F48-G48)/D48))</f>
        <v/>
      </c>
      <c r="J48" s="33">
        <f>IF($C48="","",IF(E48=0,0,H48/E48))</f>
        <v/>
      </c>
    </row>
    <row r="49" ht="20" customHeight="1">
      <c r="B49" s="34" t="n"/>
      <c r="C49" s="28" t="n"/>
      <c r="D49" s="29">
        <f>IF($C49="","",C49*(1+Calculadora!$C$12))</f>
        <v/>
      </c>
      <c r="E49" s="30">
        <f>IF($C49="","",D49*Calculadora!$C$13)</f>
        <v/>
      </c>
      <c r="F49" s="29">
        <f>IF($C49="","",E49*Calculadora!$C$14)</f>
        <v/>
      </c>
      <c r="G49" s="29">
        <f>IF($C49="","",Calculadora!$C$15)</f>
        <v/>
      </c>
      <c r="H49" s="31">
        <f>IF($C49="","",E49-F49-G49-D49)</f>
        <v/>
      </c>
      <c r="I49" s="32">
        <f>IF($C49="","",IF(D49=0,0,(E49-F49-G49)/D49))</f>
        <v/>
      </c>
      <c r="J49" s="33">
        <f>IF($C49="","",IF(E49=0,0,H49/E49))</f>
        <v/>
      </c>
    </row>
    <row r="50" ht="20" customHeight="1">
      <c r="B50" s="34" t="n"/>
      <c r="C50" s="28" t="n"/>
      <c r="D50" s="29">
        <f>IF($C50="","",C50*(1+Calculadora!$C$12))</f>
        <v/>
      </c>
      <c r="E50" s="30">
        <f>IF($C50="","",D50*Calculadora!$C$13)</f>
        <v/>
      </c>
      <c r="F50" s="29">
        <f>IF($C50="","",E50*Calculadora!$C$14)</f>
        <v/>
      </c>
      <c r="G50" s="29">
        <f>IF($C50="","",Calculadora!$C$15)</f>
        <v/>
      </c>
      <c r="H50" s="31">
        <f>IF($C50="","",E50-F50-G50-D50)</f>
        <v/>
      </c>
      <c r="I50" s="32">
        <f>IF($C50="","",IF(D50=0,0,(E50-F50-G50)/D50))</f>
        <v/>
      </c>
      <c r="J50" s="33">
        <f>IF($C50="","",IF(E50=0,0,H50/E50))</f>
        <v/>
      </c>
    </row>
    <row r="51" ht="20" customHeight="1">
      <c r="B51" s="34" t="n"/>
      <c r="C51" s="28" t="n"/>
      <c r="D51" s="29">
        <f>IF($C51="","",C51*(1+Calculadora!$C$12))</f>
        <v/>
      </c>
      <c r="E51" s="30">
        <f>IF($C51="","",D51*Calculadora!$C$13)</f>
        <v/>
      </c>
      <c r="F51" s="29">
        <f>IF($C51="","",E51*Calculadora!$C$14)</f>
        <v/>
      </c>
      <c r="G51" s="29">
        <f>IF($C51="","",Calculadora!$C$15)</f>
        <v/>
      </c>
      <c r="H51" s="31">
        <f>IF($C51="","",E51-F51-G51-D51)</f>
        <v/>
      </c>
      <c r="I51" s="32">
        <f>IF($C51="","",IF(D51=0,0,(E51-F51-G51)/D51))</f>
        <v/>
      </c>
      <c r="J51" s="33">
        <f>IF($C51="","",IF(E51=0,0,H51/E51))</f>
        <v/>
      </c>
    </row>
    <row r="52" ht="20" customHeight="1">
      <c r="B52" s="34" t="n"/>
      <c r="C52" s="28" t="n"/>
      <c r="D52" s="29">
        <f>IF($C52="","",C52*(1+Calculadora!$C$12))</f>
        <v/>
      </c>
      <c r="E52" s="30">
        <f>IF($C52="","",D52*Calculadora!$C$13)</f>
        <v/>
      </c>
      <c r="F52" s="29">
        <f>IF($C52="","",E52*Calculadora!$C$14)</f>
        <v/>
      </c>
      <c r="G52" s="29">
        <f>IF($C52="","",Calculadora!$C$15)</f>
        <v/>
      </c>
      <c r="H52" s="31">
        <f>IF($C52="","",E52-F52-G52-D52)</f>
        <v/>
      </c>
      <c r="I52" s="32">
        <f>IF($C52="","",IF(D52=0,0,(E52-F52-G52)/D52))</f>
        <v/>
      </c>
      <c r="J52" s="33">
        <f>IF($C52="","",IF(E52=0,0,H52/E52))</f>
        <v/>
      </c>
    </row>
    <row r="53" ht="20" customHeight="1">
      <c r="B53" s="34" t="n"/>
      <c r="C53" s="28" t="n"/>
      <c r="D53" s="29">
        <f>IF($C53="","",C53*(1+Calculadora!$C$12))</f>
        <v/>
      </c>
      <c r="E53" s="30">
        <f>IF($C53="","",D53*Calculadora!$C$13)</f>
        <v/>
      </c>
      <c r="F53" s="29">
        <f>IF($C53="","",E53*Calculadora!$C$14)</f>
        <v/>
      </c>
      <c r="G53" s="29">
        <f>IF($C53="","",Calculadora!$C$15)</f>
        <v/>
      </c>
      <c r="H53" s="31">
        <f>IF($C53="","",E53-F53-G53-D53)</f>
        <v/>
      </c>
      <c r="I53" s="32">
        <f>IF($C53="","",IF(D53=0,0,(E53-F53-G53)/D53))</f>
        <v/>
      </c>
      <c r="J53" s="33">
        <f>IF($C53="","",IF(E53=0,0,H53/E53))</f>
        <v/>
      </c>
    </row>
    <row r="54" ht="20" customHeight="1">
      <c r="B54" s="34" t="n"/>
      <c r="C54" s="28" t="n"/>
      <c r="D54" s="29">
        <f>IF($C54="","",C54*(1+Calculadora!$C$12))</f>
        <v/>
      </c>
      <c r="E54" s="30">
        <f>IF($C54="","",D54*Calculadora!$C$13)</f>
        <v/>
      </c>
      <c r="F54" s="29">
        <f>IF($C54="","",E54*Calculadora!$C$14)</f>
        <v/>
      </c>
      <c r="G54" s="29">
        <f>IF($C54="","",Calculadora!$C$15)</f>
        <v/>
      </c>
      <c r="H54" s="31">
        <f>IF($C54="","",E54-F54-G54-D54)</f>
        <v/>
      </c>
      <c r="I54" s="32">
        <f>IF($C54="","",IF(D54=0,0,(E54-F54-G54)/D54))</f>
        <v/>
      </c>
      <c r="J54" s="33">
        <f>IF($C54="","",IF(E54=0,0,H54/E54))</f>
        <v/>
      </c>
    </row>
    <row r="55" ht="20" customHeight="1">
      <c r="B55" s="34" t="n"/>
      <c r="C55" s="28" t="n"/>
      <c r="D55" s="29">
        <f>IF($C55="","",C55*(1+Calculadora!$C$12))</f>
        <v/>
      </c>
      <c r="E55" s="30">
        <f>IF($C55="","",D55*Calculadora!$C$13)</f>
        <v/>
      </c>
      <c r="F55" s="29">
        <f>IF($C55="","",E55*Calculadora!$C$14)</f>
        <v/>
      </c>
      <c r="G55" s="29">
        <f>IF($C55="","",Calculadora!$C$15)</f>
        <v/>
      </c>
      <c r="H55" s="31">
        <f>IF($C55="","",E55-F55-G55-D55)</f>
        <v/>
      </c>
      <c r="I55" s="32">
        <f>IF($C55="","",IF(D55=0,0,(E55-F55-G55)/D55))</f>
        <v/>
      </c>
      <c r="J55" s="33">
        <f>IF($C55="","",IF(E55=0,0,H55/E55))</f>
        <v/>
      </c>
    </row>
    <row r="56" ht="20" customHeight="1">
      <c r="B56" s="34" t="n"/>
      <c r="C56" s="28" t="n"/>
      <c r="D56" s="29">
        <f>IF($C56="","",C56*(1+Calculadora!$C$12))</f>
        <v/>
      </c>
      <c r="E56" s="30">
        <f>IF($C56="","",D56*Calculadora!$C$13)</f>
        <v/>
      </c>
      <c r="F56" s="29">
        <f>IF($C56="","",E56*Calculadora!$C$14)</f>
        <v/>
      </c>
      <c r="G56" s="29">
        <f>IF($C56="","",Calculadora!$C$15)</f>
        <v/>
      </c>
      <c r="H56" s="31">
        <f>IF($C56="","",E56-F56-G56-D56)</f>
        <v/>
      </c>
      <c r="I56" s="32">
        <f>IF($C56="","",IF(D56=0,0,(E56-F56-G56)/D56))</f>
        <v/>
      </c>
      <c r="J56" s="33">
        <f>IF($C56="","",IF(E56=0,0,H56/E56))</f>
        <v/>
      </c>
    </row>
    <row r="57" ht="20" customHeight="1">
      <c r="B57" s="34" t="n"/>
      <c r="C57" s="28" t="n"/>
      <c r="D57" s="29">
        <f>IF($C57="","",C57*(1+Calculadora!$C$12))</f>
        <v/>
      </c>
      <c r="E57" s="30">
        <f>IF($C57="","",D57*Calculadora!$C$13)</f>
        <v/>
      </c>
      <c r="F57" s="29">
        <f>IF($C57="","",E57*Calculadora!$C$14)</f>
        <v/>
      </c>
      <c r="G57" s="29">
        <f>IF($C57="","",Calculadora!$C$15)</f>
        <v/>
      </c>
      <c r="H57" s="31">
        <f>IF($C57="","",E57-F57-G57-D57)</f>
        <v/>
      </c>
      <c r="I57" s="32">
        <f>IF($C57="","",IF(D57=0,0,(E57-F57-G57)/D57))</f>
        <v/>
      </c>
      <c r="J57" s="33">
        <f>IF($C57="","",IF(E57=0,0,H57/E57))</f>
        <v/>
      </c>
    </row>
    <row r="58" ht="20" customHeight="1">
      <c r="B58" s="34" t="n"/>
      <c r="C58" s="28" t="n"/>
      <c r="D58" s="29">
        <f>IF($C58="","",C58*(1+Calculadora!$C$12))</f>
        <v/>
      </c>
      <c r="E58" s="30">
        <f>IF($C58="","",D58*Calculadora!$C$13)</f>
        <v/>
      </c>
      <c r="F58" s="29">
        <f>IF($C58="","",E58*Calculadora!$C$14)</f>
        <v/>
      </c>
      <c r="G58" s="29">
        <f>IF($C58="","",Calculadora!$C$15)</f>
        <v/>
      </c>
      <c r="H58" s="31">
        <f>IF($C58="","",E58-F58-G58-D58)</f>
        <v/>
      </c>
      <c r="I58" s="32">
        <f>IF($C58="","",IF(D58=0,0,(E58-F58-G58)/D58))</f>
        <v/>
      </c>
      <c r="J58" s="33">
        <f>IF($C58="","",IF(E58=0,0,H58/E58))</f>
        <v/>
      </c>
    </row>
    <row r="59" ht="20" customHeight="1">
      <c r="B59" s="34" t="n"/>
      <c r="C59" s="28" t="n"/>
      <c r="D59" s="29">
        <f>IF($C59="","",C59*(1+Calculadora!$C$12))</f>
        <v/>
      </c>
      <c r="E59" s="30">
        <f>IF($C59="","",D59*Calculadora!$C$13)</f>
        <v/>
      </c>
      <c r="F59" s="29">
        <f>IF($C59="","",E59*Calculadora!$C$14)</f>
        <v/>
      </c>
      <c r="G59" s="29">
        <f>IF($C59="","",Calculadora!$C$15)</f>
        <v/>
      </c>
      <c r="H59" s="31">
        <f>IF($C59="","",E59-F59-G59-D59)</f>
        <v/>
      </c>
      <c r="I59" s="32">
        <f>IF($C59="","",IF(D59=0,0,(E59-F59-G59)/D59))</f>
        <v/>
      </c>
      <c r="J59" s="33">
        <f>IF($C59="","",IF(E59=0,0,H59/E59))</f>
        <v/>
      </c>
    </row>
    <row r="60" ht="20" customHeight="1">
      <c r="B60" s="34" t="n"/>
      <c r="C60" s="28" t="n"/>
      <c r="D60" s="29">
        <f>IF($C60="","",C60*(1+Calculadora!$C$12))</f>
        <v/>
      </c>
      <c r="E60" s="30">
        <f>IF($C60="","",D60*Calculadora!$C$13)</f>
        <v/>
      </c>
      <c r="F60" s="29">
        <f>IF($C60="","",E60*Calculadora!$C$14)</f>
        <v/>
      </c>
      <c r="G60" s="29">
        <f>IF($C60="","",Calculadora!$C$15)</f>
        <v/>
      </c>
      <c r="H60" s="31">
        <f>IF($C60="","",E60-F60-G60-D60)</f>
        <v/>
      </c>
      <c r="I60" s="32">
        <f>IF($C60="","",IF(D60=0,0,(E60-F60-G60)/D60))</f>
        <v/>
      </c>
      <c r="J60" s="33">
        <f>IF($C60="","",IF(E60=0,0,H60/E60))</f>
        <v/>
      </c>
    </row>
    <row r="61" ht="20" customHeight="1">
      <c r="B61" s="34" t="n"/>
      <c r="C61" s="28" t="n"/>
      <c r="D61" s="29">
        <f>IF($C61="","",C61*(1+Calculadora!$C$12))</f>
        <v/>
      </c>
      <c r="E61" s="30">
        <f>IF($C61="","",D61*Calculadora!$C$13)</f>
        <v/>
      </c>
      <c r="F61" s="29">
        <f>IF($C61="","",E61*Calculadora!$C$14)</f>
        <v/>
      </c>
      <c r="G61" s="29">
        <f>IF($C61="","",Calculadora!$C$15)</f>
        <v/>
      </c>
      <c r="H61" s="31">
        <f>IF($C61="","",E61-F61-G61-D61)</f>
        <v/>
      </c>
      <c r="I61" s="32">
        <f>IF($C61="","",IF(D61=0,0,(E61-F61-G61)/D61))</f>
        <v/>
      </c>
      <c r="J61" s="33">
        <f>IF($C61="","",IF(E61=0,0,H61/E61))</f>
        <v/>
      </c>
    </row>
    <row r="62" ht="20" customHeight="1">
      <c r="B62" s="34" t="n"/>
      <c r="C62" s="28" t="n"/>
      <c r="D62" s="29">
        <f>IF($C62="","",C62*(1+Calculadora!$C$12))</f>
        <v/>
      </c>
      <c r="E62" s="30">
        <f>IF($C62="","",D62*Calculadora!$C$13)</f>
        <v/>
      </c>
      <c r="F62" s="29">
        <f>IF($C62="","",E62*Calculadora!$C$14)</f>
        <v/>
      </c>
      <c r="G62" s="29">
        <f>IF($C62="","",Calculadora!$C$15)</f>
        <v/>
      </c>
      <c r="H62" s="31">
        <f>IF($C62="","",E62-F62-G62-D62)</f>
        <v/>
      </c>
      <c r="I62" s="32">
        <f>IF($C62="","",IF(D62=0,0,(E62-F62-G62)/D62))</f>
        <v/>
      </c>
      <c r="J62" s="33">
        <f>IF($C62="","",IF(E62=0,0,H62/E62))</f>
        <v/>
      </c>
    </row>
    <row r="63" ht="20" customHeight="1">
      <c r="B63" s="34" t="n"/>
      <c r="C63" s="28" t="n"/>
      <c r="D63" s="29">
        <f>IF($C63="","",C63*(1+Calculadora!$C$12))</f>
        <v/>
      </c>
      <c r="E63" s="30">
        <f>IF($C63="","",D63*Calculadora!$C$13)</f>
        <v/>
      </c>
      <c r="F63" s="29">
        <f>IF($C63="","",E63*Calculadora!$C$14)</f>
        <v/>
      </c>
      <c r="G63" s="29">
        <f>IF($C63="","",Calculadora!$C$15)</f>
        <v/>
      </c>
      <c r="H63" s="31">
        <f>IF($C63="","",E63-F63-G63-D63)</f>
        <v/>
      </c>
      <c r="I63" s="32">
        <f>IF($C63="","",IF(D63=0,0,(E63-F63-G63)/D63))</f>
        <v/>
      </c>
      <c r="J63" s="33">
        <f>IF($C63="","",IF(E63=0,0,H63/E63))</f>
        <v/>
      </c>
    </row>
    <row r="64" ht="20" customHeight="1">
      <c r="B64" s="34" t="n"/>
      <c r="C64" s="28" t="n"/>
      <c r="D64" s="29">
        <f>IF($C64="","",C64*(1+Calculadora!$C$12))</f>
        <v/>
      </c>
      <c r="E64" s="30">
        <f>IF($C64="","",D64*Calculadora!$C$13)</f>
        <v/>
      </c>
      <c r="F64" s="29">
        <f>IF($C64="","",E64*Calculadora!$C$14)</f>
        <v/>
      </c>
      <c r="G64" s="29">
        <f>IF($C64="","",Calculadora!$C$15)</f>
        <v/>
      </c>
      <c r="H64" s="31">
        <f>IF($C64="","",E64-F64-G64-D64)</f>
        <v/>
      </c>
      <c r="I64" s="32">
        <f>IF($C64="","",IF(D64=0,0,(E64-F64-G64)/D64))</f>
        <v/>
      </c>
      <c r="J64" s="33">
        <f>IF($C64="","",IF(E64=0,0,H64/E64))</f>
        <v/>
      </c>
    </row>
    <row r="65" ht="20" customHeight="1">
      <c r="B65" s="34" t="n"/>
      <c r="C65" s="28" t="n"/>
      <c r="D65" s="29">
        <f>IF($C65="","",C65*(1+Calculadora!$C$12))</f>
        <v/>
      </c>
      <c r="E65" s="30">
        <f>IF($C65="","",D65*Calculadora!$C$13)</f>
        <v/>
      </c>
      <c r="F65" s="29">
        <f>IF($C65="","",E65*Calculadora!$C$14)</f>
        <v/>
      </c>
      <c r="G65" s="29">
        <f>IF($C65="","",Calculadora!$C$15)</f>
        <v/>
      </c>
      <c r="H65" s="31">
        <f>IF($C65="","",E65-F65-G65-D65)</f>
        <v/>
      </c>
      <c r="I65" s="32">
        <f>IF($C65="","",IF(D65=0,0,(E65-F65-G65)/D65))</f>
        <v/>
      </c>
      <c r="J65" s="33">
        <f>IF($C65="","",IF(E65=0,0,H65/E65))</f>
        <v/>
      </c>
    </row>
    <row r="66" ht="20" customHeight="1">
      <c r="B66" s="34" t="n"/>
      <c r="C66" s="28" t="n"/>
      <c r="D66" s="29">
        <f>IF($C66="","",C66*(1+Calculadora!$C$12))</f>
        <v/>
      </c>
      <c r="E66" s="30">
        <f>IF($C66="","",D66*Calculadora!$C$13)</f>
        <v/>
      </c>
      <c r="F66" s="29">
        <f>IF($C66="","",E66*Calculadora!$C$14)</f>
        <v/>
      </c>
      <c r="G66" s="29">
        <f>IF($C66="","",Calculadora!$C$15)</f>
        <v/>
      </c>
      <c r="H66" s="31">
        <f>IF($C66="","",E66-F66-G66-D66)</f>
        <v/>
      </c>
      <c r="I66" s="32">
        <f>IF($C66="","",IF(D66=0,0,(E66-F66-G66)/D66))</f>
        <v/>
      </c>
      <c r="J66" s="33">
        <f>IF($C66="","",IF(E66=0,0,H66/E66))</f>
        <v/>
      </c>
    </row>
    <row r="67" ht="20" customHeight="1">
      <c r="B67" s="34" t="n"/>
      <c r="C67" s="28" t="n"/>
      <c r="D67" s="29">
        <f>IF($C67="","",C67*(1+Calculadora!$C$12))</f>
        <v/>
      </c>
      <c r="E67" s="30">
        <f>IF($C67="","",D67*Calculadora!$C$13)</f>
        <v/>
      </c>
      <c r="F67" s="29">
        <f>IF($C67="","",E67*Calculadora!$C$14)</f>
        <v/>
      </c>
      <c r="G67" s="29">
        <f>IF($C67="","",Calculadora!$C$15)</f>
        <v/>
      </c>
      <c r="H67" s="31">
        <f>IF($C67="","",E67-F67-G67-D67)</f>
        <v/>
      </c>
      <c r="I67" s="32">
        <f>IF($C67="","",IF(D67=0,0,(E67-F67-G67)/D67))</f>
        <v/>
      </c>
      <c r="J67" s="33">
        <f>IF($C67="","",IF(E67=0,0,H67/E67))</f>
        <v/>
      </c>
    </row>
    <row r="69">
      <c r="B69" s="23" t="inlineStr">
        <is>
          <t>Lucro = venda − Simples − frete − custo c/ DIFAL · Markup final = (venda − Simples − frete) ÷ custo c/ DIFAL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2026-10-21T12:36:19Z</dcterms:created>
  <dcterms:modified xsi:type="dcterms:W3CDTF">2026-10-21T12:36:19Z</dcterms:modified>
</cp:coreProperties>
</file>